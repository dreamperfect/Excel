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D88C95ED-EC04-4AED-9361-8987F9657D97}" xr6:coauthVersionLast="47" xr6:coauthVersionMax="47" xr10:uidLastSave="{00000000-0000-0000-0000-000000000000}"/>
  <bookViews>
    <workbookView xWindow="-120" yWindow="-120" windowWidth="20730" windowHeight="11040" firstSheet="5" activeTab="7" xr2:uid="{8235F916-60D4-4517-B46B-16E39B888063}"/>
  </bookViews>
  <sheets>
    <sheet name="Hypothesis median test binomial" sheetId="1" r:id="rId1"/>
    <sheet name="norm approximation of binomial" sheetId="2" r:id="rId2"/>
    <sheet name="matched samples hypothesis sign" sheetId="3" r:id="rId3"/>
    <sheet name="Wilcoxin signed rank test" sheetId="4" r:id="rId4"/>
    <sheet name="mann whitney wilcoxon test" sheetId="5" r:id="rId5"/>
    <sheet name="m.w.w test n1 &amp; n2&gt;7" sheetId="6" r:id="rId6"/>
    <sheet name="kruskal walllis test" sheetId="7" r:id="rId7"/>
    <sheet name="spearman rank correlation" sheetId="8" r:id="rId8"/>
  </sheets>
  <definedNames>
    <definedName name="_xlnm._FilterDatabase" localSheetId="3" hidden="1">'Wilcoxin signed rank test'!$J$1:$J$20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9" i="8" l="1"/>
  <c r="F17" i="8"/>
  <c r="F15" i="8"/>
  <c r="F13" i="8"/>
  <c r="J5" i="8"/>
  <c r="J18" i="7" l="1"/>
  <c r="J16" i="7"/>
  <c r="J26" i="7"/>
  <c r="J22" i="7" s="1"/>
  <c r="J24" i="7"/>
  <c r="J28" i="7"/>
  <c r="J20" i="7"/>
  <c r="O10" i="7"/>
  <c r="K10" i="7"/>
  <c r="G10" i="7"/>
  <c r="C11" i="7" a="1"/>
  <c r="C11" i="7" s="1"/>
  <c r="Q42" i="6"/>
  <c r="Q39" i="6"/>
  <c r="O13" i="6"/>
  <c r="J15" i="6"/>
  <c r="L7" i="5"/>
  <c r="I7" i="5"/>
  <c r="D9" i="5" a="1"/>
  <c r="D9" i="5" s="1"/>
  <c r="M17" i="4"/>
  <c r="J17" i="4"/>
  <c r="B19" i="2"/>
  <c r="J15" i="4"/>
  <c r="J16" i="4"/>
  <c r="L2" i="4"/>
  <c r="L3" i="4"/>
  <c r="L4" i="4"/>
  <c r="L5" i="4"/>
  <c r="L6" i="4"/>
  <c r="L7" i="4"/>
  <c r="L8" i="4"/>
  <c r="L9" i="4"/>
  <c r="L10" i="4"/>
  <c r="L11" i="4"/>
  <c r="M3" i="4"/>
  <c r="M4" i="4"/>
  <c r="M5" i="4"/>
  <c r="M6" i="4"/>
  <c r="M7" i="4"/>
  <c r="M8" i="4"/>
  <c r="M9" i="4"/>
  <c r="M10" i="4"/>
  <c r="M11" i="4"/>
  <c r="M2" i="4"/>
  <c r="J3" i="4"/>
  <c r="J4" i="4"/>
  <c r="J6" i="4"/>
  <c r="J5" i="4"/>
  <c r="J11" i="4"/>
  <c r="J2" i="4"/>
  <c r="J8" i="4"/>
  <c r="J7" i="4"/>
  <c r="J10" i="4"/>
  <c r="J9" i="4"/>
  <c r="B10" i="1"/>
  <c r="B12" i="3"/>
  <c r="B11" i="3"/>
  <c r="B10" i="3"/>
  <c r="B9" i="3"/>
  <c r="B8" i="3"/>
  <c r="B7" i="3"/>
  <c r="B6" i="3"/>
  <c r="B5" i="3"/>
  <c r="B4" i="3"/>
  <c r="B3" i="3"/>
  <c r="B2" i="3"/>
  <c r="B2" i="1"/>
  <c r="L13" i="4" l="1"/>
  <c r="B18" i="2"/>
  <c r="M13" i="4" l="1"/>
  <c r="B8" i="2"/>
  <c r="B7" i="2"/>
  <c r="B8" i="1"/>
  <c r="B12" i="1"/>
  <c r="B11" i="1"/>
  <c r="B9" i="1"/>
  <c r="B3" i="1"/>
  <c r="B4" i="1"/>
  <c r="B5" i="1"/>
  <c r="B6" i="1"/>
  <c r="B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<sst xmlns="http://schemas.openxmlformats.org/spreadsheetml/2006/main" count="166" uniqueCount="72">
  <si>
    <t>Probability</t>
  </si>
  <si>
    <t>Number of Plus signs</t>
  </si>
  <si>
    <t>n</t>
  </si>
  <si>
    <t>p</t>
  </si>
  <si>
    <t xml:space="preserve">mean </t>
  </si>
  <si>
    <t>standard deviation</t>
  </si>
  <si>
    <t>Hypothesized median</t>
  </si>
  <si>
    <t xml:space="preserve"># of positive signs </t>
  </si>
  <si>
    <t># of negative signs</t>
  </si>
  <si>
    <t>Z</t>
  </si>
  <si>
    <t>Continuity correction factor</t>
  </si>
  <si>
    <t>p VALUE</t>
  </si>
  <si>
    <t># of minus signs</t>
  </si>
  <si>
    <t xml:space="preserve"># of plus signs </t>
  </si>
  <si>
    <t>Worker</t>
  </si>
  <si>
    <t>Worker A</t>
  </si>
  <si>
    <t>Worker B</t>
  </si>
  <si>
    <t>Difference</t>
  </si>
  <si>
    <t>Rank</t>
  </si>
  <si>
    <t>Difference Ordered Smallest to Largest</t>
  </si>
  <si>
    <t>Sum</t>
  </si>
  <si>
    <t>Negative Sign Rank</t>
  </si>
  <si>
    <t>Positive Sign Rank</t>
  </si>
  <si>
    <t>Mean uT+</t>
  </si>
  <si>
    <t>stdev T+</t>
  </si>
  <si>
    <t>Z score</t>
  </si>
  <si>
    <t>Continuity factor</t>
  </si>
  <si>
    <t>P value</t>
  </si>
  <si>
    <t>College Student</t>
  </si>
  <si>
    <t xml:space="preserve">Rating </t>
  </si>
  <si>
    <t>High School Student</t>
  </si>
  <si>
    <t>Rating</t>
  </si>
  <si>
    <t>College</t>
  </si>
  <si>
    <t>High School</t>
  </si>
  <si>
    <t>School</t>
  </si>
  <si>
    <t>Students</t>
  </si>
  <si>
    <r>
      <rPr>
        <sz val="11.5"/>
        <rFont val="Times New Roman"/>
        <family val="1"/>
      </rPr>
      <t>I</t>
    </r>
  </si>
  <si>
    <t>Branch</t>
  </si>
  <si>
    <t>Account</t>
  </si>
  <si>
    <t>Balance</t>
  </si>
  <si>
    <t>Rank from Both</t>
  </si>
  <si>
    <t>Z TEST</t>
  </si>
  <si>
    <t>p-value</t>
  </si>
  <si>
    <t>H or X^2</t>
  </si>
  <si>
    <r>
      <rPr>
        <sz val="11.5"/>
        <rFont val="Times New Roman"/>
        <family val="1"/>
      </rPr>
      <t>A</t>
    </r>
  </si>
  <si>
    <r>
      <rPr>
        <sz val="11.5"/>
        <rFont val="Times New Roman"/>
        <family val="1"/>
      </rPr>
      <t>B</t>
    </r>
  </si>
  <si>
    <r>
      <rPr>
        <sz val="11.5"/>
        <rFont val="Times New Roman"/>
        <family val="1"/>
      </rPr>
      <t>C</t>
    </r>
  </si>
  <si>
    <t xml:space="preserve">College A </t>
  </si>
  <si>
    <t>College B</t>
  </si>
  <si>
    <t>College C</t>
  </si>
  <si>
    <t>A</t>
  </si>
  <si>
    <t>B</t>
  </si>
  <si>
    <t>C</t>
  </si>
  <si>
    <t>Sum of ranks</t>
  </si>
  <si>
    <t>nt</t>
  </si>
  <si>
    <t>left calculation</t>
  </si>
  <si>
    <t>middle calculation</t>
  </si>
  <si>
    <t>right calculation (positive)</t>
  </si>
  <si>
    <t>k "number of populations"</t>
  </si>
  <si>
    <t>p value</t>
  </si>
  <si>
    <r>
      <rPr>
        <sz val="11.5"/>
        <rFont val="Times New Roman"/>
        <family val="1"/>
      </rPr>
      <t>D</t>
    </r>
  </si>
  <si>
    <r>
      <rPr>
        <sz val="11.5"/>
        <rFont val="Times New Roman"/>
        <family val="1"/>
      </rPr>
      <t>E</t>
    </r>
  </si>
  <si>
    <r>
      <rPr>
        <sz val="11.5"/>
        <rFont val="Times New Roman"/>
        <family val="1"/>
      </rPr>
      <t>F</t>
    </r>
  </si>
  <si>
    <r>
      <rPr>
        <sz val="11.5"/>
        <rFont val="Times New Roman"/>
        <family val="1"/>
      </rPr>
      <t>G</t>
    </r>
  </si>
  <si>
    <r>
      <rPr>
        <sz val="11.5"/>
        <rFont val="Times New Roman"/>
        <family val="1"/>
      </rPr>
      <t>H</t>
    </r>
  </si>
  <si>
    <r>
      <rPr>
        <sz val="11.5"/>
        <rFont val="Times New Roman"/>
        <family val="1"/>
      </rPr>
      <t>J</t>
    </r>
  </si>
  <si>
    <t>Sales Person</t>
  </si>
  <si>
    <t>Ranking Potentail</t>
  </si>
  <si>
    <t>Sales</t>
  </si>
  <si>
    <t>Ranking Sales</t>
  </si>
  <si>
    <t>Z test stat</t>
  </si>
  <si>
    <t>stdev of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</si>
</sst>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7" formatCode="0.0000"/>
    <numFmt numFmtId="200" formatCode="0.000"/>
    <numFmt numFmtId="205" formatCode="0.0"/>
  </numFmts>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scheme val="minor"/>
    </font>
    <font>
      <sz val="11.5"/>
      <name val="Aptos Narrow"/>
      <family val="2"/>
      <scheme val="minor"/>
    </font>
    <font>
      <sz val="11.5"/>
      <name val="Times New Roman"/>
      <family val="1"/>
    </font>
    <font>
      <i/>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s>
  <cellStyleXfs count="1">
    <xf numFmtId="0" fontId="0" fillId="0" borderId="0"/>
  </cellStyleXfs>
  <cellXfs count="70">
    <xf numFmtId="0" fontId="0" fillId="0" borderId="0" xfId="0"/>
    <xf numFmtId="167" fontId="0" fillId="0" borderId="0" xfId="0" applyNumberFormat="1"/>
    <xf numFmtId="0" fontId="2" fillId="0" borderId="0" xfId="0" applyFont="1"/>
    <xf numFmtId="0" fontId="2" fillId="0" borderId="0" xfId="0" applyFont="1" applyAlignment="1">
      <alignment horizontal="right"/>
    </xf>
    <xf numFmtId="3" fontId="0" fillId="0" borderId="0" xfId="0" applyNumberFormat="1"/>
    <xf numFmtId="0" fontId="0" fillId="0" borderId="0" xfId="0" applyNumberFormat="1"/>
    <xf numFmtId="2" fontId="0" fillId="0" borderId="0" xfId="0" applyNumberFormat="1"/>
    <xf numFmtId="200" fontId="0" fillId="0" borderId="0" xfId="0" applyNumberFormat="1"/>
    <xf numFmtId="167" fontId="0" fillId="2" borderId="0" xfId="0" applyNumberFormat="1" applyFill="1"/>
    <xf numFmtId="167" fontId="2" fillId="0" borderId="0" xfId="0" applyNumberFormat="1" applyFont="1" applyAlignment="1">
      <alignment horizontal="right"/>
    </xf>
    <xf numFmtId="167" fontId="0" fillId="0" borderId="0" xfId="0" applyNumberFormat="1" applyFill="1"/>
    <xf numFmtId="0" fontId="3" fillId="0" borderId="1" xfId="0" applyFont="1" applyBorder="1"/>
    <xf numFmtId="0" fontId="3" fillId="0" borderId="3" xfId="0" applyFont="1" applyBorder="1"/>
    <xf numFmtId="0" fontId="3" fillId="0" borderId="4" xfId="0" applyFont="1" applyBorder="1"/>
    <xf numFmtId="0" fontId="3" fillId="0" borderId="0" xfId="0" applyFont="1" applyBorder="1" applyAlignment="1">
      <alignment horizontal="center"/>
    </xf>
    <xf numFmtId="0" fontId="3" fillId="0" borderId="5" xfId="0" applyFont="1" applyBorder="1" applyAlignment="1">
      <alignment horizontal="center"/>
    </xf>
    <xf numFmtId="0" fontId="4" fillId="0" borderId="0" xfId="0" applyFont="1" applyBorder="1" applyAlignment="1">
      <alignment horizontal="center" vertical="top"/>
    </xf>
    <xf numFmtId="0" fontId="1" fillId="0" borderId="4" xfId="0" applyFont="1" applyBorder="1"/>
    <xf numFmtId="0" fontId="1" fillId="0" borderId="0" xfId="0" applyFont="1" applyBorder="1" applyAlignment="1">
      <alignment horizontal="center"/>
    </xf>
    <xf numFmtId="0" fontId="1" fillId="0" borderId="5" xfId="0" applyFont="1" applyBorder="1" applyAlignment="1">
      <alignment horizontal="center"/>
    </xf>
    <xf numFmtId="0" fontId="3" fillId="0" borderId="6" xfId="0" applyFont="1" applyBorder="1"/>
    <xf numFmtId="0" fontId="3" fillId="0" borderId="7" xfId="0" applyFont="1" applyBorder="1" applyAlignment="1">
      <alignment horizontal="center"/>
    </xf>
    <xf numFmtId="0" fontId="3" fillId="0" borderId="8" xfId="0" applyFont="1" applyBorder="1" applyAlignment="1">
      <alignment horizontal="center"/>
    </xf>
    <xf numFmtId="0" fontId="0" fillId="0" borderId="0" xfId="0" applyAlignment="1">
      <alignment wrapText="1"/>
    </xf>
    <xf numFmtId="0" fontId="4" fillId="0" borderId="2" xfId="0" applyFont="1" applyBorder="1" applyAlignment="1">
      <alignment horizontal="center"/>
    </xf>
    <xf numFmtId="205" fontId="0" fillId="0" borderId="0" xfId="0" applyNumberFormat="1"/>
    <xf numFmtId="0" fontId="2" fillId="0" borderId="0" xfId="0" applyFont="1"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2" xfId="0" applyFill="1" applyBorder="1"/>
    <xf numFmtId="0" fontId="0" fillId="0" borderId="3" xfId="0" applyFill="1" applyBorder="1"/>
    <xf numFmtId="1" fontId="5" fillId="0" borderId="9" xfId="0" applyNumberFormat="1" applyFont="1" applyBorder="1" applyAlignment="1">
      <alignment horizontal="left" vertical="top" wrapText="1"/>
    </xf>
    <xf numFmtId="0" fontId="4" fillId="0" borderId="9" xfId="0" applyFont="1" applyBorder="1" applyAlignment="1">
      <alignment horizontal="left" vertical="top" wrapText="1"/>
    </xf>
    <xf numFmtId="1" fontId="4" fillId="0" borderId="9" xfId="0" applyNumberFormat="1" applyFont="1" applyBorder="1" applyAlignment="1">
      <alignment horizontal="center" vertical="top" wrapText="1"/>
    </xf>
    <xf numFmtId="0" fontId="4" fillId="0" borderId="9" xfId="0" applyFont="1" applyBorder="1" applyAlignment="1">
      <alignment horizontal="center" vertical="top" wrapText="1"/>
    </xf>
    <xf numFmtId="205" fontId="4" fillId="0" borderId="9" xfId="0" applyNumberFormat="1" applyFont="1" applyBorder="1" applyAlignment="1">
      <alignment horizontal="center" vertical="top" wrapText="1"/>
    </xf>
    <xf numFmtId="0" fontId="5" fillId="0" borderId="0" xfId="0" applyFont="1" applyAlignment="1">
      <alignment horizontal="left" vertical="top"/>
    </xf>
    <xf numFmtId="0" fontId="0" fillId="0" borderId="9" xfId="0" applyBorder="1" applyAlignment="1">
      <alignment horizontal="left" vertical="top" wrapText="1"/>
    </xf>
    <xf numFmtId="0" fontId="5" fillId="0" borderId="0" xfId="0" applyFont="1" applyBorder="1" applyAlignment="1">
      <alignment horizontal="center" vertical="top"/>
    </xf>
    <xf numFmtId="0" fontId="0" fillId="0" borderId="0" xfId="0" applyBorder="1" applyAlignment="1">
      <alignment horizontal="center"/>
    </xf>
    <xf numFmtId="1" fontId="5" fillId="0" borderId="0" xfId="0" applyNumberFormat="1" applyFont="1" applyBorder="1" applyAlignment="1">
      <alignment horizontal="center" vertical="top" wrapText="1"/>
    </xf>
    <xf numFmtId="0" fontId="0" fillId="0" borderId="0" xfId="0" applyAlignment="1">
      <alignment horizontal="center"/>
    </xf>
    <xf numFmtId="0" fontId="5" fillId="0" borderId="10" xfId="0" applyFont="1" applyBorder="1" applyAlignment="1">
      <alignment horizontal="center" vertical="top"/>
    </xf>
    <xf numFmtId="0" fontId="5" fillId="0" borderId="11" xfId="0" applyFont="1" applyBorder="1" applyAlignment="1">
      <alignment horizontal="center" vertical="top"/>
    </xf>
    <xf numFmtId="0" fontId="5" fillId="0" borderId="12" xfId="0" applyFont="1" applyBorder="1" applyAlignment="1">
      <alignment horizontal="center" vertical="top"/>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1" fontId="5" fillId="0" borderId="16" xfId="0" applyNumberFormat="1" applyFont="1" applyBorder="1" applyAlignment="1">
      <alignment horizontal="center" vertical="top" wrapText="1"/>
    </xf>
    <xf numFmtId="0" fontId="0" fillId="0" borderId="17" xfId="0" applyBorder="1" applyAlignment="1">
      <alignment horizontal="center"/>
    </xf>
    <xf numFmtId="0" fontId="2" fillId="0" borderId="0" xfId="0" applyFont="1" applyAlignment="1">
      <alignment horizontal="center" wrapText="1"/>
    </xf>
    <xf numFmtId="0" fontId="5" fillId="0" borderId="0" xfId="0" applyFont="1" applyBorder="1" applyAlignment="1">
      <alignment horizontal="center" vertical="top"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1" fontId="5" fillId="0" borderId="14" xfId="0" applyNumberFormat="1" applyFont="1" applyBorder="1" applyAlignment="1">
      <alignment horizontal="center" vertical="top" wrapText="1"/>
    </xf>
    <xf numFmtId="0" fontId="5" fillId="0" borderId="15" xfId="0" applyFont="1" applyBorder="1" applyAlignment="1">
      <alignment horizontal="center" vertical="top" wrapText="1"/>
    </xf>
    <xf numFmtId="1" fontId="5" fillId="0" borderId="17" xfId="0" applyNumberFormat="1" applyFont="1" applyBorder="1" applyAlignment="1">
      <alignment horizontal="center" vertical="top" wrapText="1"/>
    </xf>
    <xf numFmtId="0" fontId="0" fillId="0" borderId="0" xfId="0" applyFill="1" applyBorder="1" applyAlignment="1"/>
    <xf numFmtId="0" fontId="0" fillId="0" borderId="7" xfId="0" applyFill="1" applyBorder="1" applyAlignment="1"/>
    <xf numFmtId="0" fontId="6" fillId="0" borderId="18"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238125</xdr:colOff>
      <xdr:row>13</xdr:row>
      <xdr:rowOff>38101</xdr:rowOff>
    </xdr:from>
    <xdr:to>
      <xdr:col>8</xdr:col>
      <xdr:colOff>257175</xdr:colOff>
      <xdr:row>29</xdr:row>
      <xdr:rowOff>104775</xdr:rowOff>
    </xdr:to>
    <xdr:sp macro="" textlink="">
      <xdr:nvSpPr>
        <xdr:cNvPr id="2" name="TextBox 1">
          <a:extLst>
            <a:ext uri="{FF2B5EF4-FFF2-40B4-BE49-F238E27FC236}">
              <a16:creationId xmlns:a16="http://schemas.microsoft.com/office/drawing/2014/main" id="{E20F3873-1F4C-F0D9-3CFD-6FF628D0018D}"/>
            </a:ext>
          </a:extLst>
        </xdr:cNvPr>
        <xdr:cNvSpPr txBox="1"/>
      </xdr:nvSpPr>
      <xdr:spPr>
        <a:xfrm>
          <a:off x="1571625" y="2514601"/>
          <a:ext cx="4314825" cy="3114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Two</a:t>
          </a:r>
          <a:r>
            <a:rPr lang="en-US" b="1" baseline="0"/>
            <a:t> tail test:</a:t>
          </a:r>
        </a:p>
        <a:p>
          <a:r>
            <a:rPr lang="en-US"/>
            <a:t>Let us proceed to show how the binomial distribution can be used to test the hypothesis about the population median. We will use a= 0.10 level of significance for the test. Since the observed number of plus signs for the sample data, 7, is in the upper tail of the binomial distri bution, we begin by computing the probability of obtaining 7 or more plus signs. This probability is the probability of 7, 8, 9, or 10 plus signs. Adding these probabilities shown in Table 19.3, we have </a:t>
          </a:r>
          <a:r>
            <a:rPr lang="en-US">
              <a:solidFill>
                <a:srgbClr val="FFC000"/>
              </a:solidFill>
            </a:rPr>
            <a:t>0.1172 +0.0439 +0.0098 0.0010 </a:t>
          </a:r>
          <a:r>
            <a:rPr lang="en-US"/>
            <a:t>=0.1719. Since we are using a two-tailed hypothesis test, this upper tail probability is doubled to obtain the p-value 2(.1719) .3438. With p-value &gt; </a:t>
          </a:r>
          <a:r>
            <a:rPr lang="el-GR"/>
            <a:t>α, </a:t>
          </a:r>
          <a:r>
            <a:rPr lang="en-US"/>
            <a:t>we cannot reject H0. </a:t>
          </a:r>
        </a:p>
        <a:p>
          <a:endParaRPr lang="en-US"/>
        </a:p>
        <a:p>
          <a:r>
            <a:rPr lang="en-US"/>
            <a:t>H0: p =0.50</a:t>
          </a:r>
          <a:r>
            <a:rPr lang="en-US" baseline="0"/>
            <a:t> </a:t>
          </a:r>
        </a:p>
        <a:p>
          <a:r>
            <a:rPr lang="en-US"/>
            <a:t>Ha: p</a:t>
          </a:r>
          <a:r>
            <a:rPr lang="en-US" baseline="0"/>
            <a:t> does not equal 0.</a:t>
          </a:r>
          <a:r>
            <a:rPr lang="en-US"/>
            <a:t>50 </a:t>
          </a:r>
        </a:p>
        <a:p>
          <a:r>
            <a:rPr lang="en-US"/>
            <a:t>or  therefore</a:t>
          </a:r>
        </a:p>
        <a:p>
          <a:r>
            <a:rPr lang="en-US"/>
            <a:t>H0: Median =450</a:t>
          </a:r>
        </a:p>
        <a:p>
          <a:r>
            <a:rPr lang="en-US"/>
            <a:t>Ha: Median does</a:t>
          </a:r>
          <a:r>
            <a:rPr lang="en-US" baseline="0"/>
            <a:t> not equal </a:t>
          </a:r>
          <a:r>
            <a:rPr lang="en-US"/>
            <a:t>450</a:t>
          </a:r>
        </a:p>
        <a:p>
          <a:endParaRPr lang="en-US"/>
        </a:p>
      </xdr:txBody>
    </xdr:sp>
    <xdr:clientData/>
  </xdr:twoCellAnchor>
  <xdr:twoCellAnchor editAs="oneCell">
    <xdr:from>
      <xdr:col>5</xdr:col>
      <xdr:colOff>276225</xdr:colOff>
      <xdr:row>2</xdr:row>
      <xdr:rowOff>114300</xdr:rowOff>
    </xdr:from>
    <xdr:to>
      <xdr:col>16</xdr:col>
      <xdr:colOff>29476</xdr:colOff>
      <xdr:row>13</xdr:row>
      <xdr:rowOff>57435</xdr:rowOff>
    </xdr:to>
    <xdr:pic>
      <xdr:nvPicPr>
        <xdr:cNvPr id="3" name="Picture 2">
          <a:extLst>
            <a:ext uri="{FF2B5EF4-FFF2-40B4-BE49-F238E27FC236}">
              <a16:creationId xmlns:a16="http://schemas.microsoft.com/office/drawing/2014/main" id="{6429C4F0-0688-BC1A-00E9-407E6CE121B4}"/>
            </a:ext>
          </a:extLst>
        </xdr:cNvPr>
        <xdr:cNvPicPr>
          <a:picLocks noChangeAspect="1"/>
        </xdr:cNvPicPr>
      </xdr:nvPicPr>
      <xdr:blipFill>
        <a:blip xmlns:r="http://schemas.openxmlformats.org/officeDocument/2006/relationships" r:embed="rId1"/>
        <a:stretch>
          <a:fillRect/>
        </a:stretch>
      </xdr:blipFill>
      <xdr:spPr>
        <a:xfrm>
          <a:off x="4076700" y="495300"/>
          <a:ext cx="6458851" cy="2038635"/>
        </a:xfrm>
        <a:prstGeom prst="rect">
          <a:avLst/>
        </a:prstGeom>
      </xdr:spPr>
    </xdr:pic>
    <xdr:clientData/>
  </xdr:twoCellAnchor>
  <xdr:twoCellAnchor>
    <xdr:from>
      <xdr:col>10</xdr:col>
      <xdr:colOff>371475</xdr:colOff>
      <xdr:row>13</xdr:row>
      <xdr:rowOff>85724</xdr:rowOff>
    </xdr:from>
    <xdr:to>
      <xdr:col>16</xdr:col>
      <xdr:colOff>523875</xdr:colOff>
      <xdr:row>33</xdr:row>
      <xdr:rowOff>19049</xdr:rowOff>
    </xdr:to>
    <xdr:sp macro="" textlink="">
      <xdr:nvSpPr>
        <xdr:cNvPr id="4" name="TextBox 3">
          <a:extLst>
            <a:ext uri="{FF2B5EF4-FFF2-40B4-BE49-F238E27FC236}">
              <a16:creationId xmlns:a16="http://schemas.microsoft.com/office/drawing/2014/main" id="{E5D8E52B-F79F-A6A2-73A1-1C0EAB25B3A1}"/>
            </a:ext>
          </a:extLst>
        </xdr:cNvPr>
        <xdr:cNvSpPr txBox="1"/>
      </xdr:nvSpPr>
      <xdr:spPr>
        <a:xfrm>
          <a:off x="7219950" y="2562224"/>
          <a:ext cx="3810000" cy="3743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(Upper) One</a:t>
          </a:r>
          <a:r>
            <a:rPr lang="en-US" sz="1100" b="1" baseline="0"/>
            <a:t> tail test: </a:t>
          </a:r>
        </a:p>
        <a:p>
          <a:r>
            <a:rPr lang="en-US"/>
            <a:t>The corresponding p-value is equal to the binomial probability that the number of plus signs is greater than or equal to 7 found in the sample. This one-tailed p-value would have been  0.1172 +0.0439+ 0.0098 + 0.0010= 0.1719.  With p value</a:t>
          </a:r>
          <a:r>
            <a:rPr lang="en-US" baseline="0"/>
            <a:t> &gt;a we cannot reject Ho.</a:t>
          </a:r>
          <a:endParaRPr lang="en-US" sz="1100" b="1" baseline="0"/>
        </a:p>
        <a:p>
          <a:endParaRPr lang="en-US">
            <a:effectLst/>
          </a:endParaRPr>
        </a:p>
        <a:p>
          <a:r>
            <a:rPr lang="en-US" sz="1100">
              <a:solidFill>
                <a:schemeClr val="dk1"/>
              </a:solidFill>
              <a:effectLst/>
              <a:latin typeface="+mn-lt"/>
              <a:ea typeface="+mn-ea"/>
              <a:cs typeface="+mn-cs"/>
            </a:rPr>
            <a:t>Ho: median</a:t>
          </a:r>
          <a:r>
            <a:rPr lang="en-US" sz="1100" baseline="0">
              <a:solidFill>
                <a:schemeClr val="dk1"/>
              </a:solidFill>
              <a:effectLst/>
              <a:latin typeface="+mn-lt"/>
              <a:ea typeface="+mn-ea"/>
              <a:cs typeface="+mn-cs"/>
            </a:rPr>
            <a:t> &lt;=450</a:t>
          </a:r>
          <a:endParaRPr lang="en-US">
            <a:effectLst/>
          </a:endParaRPr>
        </a:p>
        <a:p>
          <a:r>
            <a:rPr lang="en-US" sz="1100" baseline="0">
              <a:solidFill>
                <a:schemeClr val="dk1"/>
              </a:solidFill>
              <a:effectLst/>
              <a:latin typeface="+mn-lt"/>
              <a:ea typeface="+mn-ea"/>
              <a:cs typeface="+mn-cs"/>
            </a:rPr>
            <a:t>Ha: Median &gt;450</a:t>
          </a:r>
          <a:endParaRPr lang="en-US">
            <a:effectLst/>
          </a:endParaRPr>
        </a:p>
        <a:p>
          <a:endParaRPr lang="en-US" sz="1100" b="1"/>
        </a:p>
        <a:p>
          <a:endParaRPr lang="en-US" sz="1100" b="1"/>
        </a:p>
        <a:p>
          <a:r>
            <a:rPr lang="en-US"/>
            <a:t>If the example were converted to a </a:t>
          </a:r>
          <a:r>
            <a:rPr lang="en-US" b="1"/>
            <a:t>lower tail test, </a:t>
          </a:r>
          <a:r>
            <a:rPr lang="en-US"/>
            <a:t>the p-value would have been the probability of obtaining 7 or fewer plus signs</a:t>
          </a:r>
        </a:p>
        <a:p>
          <a:endParaRPr lang="en-US" sz="1100" b="1"/>
        </a:p>
        <a:p>
          <a:r>
            <a:rPr lang="en-US"/>
            <a:t>The application we have just described makes use of the binomial distribution with p= 0.50. The binomial probabilities provided in Table 5 of Appendix B can be used to compute the p-value when the sample size is 20 or less. With larger sample sizes, we rely on the normal distribution approximation of the binomial distribution to compute the p-value; this makes the computations quicker and easier. </a:t>
          </a:r>
          <a:endParaRPr lang="en-US" sz="1100" b="1"/>
        </a:p>
      </xdr:txBody>
    </xdr:sp>
    <xdr:clientData/>
  </xdr:twoCellAnchor>
  <xdr:twoCellAnchor>
    <xdr:from>
      <xdr:col>6</xdr:col>
      <xdr:colOff>285751</xdr:colOff>
      <xdr:row>0</xdr:row>
      <xdr:rowOff>0</xdr:rowOff>
    </xdr:from>
    <xdr:to>
      <xdr:col>14</xdr:col>
      <xdr:colOff>171451</xdr:colOff>
      <xdr:row>2</xdr:row>
      <xdr:rowOff>85725</xdr:rowOff>
    </xdr:to>
    <xdr:sp macro="" textlink="">
      <xdr:nvSpPr>
        <xdr:cNvPr id="5" name="TextBox 4">
          <a:extLst>
            <a:ext uri="{FF2B5EF4-FFF2-40B4-BE49-F238E27FC236}">
              <a16:creationId xmlns:a16="http://schemas.microsoft.com/office/drawing/2014/main" id="{5292E437-5103-A269-37F5-1CBBB068F7B6}"/>
            </a:ext>
          </a:extLst>
        </xdr:cNvPr>
        <xdr:cNvSpPr txBox="1"/>
      </xdr:nvSpPr>
      <xdr:spPr>
        <a:xfrm>
          <a:off x="4695826" y="0"/>
          <a:ext cx="476250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Sign</a:t>
          </a:r>
          <a:r>
            <a:rPr lang="en-US" sz="2800" b="1" baseline="0"/>
            <a:t> test for population median</a:t>
          </a:r>
        </a:p>
        <a:p>
          <a:endParaRPr lang="en-US" sz="2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235323</xdr:colOff>
      <xdr:row>0</xdr:row>
      <xdr:rowOff>112058</xdr:rowOff>
    </xdr:from>
    <xdr:to>
      <xdr:col>12</xdr:col>
      <xdr:colOff>347382</xdr:colOff>
      <xdr:row>5</xdr:row>
      <xdr:rowOff>156882</xdr:rowOff>
    </xdr:to>
    <xdr:sp macro="" textlink="">
      <xdr:nvSpPr>
        <xdr:cNvPr id="2" name="TextBox 1">
          <a:extLst>
            <a:ext uri="{FF2B5EF4-FFF2-40B4-BE49-F238E27FC236}">
              <a16:creationId xmlns:a16="http://schemas.microsoft.com/office/drawing/2014/main" id="{04D2A719-BA35-5F21-CD27-979DA9B291F4}"/>
            </a:ext>
          </a:extLst>
        </xdr:cNvPr>
        <xdr:cNvSpPr txBox="1"/>
      </xdr:nvSpPr>
      <xdr:spPr>
        <a:xfrm>
          <a:off x="4672852" y="112058"/>
          <a:ext cx="4953001" cy="997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black"/>
              </a:solidFill>
              <a:effectLst/>
              <a:uLnTx/>
              <a:uFillTx/>
              <a:latin typeface="+mn-lt"/>
              <a:ea typeface="+mn-ea"/>
              <a:cs typeface="+mn-cs"/>
            </a:rPr>
            <a:t>Sign test for population median when n over 20 </a:t>
          </a:r>
        </a:p>
        <a:p>
          <a:endParaRPr lang="en-US" sz="1100"/>
        </a:p>
      </xdr:txBody>
    </xdr:sp>
    <xdr:clientData/>
  </xdr:twoCellAnchor>
  <xdr:twoCellAnchor editAs="oneCell">
    <xdr:from>
      <xdr:col>4</xdr:col>
      <xdr:colOff>400610</xdr:colOff>
      <xdr:row>6</xdr:row>
      <xdr:rowOff>103094</xdr:rowOff>
    </xdr:from>
    <xdr:to>
      <xdr:col>12</xdr:col>
      <xdr:colOff>100930</xdr:colOff>
      <xdr:row>13</xdr:row>
      <xdr:rowOff>189017</xdr:rowOff>
    </xdr:to>
    <xdr:pic>
      <xdr:nvPicPr>
        <xdr:cNvPr id="4" name="Picture 3">
          <a:extLst>
            <a:ext uri="{FF2B5EF4-FFF2-40B4-BE49-F238E27FC236}">
              <a16:creationId xmlns:a16="http://schemas.microsoft.com/office/drawing/2014/main" id="{68E919B9-BF3F-0AAF-97CE-6C39E17CBA7E}"/>
            </a:ext>
          </a:extLst>
        </xdr:cNvPr>
        <xdr:cNvPicPr>
          <a:picLocks noChangeAspect="1"/>
        </xdr:cNvPicPr>
      </xdr:nvPicPr>
      <xdr:blipFill>
        <a:blip xmlns:r="http://schemas.openxmlformats.org/officeDocument/2006/relationships" r:embed="rId1"/>
        <a:stretch>
          <a:fillRect/>
        </a:stretch>
      </xdr:blipFill>
      <xdr:spPr>
        <a:xfrm>
          <a:off x="4838139" y="1246094"/>
          <a:ext cx="4541262" cy="1419423"/>
        </a:xfrm>
        <a:prstGeom prst="rect">
          <a:avLst/>
        </a:prstGeom>
      </xdr:spPr>
    </xdr:pic>
    <xdr:clientData/>
  </xdr:twoCellAnchor>
  <xdr:twoCellAnchor>
    <xdr:from>
      <xdr:col>5</xdr:col>
      <xdr:colOff>246530</xdr:colOff>
      <xdr:row>15</xdr:row>
      <xdr:rowOff>22412</xdr:rowOff>
    </xdr:from>
    <xdr:to>
      <xdr:col>8</xdr:col>
      <xdr:colOff>537882</xdr:colOff>
      <xdr:row>23</xdr:row>
      <xdr:rowOff>33618</xdr:rowOff>
    </xdr:to>
    <xdr:sp macro="" textlink="">
      <xdr:nvSpPr>
        <xdr:cNvPr id="5" name="TextBox 4">
          <a:extLst>
            <a:ext uri="{FF2B5EF4-FFF2-40B4-BE49-F238E27FC236}">
              <a16:creationId xmlns:a16="http://schemas.microsoft.com/office/drawing/2014/main" id="{ADA62AAB-E6D0-4BBB-4F04-173436D8DA36}"/>
            </a:ext>
          </a:extLst>
        </xdr:cNvPr>
        <xdr:cNvSpPr txBox="1"/>
      </xdr:nvSpPr>
      <xdr:spPr>
        <a:xfrm>
          <a:off x="5289177" y="2879912"/>
          <a:ext cx="2106705" cy="1535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a:t>
          </a:r>
          <a:r>
            <a:rPr lang="en-US" sz="1100" baseline="0"/>
            <a:t> originally had n=61, but 22 homes sold for more than $236k, one home sold for $236k, and 38 sold for less than. So we remove the one sample that is equal to median and final n=60.</a:t>
          </a:r>
          <a:endParaRPr lang="en-US" sz="1100"/>
        </a:p>
      </xdr:txBody>
    </xdr:sp>
    <xdr:clientData/>
  </xdr:twoCellAnchor>
  <xdr:twoCellAnchor>
    <xdr:from>
      <xdr:col>9</xdr:col>
      <xdr:colOff>132789</xdr:colOff>
      <xdr:row>14</xdr:row>
      <xdr:rowOff>130548</xdr:rowOff>
    </xdr:from>
    <xdr:to>
      <xdr:col>13</xdr:col>
      <xdr:colOff>504265</xdr:colOff>
      <xdr:row>28</xdr:row>
      <xdr:rowOff>179293</xdr:rowOff>
    </xdr:to>
    <xdr:sp macro="" textlink="">
      <xdr:nvSpPr>
        <xdr:cNvPr id="6" name="TextBox 5">
          <a:extLst>
            <a:ext uri="{FF2B5EF4-FFF2-40B4-BE49-F238E27FC236}">
              <a16:creationId xmlns:a16="http://schemas.microsoft.com/office/drawing/2014/main" id="{1AAD433C-56DA-897B-461E-0144352C5959}"/>
            </a:ext>
          </a:extLst>
        </xdr:cNvPr>
        <xdr:cNvSpPr txBox="1"/>
      </xdr:nvSpPr>
      <xdr:spPr>
        <a:xfrm>
          <a:off x="7595907" y="2797548"/>
          <a:ext cx="2791946" cy="27157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a:t>
          </a:r>
          <a:r>
            <a:rPr lang="en-US" sz="1100" baseline="0"/>
            <a:t> Median &gt;=236,000</a:t>
          </a:r>
        </a:p>
        <a:p>
          <a:r>
            <a:rPr lang="en-US" sz="1100" baseline="0"/>
            <a:t>Ha: Median &lt;236,000</a:t>
          </a:r>
        </a:p>
        <a:p>
          <a:endParaRPr lang="en-US" sz="1100" baseline="0"/>
        </a:p>
        <a:p>
          <a:r>
            <a:rPr lang="en-US" sz="1100" baseline="0"/>
            <a:t>Since the binomial probability distribution is discrete and the normal probability distribution is continuous, we account for this by computing the binomial probability of 22 by the normal probablity interval of 21.5 to 22.5. The 0.5 added is called the continuity correction factor.  </a:t>
          </a:r>
        </a:p>
        <a:p>
          <a:endParaRPr lang="en-US" sz="1100" baseline="0"/>
        </a:p>
        <a:p>
          <a:r>
            <a:rPr lang="en-US" sz="1100" baseline="0"/>
            <a:t>With p value =0.0262 &lt;0.05, we reject the null hyptohesis and conclude that the median price of a new home is less than 236k.</a:t>
          </a:r>
        </a:p>
        <a:p>
          <a:endParaRPr lang="en-US" sz="1100"/>
        </a:p>
      </xdr:txBody>
    </xdr:sp>
    <xdr:clientData/>
  </xdr:twoCellAnchor>
  <xdr:twoCellAnchor>
    <xdr:from>
      <xdr:col>0</xdr:col>
      <xdr:colOff>1860177</xdr:colOff>
      <xdr:row>20</xdr:row>
      <xdr:rowOff>89646</xdr:rowOff>
    </xdr:from>
    <xdr:to>
      <xdr:col>5</xdr:col>
      <xdr:colOff>100853</xdr:colOff>
      <xdr:row>34</xdr:row>
      <xdr:rowOff>56029</xdr:rowOff>
    </xdr:to>
    <xdr:sp macro="" textlink="">
      <xdr:nvSpPr>
        <xdr:cNvPr id="7" name="TextBox 6">
          <a:extLst>
            <a:ext uri="{FF2B5EF4-FFF2-40B4-BE49-F238E27FC236}">
              <a16:creationId xmlns:a16="http://schemas.microsoft.com/office/drawing/2014/main" id="{F56043AE-330C-A161-6E4C-69340788CFE8}"/>
            </a:ext>
          </a:extLst>
        </xdr:cNvPr>
        <xdr:cNvSpPr txBox="1"/>
      </xdr:nvSpPr>
      <xdr:spPr>
        <a:xfrm>
          <a:off x="1860177" y="3899646"/>
          <a:ext cx="3283323" cy="26333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From Chapter 6</a:t>
          </a:r>
          <a:r>
            <a:rPr lang="en-US" sz="1100" baseline="0"/>
            <a:t> CONVERTING TO THE STANDARD NORMAL RANDOM VARIABLE: </a:t>
          </a:r>
        </a:p>
        <a:p>
          <a:endParaRPr lang="en-US" sz="1100" baseline="0"/>
        </a:p>
        <a:p>
          <a:r>
            <a:rPr lang="en-US" sz="1100" baseline="0"/>
            <a:t>Z=(x-u)/stdev</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Since the binomial probability distribution is discrete and the normal probability distribution is continuous, we account for this by computing the binomial probability of 22 by the normal probablity interval of 21.5 to 22.5. The 0.5 added is called the continuity correction factor.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Thus </a:t>
          </a:r>
          <a:r>
            <a:rPr lang="en-US"/>
            <a:t>p-value</a:t>
          </a:r>
          <a:r>
            <a:rPr lang="en-US" baseline="0"/>
            <a:t> or </a:t>
          </a:r>
          <a:r>
            <a:rPr lang="en-US"/>
            <a:t>P(x&lt;= 22.5)</a:t>
          </a:r>
          <a:r>
            <a:rPr lang="en-US" baseline="0"/>
            <a:t> or </a:t>
          </a:r>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a:t>P(z &lt;=(22.5 -30 )/3.873)=P(z&lt;= 1.94)</a:t>
          </a:r>
          <a:endParaRPr lang="en-US">
            <a:effectLst/>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57150</xdr:colOff>
      <xdr:row>0</xdr:row>
      <xdr:rowOff>0</xdr:rowOff>
    </xdr:from>
    <xdr:to>
      <xdr:col>18</xdr:col>
      <xdr:colOff>152400</xdr:colOff>
      <xdr:row>3</xdr:row>
      <xdr:rowOff>152401</xdr:rowOff>
    </xdr:to>
    <xdr:sp macro="" textlink="">
      <xdr:nvSpPr>
        <xdr:cNvPr id="2" name="TextBox 1">
          <a:extLst>
            <a:ext uri="{FF2B5EF4-FFF2-40B4-BE49-F238E27FC236}">
              <a16:creationId xmlns:a16="http://schemas.microsoft.com/office/drawing/2014/main" id="{19202E44-5305-572C-0321-425C351B6E63}"/>
            </a:ext>
          </a:extLst>
        </xdr:cNvPr>
        <xdr:cNvSpPr txBox="1"/>
      </xdr:nvSpPr>
      <xdr:spPr>
        <a:xfrm>
          <a:off x="3714750" y="0"/>
          <a:ext cx="6191250" cy="723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Hypothesis</a:t>
          </a:r>
          <a:r>
            <a:rPr lang="en-US" sz="2000" b="1" baseline="0"/>
            <a:t> Test with </a:t>
          </a:r>
          <a:r>
            <a:rPr lang="en-US" sz="2000" b="1"/>
            <a:t>matched samples (Non</a:t>
          </a:r>
          <a:r>
            <a:rPr lang="en-US" sz="2000" b="1" baseline="0"/>
            <a:t> parametric/ converted to not quantitative) </a:t>
          </a:r>
          <a:r>
            <a:rPr lang="en-US" sz="2000" b="1"/>
            <a:t>Sign Test</a:t>
          </a:r>
        </a:p>
      </xdr:txBody>
    </xdr:sp>
    <xdr:clientData/>
  </xdr:twoCellAnchor>
  <xdr:twoCellAnchor>
    <xdr:from>
      <xdr:col>14</xdr:col>
      <xdr:colOff>504825</xdr:colOff>
      <xdr:row>8</xdr:row>
      <xdr:rowOff>19048</xdr:rowOff>
    </xdr:from>
    <xdr:to>
      <xdr:col>21</xdr:col>
      <xdr:colOff>28575</xdr:colOff>
      <xdr:row>27</xdr:row>
      <xdr:rowOff>0</xdr:rowOff>
    </xdr:to>
    <xdr:sp macro="" textlink="">
      <xdr:nvSpPr>
        <xdr:cNvPr id="3" name="TextBox 2">
          <a:extLst>
            <a:ext uri="{FF2B5EF4-FFF2-40B4-BE49-F238E27FC236}">
              <a16:creationId xmlns:a16="http://schemas.microsoft.com/office/drawing/2014/main" id="{6844D5ED-1B7F-CE44-F7E7-87149D6C3C1F}"/>
            </a:ext>
          </a:extLst>
        </xdr:cNvPr>
        <xdr:cNvSpPr txBox="1"/>
      </xdr:nvSpPr>
      <xdr:spPr>
        <a:xfrm>
          <a:off x="8401050" y="1543048"/>
          <a:ext cx="3790950" cy="36004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sign test enables</a:t>
          </a:r>
          <a:r>
            <a:rPr lang="en-US" sz="1100" baseline="0"/>
            <a:t> us to analyze categorical as well as quantitative data and requires no assumption about the distribution of differences.</a:t>
          </a:r>
        </a:p>
        <a:p>
          <a:endParaRPr lang="en-US" sz="1100" baseline="0"/>
        </a:p>
        <a:p>
          <a:r>
            <a:rPr lang="en-US" sz="1100" baseline="0"/>
            <a:t>An example of this matched sample design orccurs in a market research when sample of n potential customers is asked  to compare two brands of a product such as coffee, soft drinks or detergents. Without obtaining a quantitative measure of each individuals preference for the brands, each individual is asked to state a brand preferance. </a:t>
          </a:r>
        </a:p>
        <a:p>
          <a:endParaRPr lang="en-US" sz="1100" baseline="0"/>
        </a:p>
        <a:p>
          <a:r>
            <a:rPr lang="en-US" sz="1100" baseline="0"/>
            <a:t>For example comparing two orange juice brands, the brand the individual samples first is random, and they are given unmarked samples of the two. Since this is a survey from the company Citrus valley, if the individual selected Citrus Valley as the more preffered  a plus sign was recorded, if they choose Tropical Orange a minus sign was recorded.  If the individual is unable to express a difference between the two, no sign was recorded. </a:t>
          </a:r>
          <a:endParaRPr lang="en-US" sz="1100"/>
        </a:p>
      </xdr:txBody>
    </xdr:sp>
    <xdr:clientData/>
  </xdr:twoCellAnchor>
  <xdr:twoCellAnchor>
    <xdr:from>
      <xdr:col>5</xdr:col>
      <xdr:colOff>304800</xdr:colOff>
      <xdr:row>5</xdr:row>
      <xdr:rowOff>0</xdr:rowOff>
    </xdr:from>
    <xdr:to>
      <xdr:col>14</xdr:col>
      <xdr:colOff>38100</xdr:colOff>
      <xdr:row>30</xdr:row>
      <xdr:rowOff>85725</xdr:rowOff>
    </xdr:to>
    <xdr:sp macro="" textlink="">
      <xdr:nvSpPr>
        <xdr:cNvPr id="4" name="TextBox 3">
          <a:extLst>
            <a:ext uri="{FF2B5EF4-FFF2-40B4-BE49-F238E27FC236}">
              <a16:creationId xmlns:a16="http://schemas.microsoft.com/office/drawing/2014/main" id="{EEDA05CC-BC93-5489-3A08-151795F10CAA}"/>
            </a:ext>
          </a:extLst>
        </xdr:cNvPr>
        <xdr:cNvSpPr txBox="1"/>
      </xdr:nvSpPr>
      <xdr:spPr>
        <a:xfrm>
          <a:off x="3933825" y="952500"/>
          <a:ext cx="5219700" cy="484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Letting</a:t>
          </a:r>
          <a:r>
            <a:rPr lang="en-US" sz="1100" baseline="0"/>
            <a:t> p indicate the proportion of the population of customers who prefer Citrus Valley orange juice, we want to test the hypothesis test that there is no difference between the preferences for the two brands as follows:</a:t>
          </a:r>
        </a:p>
        <a:p>
          <a:endParaRPr lang="en-US" sz="1100" baseline="0"/>
        </a:p>
        <a:p>
          <a:r>
            <a:rPr lang="en-US" sz="1100" baseline="0"/>
            <a:t>Ho: p=0.50</a:t>
          </a:r>
        </a:p>
        <a:p>
          <a:r>
            <a:rPr lang="en-US" sz="1100" baseline="0"/>
            <a:t>Ha: p does not equal 0.50</a:t>
          </a:r>
        </a:p>
        <a:p>
          <a:endParaRPr lang="en-US" sz="1100" baseline="0"/>
        </a:p>
        <a:p>
          <a:r>
            <a:rPr lang="en-US" sz="1100" baseline="0"/>
            <a:t>Under the assumption Ho is true we would expect 0.50n = 0.50(12) = 6 plus signs. With only two plus signs in the sample, the results are in the lower tail of the binomial distribution. To compute the p value for this two tailed test, we first compute the probability of 2 or fewer plus signs and then double this value.  </a:t>
          </a:r>
        </a:p>
        <a:p>
          <a:endParaRPr lang="en-US" sz="1100" baseline="0"/>
        </a:p>
        <a:p>
          <a:r>
            <a:rPr lang="en-US"/>
            <a:t>Using the binomial probabilities of 0, 1, and 2 shown in Table, the p-value is 2(0.0002 +0.0029 +0.0161)=0.0384. With .0384 &lt; .05, we reject H0.  The taste test provides evidence that consumer pref erence differs significantly for the two brands of orange juice. We would advise Sun Coast Farms of this result and conclude that the competitor’s Tropical Orange product is the more preferred. Sun Coast Farms can then pursue a strategy to address this issue. Similar to other uses of the sign test, one-tailed tests may be used depending upon the ap plication. Also, as the sample size becomes large, the normal distribution approximation of the binomial distribution will ease the computations as shown earlier in this section. While the Sun Coast Farms sign test for matched samples used categorical preference data, the sign test for matched samples can be used with quantitative data as well. This would be particularly help ful if the paired differences are not normally distributed and are skewed. In this case a positive difference is assigned a plus sign, a negative difference is assigned a negative sign, and a zero difference is removed from the sample. The sign test computations proceed as before.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333375</xdr:colOff>
      <xdr:row>5</xdr:row>
      <xdr:rowOff>9525</xdr:rowOff>
    </xdr:from>
    <xdr:to>
      <xdr:col>25</xdr:col>
      <xdr:colOff>581025</xdr:colOff>
      <xdr:row>21</xdr:row>
      <xdr:rowOff>66675</xdr:rowOff>
    </xdr:to>
    <xdr:sp macro="" textlink="">
      <xdr:nvSpPr>
        <xdr:cNvPr id="2" name="TextBox 1">
          <a:extLst>
            <a:ext uri="{FF2B5EF4-FFF2-40B4-BE49-F238E27FC236}">
              <a16:creationId xmlns:a16="http://schemas.microsoft.com/office/drawing/2014/main" id="{DA24EABD-8FA7-9494-B336-B501D44E394E}"/>
            </a:ext>
          </a:extLst>
        </xdr:cNvPr>
        <xdr:cNvSpPr txBox="1"/>
      </xdr:nvSpPr>
      <xdr:spPr>
        <a:xfrm>
          <a:off x="9277350" y="1152525"/>
          <a:ext cx="6343650" cy="312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Test uses quantitative</a:t>
          </a:r>
          <a:r>
            <a:rPr lang="en-US" sz="1100" baseline="0"/>
            <a:t> data but does not require assumption that the differences between the paired observations are normally distrubuted. It only requires the </a:t>
          </a:r>
          <a:r>
            <a:rPr lang="en-US" sz="1100" baseline="0">
              <a:solidFill>
                <a:schemeClr val="dk1"/>
              </a:solidFill>
              <a:effectLst/>
              <a:latin typeface="+mn-lt"/>
              <a:ea typeface="+mn-ea"/>
              <a:cs typeface="+mn-cs"/>
            </a:rPr>
            <a:t>assumption that </a:t>
          </a:r>
          <a:r>
            <a:rPr lang="en-US" sz="1100" baseline="0"/>
            <a:t> the differences between the paired observations have symmetric distribution. This occurs whenever the shapes of the two populations are the same and focus is on determining if there is a difference between the median of the two populations. </a:t>
          </a:r>
          <a:r>
            <a:rPr lang="en-US"/>
            <a:t>This occurs whenever the shapes of the two populations are the same and the focus is on determining if there is a difference between the medians of the two populations. Let us demonstrate the Wilcoxon signed-rank test with the following example.</a:t>
          </a:r>
          <a:endParaRPr lang="en-US" sz="1100" baseline="0"/>
        </a:p>
        <a:p>
          <a:r>
            <a:rPr lang="en-US"/>
            <a:t>Consider a manufacturing firm that is attempting to determine whether two production methods differ in terms of task completion time. Using a matched-samples experimental design, 11 randomly selected workers completed the production task two times, once using method Aand once using method B. The production method that the worker used first was randomly selected. A positive difference indicates that method Arequired more time; a negative difference indicates that method B required more time.</a:t>
          </a:r>
        </a:p>
        <a:p>
          <a:r>
            <a:rPr lang="en-US"/>
            <a:t>Do the data indicate that the two production methods differ significantly in terms of com pletion times? </a:t>
          </a:r>
        </a:p>
        <a:p>
          <a:endParaRPr lang="en-US" sz="1100"/>
        </a:p>
        <a:p>
          <a:r>
            <a:rPr lang="en-US"/>
            <a:t>H0: Ha: Median for method A -Median for method B =0 </a:t>
          </a:r>
        </a:p>
        <a:p>
          <a:r>
            <a:rPr lang="en-US"/>
            <a:t>Ha: Median for method A -Median for method B does not equal 0.</a:t>
          </a:r>
          <a:endParaRPr lang="en-US" sz="1100"/>
        </a:p>
      </xdr:txBody>
    </xdr:sp>
    <xdr:clientData/>
  </xdr:twoCellAnchor>
  <xdr:twoCellAnchor>
    <xdr:from>
      <xdr:col>14</xdr:col>
      <xdr:colOff>561976</xdr:colOff>
      <xdr:row>0</xdr:row>
      <xdr:rowOff>38100</xdr:rowOff>
    </xdr:from>
    <xdr:to>
      <xdr:col>21</xdr:col>
      <xdr:colOff>276226</xdr:colOff>
      <xdr:row>2</xdr:row>
      <xdr:rowOff>161925</xdr:rowOff>
    </xdr:to>
    <xdr:sp macro="" textlink="">
      <xdr:nvSpPr>
        <xdr:cNvPr id="3" name="TextBox 2">
          <a:extLst>
            <a:ext uri="{FF2B5EF4-FFF2-40B4-BE49-F238E27FC236}">
              <a16:creationId xmlns:a16="http://schemas.microsoft.com/office/drawing/2014/main" id="{0713971D-5CF3-C231-4370-F93B9521FB55}"/>
            </a:ext>
          </a:extLst>
        </xdr:cNvPr>
        <xdr:cNvSpPr txBox="1"/>
      </xdr:nvSpPr>
      <xdr:spPr>
        <a:xfrm>
          <a:off x="8896351" y="38100"/>
          <a:ext cx="3981450"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Wilcoxin signed rank test</a:t>
          </a:r>
        </a:p>
      </xdr:txBody>
    </xdr:sp>
    <xdr:clientData/>
  </xdr:twoCellAnchor>
  <xdr:twoCellAnchor>
    <xdr:from>
      <xdr:col>0</xdr:col>
      <xdr:colOff>0</xdr:colOff>
      <xdr:row>19</xdr:row>
      <xdr:rowOff>47625</xdr:rowOff>
    </xdr:from>
    <xdr:to>
      <xdr:col>6</xdr:col>
      <xdr:colOff>876300</xdr:colOff>
      <xdr:row>45</xdr:row>
      <xdr:rowOff>123825</xdr:rowOff>
    </xdr:to>
    <xdr:sp macro="" textlink="">
      <xdr:nvSpPr>
        <xdr:cNvPr id="5" name="TextBox 4">
          <a:extLst>
            <a:ext uri="{FF2B5EF4-FFF2-40B4-BE49-F238E27FC236}">
              <a16:creationId xmlns:a16="http://schemas.microsoft.com/office/drawing/2014/main" id="{0EF06AA0-DCAC-CE67-AE69-D9BD5A060306}"/>
            </a:ext>
          </a:extLst>
        </xdr:cNvPr>
        <xdr:cNvSpPr txBox="1"/>
      </xdr:nvSpPr>
      <xdr:spPr>
        <a:xfrm>
          <a:off x="0" y="4067175"/>
          <a:ext cx="4581525" cy="502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first step in the Wilcoxon signed-rank test is to discard the difference of zero for worker 8 and then compute the absolute value of the differences for the remaining 10 workers</a:t>
          </a:r>
        </a:p>
        <a:p>
          <a:endParaRPr lang="en-US" sz="1100"/>
        </a:p>
        <a:p>
          <a:r>
            <a:rPr lang="en-US"/>
            <a:t>Next we rank these absolute differences from lowest to highest. The smallest absolute difference of .1 for worker 7 is assigned the rank of 1. The second smallest absolute difference of .2 for worker 2 is as signed the rank of 2.</a:t>
          </a:r>
        </a:p>
        <a:p>
          <a:r>
            <a:rPr lang="en-US"/>
            <a:t>The tied absolute differences of .4 for workers 3 and 5 are assigned the average rank of 3.5</a:t>
          </a:r>
          <a:r>
            <a:rPr lang="en-US" baseline="0"/>
            <a:t> ((3+4)/2). </a:t>
          </a:r>
          <a:r>
            <a:rPr lang="en-US"/>
            <a:t>Similarly, the tied absolute differences of .5 for workers 4 and 10 are assigned the average rank of 5.5 ((5+6/2). To do this I just copied and pasted the absolute values, Sorted</a:t>
          </a:r>
          <a:r>
            <a:rPr lang="en-US" baseline="0"/>
            <a:t> them from lowes to greatest, then put in a rank manually.</a:t>
          </a:r>
          <a:endParaRPr lang="en-US"/>
        </a:p>
        <a:p>
          <a:endParaRPr lang="en-US"/>
        </a:p>
        <a:p>
          <a:endParaRPr lang="en-US"/>
        </a:p>
        <a:p>
          <a:r>
            <a:rPr lang="en-US"/>
            <a:t> Once the ranks of the absolute differences have been determined, each rank is given the signof the original difference for the worker. The negative signed ranks are placed in column 5 and the positive signed ranks are placed in column 6 (see Table 19.7). For example, the difference for worker 1 was a positive .7 (see column 2) and the rank of the absolute difference was 8 (see column 4). Thus, the rank for worker 1 is shown as a posi tive signed rank in column 6. The difference for worker 2 was a negative .2 and the rank of the absolute difference was 2. Thus, the rank for worker 2 is shown as a negative signed rank of 2 in column 5. Continuing this process generates the negative and positive signed ranks as shown .</a:t>
          </a:r>
        </a:p>
        <a:p>
          <a:endParaRPr lang="en-US" sz="1100"/>
        </a:p>
      </xdr:txBody>
    </xdr:sp>
    <xdr:clientData/>
  </xdr:twoCellAnchor>
  <xdr:twoCellAnchor editAs="oneCell">
    <xdr:from>
      <xdr:col>7</xdr:col>
      <xdr:colOff>295275</xdr:colOff>
      <xdr:row>18</xdr:row>
      <xdr:rowOff>171450</xdr:rowOff>
    </xdr:from>
    <xdr:to>
      <xdr:col>14</xdr:col>
      <xdr:colOff>102068</xdr:colOff>
      <xdr:row>41</xdr:row>
      <xdr:rowOff>181588</xdr:rowOff>
    </xdr:to>
    <xdr:pic>
      <xdr:nvPicPr>
        <xdr:cNvPr id="6" name="Picture 5">
          <a:extLst>
            <a:ext uri="{FF2B5EF4-FFF2-40B4-BE49-F238E27FC236}">
              <a16:creationId xmlns:a16="http://schemas.microsoft.com/office/drawing/2014/main" id="{14655DB0-1475-8EAB-26EA-9200D8F56BC0}"/>
            </a:ext>
          </a:extLst>
        </xdr:cNvPr>
        <xdr:cNvPicPr>
          <a:picLocks noChangeAspect="1"/>
        </xdr:cNvPicPr>
      </xdr:nvPicPr>
      <xdr:blipFill>
        <a:blip xmlns:r="http://schemas.openxmlformats.org/officeDocument/2006/relationships" r:embed="rId1"/>
        <a:stretch>
          <a:fillRect/>
        </a:stretch>
      </xdr:blipFill>
      <xdr:spPr>
        <a:xfrm>
          <a:off x="5219700" y="4000500"/>
          <a:ext cx="4696480" cy="4391638"/>
        </a:xfrm>
        <a:prstGeom prst="rect">
          <a:avLst/>
        </a:prstGeom>
      </xdr:spPr>
    </xdr:pic>
    <xdr:clientData/>
  </xdr:twoCellAnchor>
  <xdr:twoCellAnchor editAs="oneCell">
    <xdr:from>
      <xdr:col>7</xdr:col>
      <xdr:colOff>361950</xdr:colOff>
      <xdr:row>41</xdr:row>
      <xdr:rowOff>152400</xdr:rowOff>
    </xdr:from>
    <xdr:to>
      <xdr:col>14</xdr:col>
      <xdr:colOff>187138</xdr:colOff>
      <xdr:row>59</xdr:row>
      <xdr:rowOff>76668</xdr:rowOff>
    </xdr:to>
    <xdr:pic>
      <xdr:nvPicPr>
        <xdr:cNvPr id="7" name="Picture 6">
          <a:extLst>
            <a:ext uri="{FF2B5EF4-FFF2-40B4-BE49-F238E27FC236}">
              <a16:creationId xmlns:a16="http://schemas.microsoft.com/office/drawing/2014/main" id="{196E3210-DE20-3531-5C41-057716048554}"/>
            </a:ext>
          </a:extLst>
        </xdr:cNvPr>
        <xdr:cNvPicPr>
          <a:picLocks noChangeAspect="1"/>
        </xdr:cNvPicPr>
      </xdr:nvPicPr>
      <xdr:blipFill>
        <a:blip xmlns:r="http://schemas.openxmlformats.org/officeDocument/2006/relationships" r:embed="rId2"/>
        <a:stretch>
          <a:fillRect/>
        </a:stretch>
      </xdr:blipFill>
      <xdr:spPr>
        <a:xfrm>
          <a:off x="4829175" y="8362950"/>
          <a:ext cx="4714875" cy="3353268"/>
        </a:xfrm>
        <a:prstGeom prst="rect">
          <a:avLst/>
        </a:prstGeom>
      </xdr:spPr>
    </xdr:pic>
    <xdr:clientData/>
  </xdr:twoCellAnchor>
  <xdr:twoCellAnchor editAs="oneCell">
    <xdr:from>
      <xdr:col>14</xdr:col>
      <xdr:colOff>438150</xdr:colOff>
      <xdr:row>44</xdr:row>
      <xdr:rowOff>171450</xdr:rowOff>
    </xdr:from>
    <xdr:to>
      <xdr:col>22</xdr:col>
      <xdr:colOff>353094</xdr:colOff>
      <xdr:row>63</xdr:row>
      <xdr:rowOff>10008</xdr:rowOff>
    </xdr:to>
    <xdr:pic>
      <xdr:nvPicPr>
        <xdr:cNvPr id="8" name="Picture 7">
          <a:extLst>
            <a:ext uri="{FF2B5EF4-FFF2-40B4-BE49-F238E27FC236}">
              <a16:creationId xmlns:a16="http://schemas.microsoft.com/office/drawing/2014/main" id="{0EB6B624-4F96-62E7-B62A-7B2EA5475CEB}"/>
            </a:ext>
          </a:extLst>
        </xdr:cNvPr>
        <xdr:cNvPicPr>
          <a:picLocks noChangeAspect="1"/>
        </xdr:cNvPicPr>
      </xdr:nvPicPr>
      <xdr:blipFill>
        <a:blip xmlns:r="http://schemas.openxmlformats.org/officeDocument/2006/relationships" r:embed="rId3"/>
        <a:stretch>
          <a:fillRect/>
        </a:stretch>
      </xdr:blipFill>
      <xdr:spPr>
        <a:xfrm>
          <a:off x="9582150" y="8953500"/>
          <a:ext cx="4791744" cy="34580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555171</xdr:colOff>
      <xdr:row>14</xdr:row>
      <xdr:rowOff>32655</xdr:rowOff>
    </xdr:from>
    <xdr:to>
      <xdr:col>16</xdr:col>
      <xdr:colOff>503464</xdr:colOff>
      <xdr:row>43</xdr:row>
      <xdr:rowOff>175532</xdr:rowOff>
    </xdr:to>
    <xdr:sp macro="" textlink="">
      <xdr:nvSpPr>
        <xdr:cNvPr id="2" name="TextBox 1">
          <a:extLst>
            <a:ext uri="{FF2B5EF4-FFF2-40B4-BE49-F238E27FC236}">
              <a16:creationId xmlns:a16="http://schemas.microsoft.com/office/drawing/2014/main" id="{C525E42D-6A0F-A4A6-4389-482A952D0979}"/>
            </a:ext>
          </a:extLst>
        </xdr:cNvPr>
        <xdr:cNvSpPr txBox="1"/>
      </xdr:nvSpPr>
      <xdr:spPr>
        <a:xfrm>
          <a:off x="3993696" y="2718705"/>
          <a:ext cx="7482568" cy="5676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a:t>
          </a:r>
          <a:r>
            <a:rPr lang="en-US" baseline="0"/>
            <a:t> n</a:t>
          </a:r>
          <a:r>
            <a:rPr lang="en-US"/>
            <a:t>onparametric test for the difference between two populations based on two independent samples. Advantages of this nonparametric procedure are that it can be used with either ordinal data or quantitative data and it does not require the assumption that the populations have a normal distribution.</a:t>
          </a:r>
        </a:p>
        <a:p>
          <a:endParaRPr lang="en-US" sz="1100"/>
        </a:p>
        <a:p>
          <a:r>
            <a:rPr lang="en-US"/>
            <a:t>We begin the MWW test by stating the most general form of the null and alternative hypotheses as follows: </a:t>
          </a:r>
        </a:p>
        <a:p>
          <a:endParaRPr lang="en-US"/>
        </a:p>
        <a:p>
          <a:r>
            <a:rPr lang="en-US"/>
            <a:t>H0: The two populations are identical.</a:t>
          </a:r>
          <a:r>
            <a:rPr lang="en-US" baseline="0"/>
            <a:t> </a:t>
          </a:r>
        </a:p>
        <a:p>
          <a:r>
            <a:rPr lang="en-US" sz="1100">
              <a:solidFill>
                <a:schemeClr val="dk1"/>
              </a:solidFill>
              <a:effectLst/>
              <a:latin typeface="+mn-lt"/>
              <a:ea typeface="+mn-ea"/>
              <a:cs typeface="+mn-cs"/>
            </a:rPr>
            <a:t>Ha: </a:t>
          </a:r>
          <a:r>
            <a:rPr lang="en-US"/>
            <a:t>The two populations are not identical</a:t>
          </a:r>
        </a:p>
        <a:p>
          <a:endParaRPr lang="en-US" sz="1100"/>
        </a:p>
        <a:p>
          <a:r>
            <a:rPr lang="en-US"/>
            <a:t>In a two-tailed test, we consider the alternative hypothesis that either population may provide the smaller or larger values. One-tailed versions of the test can be formulated with the alternative hypothesis that population 1 provides either the smaller or the larger values compared to population 2.</a:t>
          </a:r>
        </a:p>
        <a:p>
          <a:endParaRPr lang="en-US"/>
        </a:p>
        <a:p>
          <a:r>
            <a:rPr lang="en-US"/>
            <a:t>Let us consider the on-the-job performance ratings for employees at a Showtime Cinemas 20-screen multiplex movie theater. During an employee performance review, the theater manager rated all 35 employees from best (rating 1) to worst (rating 35) in the the ater’s annual report</a:t>
          </a:r>
        </a:p>
        <a:p>
          <a:endParaRPr lang="en-US" sz="1100" b="1"/>
        </a:p>
        <a:p>
          <a:r>
            <a:rPr lang="en-US"/>
            <a:t>Ho: College and high school student populations are identical in terms of performance</a:t>
          </a:r>
        </a:p>
        <a:p>
          <a:r>
            <a:rPr lang="en-US" sz="1100">
              <a:solidFill>
                <a:schemeClr val="dk1"/>
              </a:solidFill>
              <a:effectLst/>
              <a:latin typeface="+mn-lt"/>
              <a:ea typeface="+mn-ea"/>
              <a:cs typeface="+mn-cs"/>
            </a:rPr>
            <a:t>Ha: </a:t>
          </a:r>
          <a:r>
            <a:rPr lang="en-US"/>
            <a:t>College and high school student populations are not identical in terms of performance </a:t>
          </a:r>
        </a:p>
        <a:p>
          <a:endParaRPr lang="en-US" sz="1100" b="1"/>
        </a:p>
        <a:p>
          <a:r>
            <a:rPr lang="en-US"/>
            <a:t>We begin by selecting a random sample of four college students and a random sample of five high school students working at Showtime Cinemas. The theater manager’s overall performance rating based on all 35 employees was recorded for each of these employees. </a:t>
          </a:r>
        </a:p>
        <a:p>
          <a:endParaRPr lang="en-US" sz="1100" b="1"/>
        </a:p>
        <a:p>
          <a:r>
            <a:rPr lang="en-US"/>
            <a:t>The next step in the MWWprocedure is to rank the combinedsamples from low to high. Since there is a total of 9 students, we rank the performance rating data from 1 to 9.</a:t>
          </a:r>
        </a:p>
        <a:p>
          <a:endParaRPr lang="en-US" sz="1100" b="1"/>
        </a:p>
        <a:p>
          <a:r>
            <a:rPr lang="en-US"/>
            <a:t>Next we sum the ranks for each sample as shown in Table 19.9. The MWWprocedure may use the sum of the ranks for either sample. However, in our application of the MWW test we will follow the common practice of using the first sample which is the sample of four college students. The sum of ranks for the first sample will be the test statistic W for the MWWtest. This sum, as shown in Table 19.9, is W =4 +1+ 7 +2= 14.   </a:t>
          </a:r>
        </a:p>
        <a:p>
          <a:endParaRPr lang="en-US" sz="1100" b="1"/>
        </a:p>
        <a:p>
          <a:r>
            <a:rPr lang="en-US" sz="1100" b="1"/>
            <a:t>Unfortunetly</a:t>
          </a:r>
          <a:r>
            <a:rPr lang="en-US" sz="1100" b="1" baseline="0"/>
            <a:t> this actually requires Python to do.</a:t>
          </a:r>
          <a:endParaRPr lang="en-US" sz="1100" b="1"/>
        </a:p>
      </xdr:txBody>
    </xdr:sp>
    <xdr:clientData/>
  </xdr:twoCellAnchor>
  <xdr:twoCellAnchor>
    <xdr:from>
      <xdr:col>5</xdr:col>
      <xdr:colOff>571500</xdr:colOff>
      <xdr:row>7</xdr:row>
      <xdr:rowOff>104775</xdr:rowOff>
    </xdr:from>
    <xdr:to>
      <xdr:col>9</xdr:col>
      <xdr:colOff>295275</xdr:colOff>
      <xdr:row>13</xdr:row>
      <xdr:rowOff>104774</xdr:rowOff>
    </xdr:to>
    <xdr:sp macro="" textlink="">
      <xdr:nvSpPr>
        <xdr:cNvPr id="3" name="TextBox 2">
          <a:extLst>
            <a:ext uri="{FF2B5EF4-FFF2-40B4-BE49-F238E27FC236}">
              <a16:creationId xmlns:a16="http://schemas.microsoft.com/office/drawing/2014/main" id="{3B545497-D73C-626B-0B35-6982675CD47F}"/>
            </a:ext>
          </a:extLst>
        </xdr:cNvPr>
        <xdr:cNvSpPr txBox="1"/>
      </xdr:nvSpPr>
      <xdr:spPr>
        <a:xfrm>
          <a:off x="4619625" y="1457325"/>
          <a:ext cx="2381250" cy="1142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Unfortunetly</a:t>
          </a:r>
          <a:r>
            <a:rPr lang="en-US" sz="1100" b="1" baseline="0">
              <a:solidFill>
                <a:schemeClr val="dk1"/>
              </a:solidFill>
              <a:effectLst/>
              <a:latin typeface="+mn-lt"/>
              <a:ea typeface="+mn-ea"/>
              <a:cs typeface="+mn-cs"/>
            </a:rPr>
            <a:t> this actually requires Python to do. Like I could do it here but it would require looking at complex mann whitney wilcoxon tables and its just easier to do in python.</a:t>
          </a:r>
          <a:endParaRPr lang="en-US">
            <a:effectLst/>
          </a:endParaRP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21121</xdr:colOff>
      <xdr:row>0</xdr:row>
      <xdr:rowOff>0</xdr:rowOff>
    </xdr:from>
    <xdr:to>
      <xdr:col>24</xdr:col>
      <xdr:colOff>331615</xdr:colOff>
      <xdr:row>16</xdr:row>
      <xdr:rowOff>105268</xdr:rowOff>
    </xdr:to>
    <xdr:pic>
      <xdr:nvPicPr>
        <xdr:cNvPr id="2" name="Picture 1">
          <a:extLst>
            <a:ext uri="{FF2B5EF4-FFF2-40B4-BE49-F238E27FC236}">
              <a16:creationId xmlns:a16="http://schemas.microsoft.com/office/drawing/2014/main" id="{0AB2E24C-DC73-15DA-FCB4-8A90E2672E9E}"/>
            </a:ext>
          </a:extLst>
        </xdr:cNvPr>
        <xdr:cNvPicPr>
          <a:picLocks noChangeAspect="1"/>
        </xdr:cNvPicPr>
      </xdr:nvPicPr>
      <xdr:blipFill>
        <a:blip xmlns:r="http://schemas.openxmlformats.org/officeDocument/2006/relationships" r:embed="rId1"/>
        <a:stretch>
          <a:fillRect/>
        </a:stretch>
      </xdr:blipFill>
      <xdr:spPr>
        <a:xfrm>
          <a:off x="9827730" y="0"/>
          <a:ext cx="5297142" cy="3534268"/>
        </a:xfrm>
        <a:prstGeom prst="rect">
          <a:avLst/>
        </a:prstGeom>
      </xdr:spPr>
    </xdr:pic>
    <xdr:clientData/>
  </xdr:twoCellAnchor>
  <xdr:twoCellAnchor editAs="oneCell">
    <xdr:from>
      <xdr:col>5</xdr:col>
      <xdr:colOff>130969</xdr:colOff>
      <xdr:row>17</xdr:row>
      <xdr:rowOff>23812</xdr:rowOff>
    </xdr:from>
    <xdr:to>
      <xdr:col>14</xdr:col>
      <xdr:colOff>98408</xdr:colOff>
      <xdr:row>33</xdr:row>
      <xdr:rowOff>52816</xdr:rowOff>
    </xdr:to>
    <xdr:pic>
      <xdr:nvPicPr>
        <xdr:cNvPr id="3" name="Picture 2">
          <a:extLst>
            <a:ext uri="{FF2B5EF4-FFF2-40B4-BE49-F238E27FC236}">
              <a16:creationId xmlns:a16="http://schemas.microsoft.com/office/drawing/2014/main" id="{EBF6DB1A-0DE4-621D-BBC7-DC6CDB221077}"/>
            </a:ext>
          </a:extLst>
        </xdr:cNvPr>
        <xdr:cNvPicPr>
          <a:picLocks noChangeAspect="1"/>
        </xdr:cNvPicPr>
      </xdr:nvPicPr>
      <xdr:blipFill>
        <a:blip xmlns:r="http://schemas.openxmlformats.org/officeDocument/2006/relationships" r:embed="rId2"/>
        <a:stretch>
          <a:fillRect/>
        </a:stretch>
      </xdr:blipFill>
      <xdr:spPr>
        <a:xfrm>
          <a:off x="3167063" y="3643312"/>
          <a:ext cx="5563376" cy="3077004"/>
        </a:xfrm>
        <a:prstGeom prst="rect">
          <a:avLst/>
        </a:prstGeom>
      </xdr:spPr>
    </xdr:pic>
    <xdr:clientData/>
  </xdr:twoCellAnchor>
  <xdr:twoCellAnchor editAs="oneCell">
    <xdr:from>
      <xdr:col>5</xdr:col>
      <xdr:colOff>107157</xdr:colOff>
      <xdr:row>36</xdr:row>
      <xdr:rowOff>47624</xdr:rowOff>
    </xdr:from>
    <xdr:to>
      <xdr:col>14</xdr:col>
      <xdr:colOff>160333</xdr:colOff>
      <xdr:row>56</xdr:row>
      <xdr:rowOff>181578</xdr:rowOff>
    </xdr:to>
    <xdr:pic>
      <xdr:nvPicPr>
        <xdr:cNvPr id="4" name="Picture 3">
          <a:extLst>
            <a:ext uri="{FF2B5EF4-FFF2-40B4-BE49-F238E27FC236}">
              <a16:creationId xmlns:a16="http://schemas.microsoft.com/office/drawing/2014/main" id="{0546F0B3-81F9-C8AB-4217-A3791C71BBFA}"/>
            </a:ext>
          </a:extLst>
        </xdr:cNvPr>
        <xdr:cNvPicPr>
          <a:picLocks noChangeAspect="1"/>
        </xdr:cNvPicPr>
      </xdr:nvPicPr>
      <xdr:blipFill>
        <a:blip xmlns:r="http://schemas.openxmlformats.org/officeDocument/2006/relationships" r:embed="rId3"/>
        <a:stretch>
          <a:fillRect/>
        </a:stretch>
      </xdr:blipFill>
      <xdr:spPr>
        <a:xfrm>
          <a:off x="3143251" y="7286624"/>
          <a:ext cx="5649113" cy="4324954"/>
        </a:xfrm>
        <a:prstGeom prst="rect">
          <a:avLst/>
        </a:prstGeom>
      </xdr:spPr>
    </xdr:pic>
    <xdr:clientData/>
  </xdr:twoCellAnchor>
  <xdr:twoCellAnchor>
    <xdr:from>
      <xdr:col>5</xdr:col>
      <xdr:colOff>273843</xdr:colOff>
      <xdr:row>34</xdr:row>
      <xdr:rowOff>130969</xdr:rowOff>
    </xdr:from>
    <xdr:to>
      <xdr:col>13</xdr:col>
      <xdr:colOff>214311</xdr:colOff>
      <xdr:row>35</xdr:row>
      <xdr:rowOff>154781</xdr:rowOff>
    </xdr:to>
    <xdr:sp macro="" textlink="">
      <xdr:nvSpPr>
        <xdr:cNvPr id="5" name="TextBox 4">
          <a:extLst>
            <a:ext uri="{FF2B5EF4-FFF2-40B4-BE49-F238E27FC236}">
              <a16:creationId xmlns:a16="http://schemas.microsoft.com/office/drawing/2014/main" id="{A3182F35-E25C-E572-1A4D-A97B8EDA15FD}"/>
            </a:ext>
          </a:extLst>
        </xdr:cNvPr>
        <xdr:cNvSpPr txBox="1"/>
      </xdr:nvSpPr>
      <xdr:spPr>
        <a:xfrm>
          <a:off x="3309937" y="6988969"/>
          <a:ext cx="4929187" cy="214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 use the continuity correction factor of 0.05.</a:t>
          </a:r>
          <a:r>
            <a:rPr lang="en-US" sz="1100" baseline="0"/>
            <a:t> </a:t>
          </a:r>
          <a:endParaRPr lang="en-US" sz="1100"/>
        </a:p>
      </xdr:txBody>
    </xdr:sp>
    <xdr:clientData/>
  </xdr:twoCellAnchor>
  <xdr:twoCellAnchor>
    <xdr:from>
      <xdr:col>6</xdr:col>
      <xdr:colOff>130968</xdr:colOff>
      <xdr:row>15</xdr:row>
      <xdr:rowOff>154781</xdr:rowOff>
    </xdr:from>
    <xdr:to>
      <xdr:col>9</xdr:col>
      <xdr:colOff>214312</xdr:colOff>
      <xdr:row>16</xdr:row>
      <xdr:rowOff>130969</xdr:rowOff>
    </xdr:to>
    <xdr:sp macro="" textlink="">
      <xdr:nvSpPr>
        <xdr:cNvPr id="6" name="TextBox 5">
          <a:extLst>
            <a:ext uri="{FF2B5EF4-FFF2-40B4-BE49-F238E27FC236}">
              <a16:creationId xmlns:a16="http://schemas.microsoft.com/office/drawing/2014/main" id="{1A98D38C-C074-368C-FFE3-A29D19F9E2FD}"/>
            </a:ext>
          </a:extLst>
        </xdr:cNvPr>
        <xdr:cNvSpPr txBox="1"/>
      </xdr:nvSpPr>
      <xdr:spPr>
        <a:xfrm>
          <a:off x="3774281" y="3393281"/>
          <a:ext cx="1905000" cy="166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 also suggest using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152400</xdr:colOff>
      <xdr:row>0</xdr:row>
      <xdr:rowOff>57150</xdr:rowOff>
    </xdr:from>
    <xdr:to>
      <xdr:col>19</xdr:col>
      <xdr:colOff>200025</xdr:colOff>
      <xdr:row>4</xdr:row>
      <xdr:rowOff>47625</xdr:rowOff>
    </xdr:to>
    <xdr:sp macro="" textlink="">
      <xdr:nvSpPr>
        <xdr:cNvPr id="2" name="TextBox 1">
          <a:extLst>
            <a:ext uri="{FF2B5EF4-FFF2-40B4-BE49-F238E27FC236}">
              <a16:creationId xmlns:a16="http://schemas.microsoft.com/office/drawing/2014/main" id="{FB7DD499-018B-AE24-9236-CAC9FC5A1EF5}"/>
            </a:ext>
          </a:extLst>
        </xdr:cNvPr>
        <xdr:cNvSpPr txBox="1"/>
      </xdr:nvSpPr>
      <xdr:spPr>
        <a:xfrm>
          <a:off x="9744075" y="57150"/>
          <a:ext cx="2486025"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hypothesis tests involving three or more populations</a:t>
          </a:r>
        </a:p>
      </xdr:txBody>
    </xdr:sp>
    <xdr:clientData/>
  </xdr:twoCellAnchor>
  <xdr:twoCellAnchor>
    <xdr:from>
      <xdr:col>13</xdr:col>
      <xdr:colOff>371475</xdr:colOff>
      <xdr:row>10</xdr:row>
      <xdr:rowOff>180974</xdr:rowOff>
    </xdr:from>
    <xdr:to>
      <xdr:col>20</xdr:col>
      <xdr:colOff>352425</xdr:colOff>
      <xdr:row>25</xdr:row>
      <xdr:rowOff>19049</xdr:rowOff>
    </xdr:to>
    <xdr:sp macro="" textlink="">
      <xdr:nvSpPr>
        <xdr:cNvPr id="3" name="TextBox 2">
          <a:extLst>
            <a:ext uri="{FF2B5EF4-FFF2-40B4-BE49-F238E27FC236}">
              <a16:creationId xmlns:a16="http://schemas.microsoft.com/office/drawing/2014/main" id="{037BB9CA-BDC7-5D8C-9D02-AAA525AD723F}"/>
            </a:ext>
          </a:extLst>
        </xdr:cNvPr>
        <xdr:cNvSpPr txBox="1"/>
      </xdr:nvSpPr>
      <xdr:spPr>
        <a:xfrm>
          <a:off x="8115300" y="2276474"/>
          <a:ext cx="3905250" cy="2886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nonparametric Kruskal-Wallis test is based on the analysis of independent random samples from each of k populations. This procedure can be used with either ordinal data or quantitative data and does not require the assumption that the populations have normal distributions. The general form of the null and alternative hypotheses is as follows:</a:t>
          </a:r>
        </a:p>
        <a:p>
          <a:endParaRPr lang="en-US"/>
        </a:p>
        <a:p>
          <a:r>
            <a:rPr lang="en-US"/>
            <a:t> H0: All populations are identical </a:t>
          </a:r>
        </a:p>
        <a:p>
          <a:r>
            <a:rPr lang="en-US"/>
            <a:t>Ha: Not all populations are identical</a:t>
          </a:r>
        </a:p>
        <a:p>
          <a:endParaRPr lang="en-US" sz="1100"/>
        </a:p>
        <a:p>
          <a:r>
            <a:rPr lang="en-US"/>
            <a:t>If H0 is rejected, we will conclude that there is a difference among the populations with one or more populations tending to provide smaller or larger values compared to the other populations. </a:t>
          </a:r>
        </a:p>
        <a:p>
          <a:endParaRPr lang="en-US" sz="1100"/>
        </a:p>
        <a:p>
          <a:r>
            <a:rPr lang="en-US" sz="1100"/>
            <a:t>Since p-value</a:t>
          </a:r>
          <a:r>
            <a:rPr lang="en-US" sz="1100" baseline="0"/>
            <a:t> is 0.001158&lt;=a, we reject Ho and conclude that not all populations are equal.</a:t>
          </a:r>
          <a:endParaRPr lang="en-US" sz="1100"/>
        </a:p>
      </xdr:txBody>
    </xdr:sp>
    <xdr:clientData/>
  </xdr:twoCellAnchor>
  <xdr:twoCellAnchor editAs="oneCell">
    <xdr:from>
      <xdr:col>12</xdr:col>
      <xdr:colOff>200025</xdr:colOff>
      <xdr:row>27</xdr:row>
      <xdr:rowOff>257175</xdr:rowOff>
    </xdr:from>
    <xdr:to>
      <xdr:col>21</xdr:col>
      <xdr:colOff>162620</xdr:colOff>
      <xdr:row>40</xdr:row>
      <xdr:rowOff>19389</xdr:rowOff>
    </xdr:to>
    <xdr:pic>
      <xdr:nvPicPr>
        <xdr:cNvPr id="4" name="Picture 3">
          <a:extLst>
            <a:ext uri="{FF2B5EF4-FFF2-40B4-BE49-F238E27FC236}">
              <a16:creationId xmlns:a16="http://schemas.microsoft.com/office/drawing/2014/main" id="{84516A62-F0FC-80AA-C7B6-0E00A5F97608}"/>
            </a:ext>
          </a:extLst>
        </xdr:cNvPr>
        <xdr:cNvPicPr>
          <a:picLocks noChangeAspect="1"/>
        </xdr:cNvPicPr>
      </xdr:nvPicPr>
      <xdr:blipFill>
        <a:blip xmlns:r="http://schemas.openxmlformats.org/officeDocument/2006/relationships" r:embed="rId1"/>
        <a:stretch>
          <a:fillRect/>
        </a:stretch>
      </xdr:blipFill>
      <xdr:spPr>
        <a:xfrm>
          <a:off x="7458075" y="5781675"/>
          <a:ext cx="4982270" cy="242921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104775</xdr:colOff>
      <xdr:row>6</xdr:row>
      <xdr:rowOff>38100</xdr:rowOff>
    </xdr:from>
    <xdr:to>
      <xdr:col>11</xdr:col>
      <xdr:colOff>9525</xdr:colOff>
      <xdr:row>19</xdr:row>
      <xdr:rowOff>47625</xdr:rowOff>
    </xdr:to>
    <xdr:sp macro="" textlink="">
      <xdr:nvSpPr>
        <xdr:cNvPr id="2" name="TextBox 1">
          <a:extLst>
            <a:ext uri="{FF2B5EF4-FFF2-40B4-BE49-F238E27FC236}">
              <a16:creationId xmlns:a16="http://schemas.microsoft.com/office/drawing/2014/main" id="{96D63FFE-82E9-C189-014C-71180A56BD63}"/>
            </a:ext>
          </a:extLst>
        </xdr:cNvPr>
        <xdr:cNvSpPr txBox="1"/>
      </xdr:nvSpPr>
      <xdr:spPr>
        <a:xfrm>
          <a:off x="6848475" y="1190625"/>
          <a:ext cx="3067050" cy="2486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Pearson</a:t>
          </a:r>
          <a:r>
            <a:rPr lang="en-US" sz="1100" baseline="0"/>
            <a:t> Product moment correlation coefficient in chapter 3 is a measure of linear association between two variables. The spearman rank correlation is a measure of association between 2 variables when ordinal or rank-ordered data is available. </a:t>
          </a:r>
        </a:p>
        <a:p>
          <a:endParaRPr lang="en-US" sz="1100" baseline="0"/>
        </a:p>
        <a:p>
          <a:r>
            <a:rPr lang="en-US"/>
            <a:t>At this point, we may want to use the sample rank correlation </a:t>
          </a:r>
          <a:r>
            <a:rPr lang="en-US" b="1"/>
            <a:t>rs</a:t>
          </a:r>
          <a:r>
            <a:rPr lang="en-US"/>
            <a:t> to make an inference about the population rank correlation coefficient </a:t>
          </a:r>
          <a:r>
            <a:rPr lang="en-US" b="1"/>
            <a:t>ps</a:t>
          </a:r>
          <a:r>
            <a:rPr lang="en-US"/>
            <a:t>. To do this, we test the following hypotheses: </a:t>
          </a:r>
        </a:p>
        <a:p>
          <a:r>
            <a:rPr lang="en-US"/>
            <a:t>Ho: </a:t>
          </a:r>
          <a:r>
            <a:rPr lang="en-US" b="1"/>
            <a:t>ps</a:t>
          </a:r>
          <a:r>
            <a:rPr lang="en-US" b="0"/>
            <a:t>=</a:t>
          </a:r>
          <a:r>
            <a:rPr lang="en-US"/>
            <a:t>0</a:t>
          </a:r>
        </a:p>
        <a:p>
          <a:r>
            <a:rPr lang="en-US" sz="1100"/>
            <a:t>Ha: </a:t>
          </a:r>
          <a:r>
            <a:rPr lang="en-US" sz="1100" b="1"/>
            <a:t>ps</a:t>
          </a:r>
          <a:r>
            <a:rPr lang="en-US" sz="1100"/>
            <a:t> does not equal 0.</a:t>
          </a:r>
        </a:p>
      </xdr:txBody>
    </xdr:sp>
    <xdr:clientData/>
  </xdr:twoCellAnchor>
  <xdr:twoCellAnchor editAs="oneCell">
    <xdr:from>
      <xdr:col>6</xdr:col>
      <xdr:colOff>647700</xdr:colOff>
      <xdr:row>19</xdr:row>
      <xdr:rowOff>180975</xdr:rowOff>
    </xdr:from>
    <xdr:to>
      <xdr:col>12</xdr:col>
      <xdr:colOff>600805</xdr:colOff>
      <xdr:row>44</xdr:row>
      <xdr:rowOff>86376</xdr:rowOff>
    </xdr:to>
    <xdr:pic>
      <xdr:nvPicPr>
        <xdr:cNvPr id="3" name="Picture 2">
          <a:extLst>
            <a:ext uri="{FF2B5EF4-FFF2-40B4-BE49-F238E27FC236}">
              <a16:creationId xmlns:a16="http://schemas.microsoft.com/office/drawing/2014/main" id="{B7D22D9F-1C2D-CD38-CA50-D0106FC0F859}"/>
            </a:ext>
          </a:extLst>
        </xdr:cNvPr>
        <xdr:cNvPicPr>
          <a:picLocks noChangeAspect="1"/>
        </xdr:cNvPicPr>
      </xdr:nvPicPr>
      <xdr:blipFill>
        <a:blip xmlns:r="http://schemas.openxmlformats.org/officeDocument/2006/relationships" r:embed="rId1"/>
        <a:stretch>
          <a:fillRect/>
        </a:stretch>
      </xdr:blipFill>
      <xdr:spPr>
        <a:xfrm>
          <a:off x="5886450" y="3810000"/>
          <a:ext cx="5229955" cy="46679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6A12F-E0CC-4F8C-AE82-F901A1DAD705}">
  <dimension ref="A1:E12"/>
  <sheetViews>
    <sheetView workbookViewId="0">
      <selection activeCell="B11" sqref="B11"/>
    </sheetView>
  </sheetViews>
  <sheetFormatPr defaultRowHeight="15" x14ac:dyDescent="0.25"/>
  <cols>
    <col min="1" max="1" width="20" bestFit="1" customWidth="1"/>
    <col min="2" max="2" width="9.5703125" bestFit="1" customWidth="1"/>
  </cols>
  <sheetData>
    <row r="1" spans="1:5" x14ac:dyDescent="0.25">
      <c r="A1" t="s">
        <v>1</v>
      </c>
      <c r="B1" t="s">
        <v>0</v>
      </c>
      <c r="D1" t="s">
        <v>2</v>
      </c>
      <c r="E1">
        <v>10</v>
      </c>
    </row>
    <row r="2" spans="1:5" x14ac:dyDescent="0.25">
      <c r="A2">
        <v>0</v>
      </c>
      <c r="B2" s="1">
        <f>_xlfn.BINOM.DIST(A2,$E$1,$E$2,FALSE)</f>
        <v>9.765625E-4</v>
      </c>
      <c r="D2" t="s">
        <v>3</v>
      </c>
      <c r="E2">
        <v>0.5</v>
      </c>
    </row>
    <row r="3" spans="1:5" x14ac:dyDescent="0.25">
      <c r="A3">
        <v>1</v>
      </c>
      <c r="B3" s="1">
        <f t="shared" ref="B3:B12" si="0">_xlfn.BINOM.DIST(A3,$E$1,$E$2,FALSE)</f>
        <v>9.7656250000000017E-3</v>
      </c>
    </row>
    <row r="4" spans="1:5" x14ac:dyDescent="0.25">
      <c r="A4">
        <v>2</v>
      </c>
      <c r="B4" s="1">
        <f t="shared" si="0"/>
        <v>4.3945312499999972E-2</v>
      </c>
    </row>
    <row r="5" spans="1:5" x14ac:dyDescent="0.25">
      <c r="A5">
        <v>3</v>
      </c>
      <c r="B5" s="1">
        <f t="shared" si="0"/>
        <v>0.11718750000000003</v>
      </c>
    </row>
    <row r="6" spans="1:5" x14ac:dyDescent="0.25">
      <c r="A6">
        <v>4</v>
      </c>
      <c r="B6" s="1">
        <f t="shared" si="0"/>
        <v>0.20507812500000006</v>
      </c>
    </row>
    <row r="7" spans="1:5" x14ac:dyDescent="0.25">
      <c r="A7">
        <v>5</v>
      </c>
      <c r="B7" s="1">
        <f t="shared" si="0"/>
        <v>0.24609375000000008</v>
      </c>
    </row>
    <row r="8" spans="1:5" x14ac:dyDescent="0.25">
      <c r="A8">
        <v>6</v>
      </c>
      <c r="B8" s="1">
        <f>_xlfn.BINOM.DIST(A8,$E$1,$E$2,FALSE)</f>
        <v>0.20507812500000006</v>
      </c>
    </row>
    <row r="9" spans="1:5" x14ac:dyDescent="0.25">
      <c r="A9">
        <v>7</v>
      </c>
      <c r="B9" s="8">
        <f t="shared" si="0"/>
        <v>0.11718750000000003</v>
      </c>
    </row>
    <row r="10" spans="1:5" x14ac:dyDescent="0.25">
      <c r="A10">
        <v>8</v>
      </c>
      <c r="B10" s="8">
        <f>_xlfn.BINOM.DIST(A10,$E$1,$E$2,FALSE)</f>
        <v>4.3945312499999986E-2</v>
      </c>
    </row>
    <row r="11" spans="1:5" x14ac:dyDescent="0.25">
      <c r="A11">
        <v>9</v>
      </c>
      <c r="B11" s="8">
        <f t="shared" si="0"/>
        <v>9.7656250000000017E-3</v>
      </c>
    </row>
    <row r="12" spans="1:5" x14ac:dyDescent="0.25">
      <c r="A12">
        <v>10</v>
      </c>
      <c r="B12" s="8">
        <f t="shared" si="0"/>
        <v>9.765625E-4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0B528-BF5D-4766-AE92-785A2B250CA5}">
  <dimension ref="A6:B19"/>
  <sheetViews>
    <sheetView topLeftCell="A5" zoomScale="85" zoomScaleNormal="85" workbookViewId="0">
      <selection activeCell="B20" sqref="B20"/>
    </sheetView>
  </sheetViews>
  <sheetFormatPr defaultRowHeight="15" x14ac:dyDescent="0.25"/>
  <cols>
    <col min="1" max="1" width="39.28515625" bestFit="1" customWidth="1"/>
  </cols>
  <sheetData>
    <row r="6" spans="1:2" x14ac:dyDescent="0.25">
      <c r="A6" s="3" t="s">
        <v>2</v>
      </c>
      <c r="B6">
        <v>60</v>
      </c>
    </row>
    <row r="7" spans="1:2" x14ac:dyDescent="0.25">
      <c r="A7" s="3" t="s">
        <v>4</v>
      </c>
      <c r="B7">
        <f>0.5*B6</f>
        <v>30</v>
      </c>
    </row>
    <row r="8" spans="1:2" x14ac:dyDescent="0.25">
      <c r="A8" s="3" t="s">
        <v>5</v>
      </c>
      <c r="B8">
        <f>SQRT(0.25*B6)</f>
        <v>3.872983346207417</v>
      </c>
    </row>
    <row r="9" spans="1:2" x14ac:dyDescent="0.25">
      <c r="A9" s="3" t="s">
        <v>3</v>
      </c>
      <c r="B9">
        <v>0.5</v>
      </c>
    </row>
    <row r="10" spans="1:2" x14ac:dyDescent="0.25">
      <c r="A10" s="3"/>
    </row>
    <row r="11" spans="1:2" x14ac:dyDescent="0.25">
      <c r="A11" s="3" t="s">
        <v>6</v>
      </c>
      <c r="B11" s="4">
        <v>236000</v>
      </c>
    </row>
    <row r="13" spans="1:2" x14ac:dyDescent="0.25">
      <c r="A13" s="3" t="s">
        <v>7</v>
      </c>
      <c r="B13">
        <v>22</v>
      </c>
    </row>
    <row r="14" spans="1:2" x14ac:dyDescent="0.25">
      <c r="A14" s="3" t="s">
        <v>8</v>
      </c>
      <c r="B14">
        <v>38</v>
      </c>
    </row>
    <row r="16" spans="1:2" x14ac:dyDescent="0.25">
      <c r="A16" s="3" t="s">
        <v>10</v>
      </c>
      <c r="B16">
        <v>0.5</v>
      </c>
    </row>
    <row r="18" spans="1:2" x14ac:dyDescent="0.25">
      <c r="A18" s="3" t="s">
        <v>9</v>
      </c>
      <c r="B18">
        <f>((B13+B16)-B7)/B8</f>
        <v>-1.9364916731037083</v>
      </c>
    </row>
    <row r="19" spans="1:2" x14ac:dyDescent="0.25">
      <c r="A19" s="9" t="s">
        <v>11</v>
      </c>
      <c r="B19">
        <f>_xlfn.NORM.S.DIST(B18,TRUE)</f>
        <v>2.6403755708056809E-2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DED6C-EA14-4537-AA53-11E2D5E2D7A0}">
  <dimension ref="A1:E12"/>
  <sheetViews>
    <sheetView topLeftCell="A2" workbookViewId="0">
      <selection activeCell="I38" sqref="I38"/>
    </sheetView>
  </sheetViews>
  <sheetFormatPr defaultRowHeight="15" x14ac:dyDescent="0.25"/>
  <cols>
    <col min="4" max="4" width="17.85546875" bestFit="1" customWidth="1"/>
  </cols>
  <sheetData>
    <row r="1" spans="1:5" x14ac:dyDescent="0.25">
      <c r="A1" t="s">
        <v>1</v>
      </c>
      <c r="B1" t="s">
        <v>0</v>
      </c>
      <c r="D1" t="s">
        <v>2</v>
      </c>
      <c r="E1">
        <v>12</v>
      </c>
    </row>
    <row r="2" spans="1:5" x14ac:dyDescent="0.25">
      <c r="A2">
        <v>0</v>
      </c>
      <c r="B2" s="8">
        <f>_xlfn.BINOM.DIST(A2,$E$1,$E$2,FALSE)</f>
        <v>2.4414062500000016E-4</v>
      </c>
      <c r="D2" t="s">
        <v>3</v>
      </c>
      <c r="E2">
        <v>0.5</v>
      </c>
    </row>
    <row r="3" spans="1:5" x14ac:dyDescent="0.25">
      <c r="A3">
        <v>1</v>
      </c>
      <c r="B3" s="8">
        <f t="shared" ref="B3:B12" si="0">_xlfn.BINOM.DIST(A3,$E$1,$E$2,FALSE)</f>
        <v>2.9296874999999996E-3</v>
      </c>
    </row>
    <row r="4" spans="1:5" x14ac:dyDescent="0.25">
      <c r="A4">
        <v>2</v>
      </c>
      <c r="B4" s="8">
        <f t="shared" si="0"/>
        <v>1.611328125000001E-2</v>
      </c>
    </row>
    <row r="5" spans="1:5" x14ac:dyDescent="0.25">
      <c r="A5">
        <v>3</v>
      </c>
      <c r="B5" s="1">
        <f t="shared" si="0"/>
        <v>5.3710937499999965E-2</v>
      </c>
    </row>
    <row r="6" spans="1:5" x14ac:dyDescent="0.25">
      <c r="A6">
        <v>4</v>
      </c>
      <c r="B6" s="1">
        <f t="shared" si="0"/>
        <v>0.12084960937500001</v>
      </c>
    </row>
    <row r="7" spans="1:5" x14ac:dyDescent="0.25">
      <c r="A7">
        <v>5</v>
      </c>
      <c r="B7" s="1">
        <f t="shared" si="0"/>
        <v>0.19335937500000006</v>
      </c>
    </row>
    <row r="8" spans="1:5" x14ac:dyDescent="0.25">
      <c r="A8">
        <v>6</v>
      </c>
      <c r="B8" s="1">
        <f>_xlfn.BINOM.DIST(A8,$E$1,$E$2,FALSE)</f>
        <v>0.22558593750000003</v>
      </c>
      <c r="D8" s="3" t="s">
        <v>13</v>
      </c>
      <c r="E8">
        <v>2</v>
      </c>
    </row>
    <row r="9" spans="1:5" x14ac:dyDescent="0.25">
      <c r="A9">
        <v>7</v>
      </c>
      <c r="B9" s="10">
        <f t="shared" si="0"/>
        <v>0.19335937500000006</v>
      </c>
      <c r="D9" s="3" t="s">
        <v>12</v>
      </c>
      <c r="E9">
        <v>10</v>
      </c>
    </row>
    <row r="10" spans="1:5" x14ac:dyDescent="0.25">
      <c r="A10">
        <v>8</v>
      </c>
      <c r="B10" s="10">
        <f t="shared" si="0"/>
        <v>0.12084960937500001</v>
      </c>
    </row>
    <row r="11" spans="1:5" x14ac:dyDescent="0.25">
      <c r="A11">
        <v>9</v>
      </c>
      <c r="B11" s="10">
        <f t="shared" si="0"/>
        <v>5.3710937499999965E-2</v>
      </c>
    </row>
    <row r="12" spans="1:5" x14ac:dyDescent="0.25">
      <c r="A12">
        <v>10</v>
      </c>
      <c r="B12" s="10">
        <f t="shared" si="0"/>
        <v>1.6113281250000003E-2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D6CEF-A855-4833-B29F-D2287D27729A}">
  <dimension ref="A1:M17"/>
  <sheetViews>
    <sheetView topLeftCell="F1" zoomScale="85" zoomScaleNormal="85" workbookViewId="0">
      <selection activeCell="M17" sqref="M17"/>
    </sheetView>
  </sheetViews>
  <sheetFormatPr defaultRowHeight="15" x14ac:dyDescent="0.25"/>
  <cols>
    <col min="4" max="4" width="9.85546875" bestFit="1" customWidth="1"/>
    <col min="5" max="5" width="9.5703125" customWidth="1"/>
    <col min="6" max="6" width="5.7109375" customWidth="1"/>
    <col min="7" max="7" width="18.28515625" customWidth="1"/>
    <col min="8" max="8" width="9.85546875" bestFit="1" customWidth="1"/>
    <col min="10" max="10" width="18.28515625" customWidth="1"/>
    <col min="11" max="11" width="5.42578125" bestFit="1" customWidth="1"/>
    <col min="12" max="12" width="11.5703125" bestFit="1" customWidth="1"/>
    <col min="13" max="13" width="9.7109375" bestFit="1" customWidth="1"/>
  </cols>
  <sheetData>
    <row r="1" spans="1:13" ht="45" x14ac:dyDescent="0.25">
      <c r="A1" s="11" t="s">
        <v>14</v>
      </c>
      <c r="B1" s="24" t="s">
        <v>15</v>
      </c>
      <c r="C1" s="12" t="s">
        <v>16</v>
      </c>
      <c r="H1" s="11" t="s">
        <v>14</v>
      </c>
      <c r="I1" t="s">
        <v>17</v>
      </c>
      <c r="J1" s="23" t="s">
        <v>19</v>
      </c>
      <c r="K1" t="s">
        <v>18</v>
      </c>
      <c r="L1" s="23" t="s">
        <v>21</v>
      </c>
      <c r="M1" s="23" t="s">
        <v>22</v>
      </c>
    </row>
    <row r="2" spans="1:13" x14ac:dyDescent="0.25">
      <c r="A2" s="13">
        <v>1</v>
      </c>
      <c r="B2" s="14">
        <v>10.199999999999999</v>
      </c>
      <c r="C2" s="15">
        <v>9.5</v>
      </c>
      <c r="E2" s="2" t="s">
        <v>2</v>
      </c>
      <c r="F2">
        <v>10</v>
      </c>
      <c r="H2" s="13">
        <v>7</v>
      </c>
      <c r="I2" s="25">
        <v>9.9999999999999645E-2</v>
      </c>
      <c r="J2" s="5">
        <f>ABS(I2)</f>
        <v>9.9999999999999645E-2</v>
      </c>
      <c r="K2">
        <v>1</v>
      </c>
      <c r="L2" t="str">
        <f>IF(I2&lt;0,SIGN(I2)*K2,"")</f>
        <v/>
      </c>
      <c r="M2">
        <f>IF(I2&gt;0,SIGN(I2)*K2,"")</f>
        <v>1</v>
      </c>
    </row>
    <row r="3" spans="1:13" ht="30" x14ac:dyDescent="0.25">
      <c r="A3" s="13">
        <v>2</v>
      </c>
      <c r="B3" s="16">
        <v>9.6</v>
      </c>
      <c r="C3" s="15">
        <v>9.8000000000000007</v>
      </c>
      <c r="E3" s="26" t="s">
        <v>26</v>
      </c>
      <c r="F3">
        <v>0.5</v>
      </c>
      <c r="H3" s="13">
        <v>2</v>
      </c>
      <c r="I3">
        <v>-0.20000000000000107</v>
      </c>
      <c r="J3" s="5">
        <f>ABS(I3)</f>
        <v>0.20000000000000107</v>
      </c>
      <c r="K3">
        <v>2</v>
      </c>
      <c r="L3">
        <f t="shared" ref="L3:L11" si="0">IF(I3&lt;0,SIGN(I3)*K3,"")</f>
        <v>-2</v>
      </c>
      <c r="M3" t="str">
        <f t="shared" ref="M3:M11" si="1">IF(I3&gt;0,SIGN(I3)*K3,"")</f>
        <v/>
      </c>
    </row>
    <row r="4" spans="1:13" x14ac:dyDescent="0.25">
      <c r="A4" s="13">
        <v>3</v>
      </c>
      <c r="B4" s="14">
        <v>9.1999999999999993</v>
      </c>
      <c r="C4" s="15">
        <v>8.8000000000000007</v>
      </c>
      <c r="H4" s="13">
        <v>3</v>
      </c>
      <c r="I4">
        <v>0.39999999999999858</v>
      </c>
      <c r="J4" s="5">
        <f>ABS(I4)</f>
        <v>0.39999999999999858</v>
      </c>
      <c r="K4">
        <v>3.5</v>
      </c>
      <c r="L4" t="str">
        <f t="shared" si="0"/>
        <v/>
      </c>
      <c r="M4">
        <f t="shared" si="1"/>
        <v>3.5</v>
      </c>
    </row>
    <row r="5" spans="1:13" x14ac:dyDescent="0.25">
      <c r="A5" s="13">
        <v>4</v>
      </c>
      <c r="B5" s="14">
        <v>10.6</v>
      </c>
      <c r="C5" s="15">
        <v>10.1</v>
      </c>
      <c r="H5" s="13">
        <v>5</v>
      </c>
      <c r="I5">
        <v>-0.40000000000000036</v>
      </c>
      <c r="J5" s="5">
        <f>ABS(I5)</f>
        <v>0.40000000000000036</v>
      </c>
      <c r="K5">
        <v>3.5</v>
      </c>
      <c r="L5">
        <f t="shared" si="0"/>
        <v>-3.5</v>
      </c>
      <c r="M5" t="str">
        <f t="shared" si="1"/>
        <v/>
      </c>
    </row>
    <row r="6" spans="1:13" x14ac:dyDescent="0.25">
      <c r="A6" s="13">
        <v>5</v>
      </c>
      <c r="B6" s="14">
        <v>9.9</v>
      </c>
      <c r="C6" s="15">
        <v>10.3</v>
      </c>
      <c r="H6" s="13">
        <v>4</v>
      </c>
      <c r="I6">
        <v>0.5</v>
      </c>
      <c r="J6" s="5">
        <f>ABS(I6)</f>
        <v>0.5</v>
      </c>
      <c r="K6">
        <v>5.5</v>
      </c>
      <c r="L6" t="str">
        <f t="shared" si="0"/>
        <v/>
      </c>
      <c r="M6">
        <f t="shared" si="1"/>
        <v>5.5</v>
      </c>
    </row>
    <row r="7" spans="1:13" x14ac:dyDescent="0.25">
      <c r="A7" s="13">
        <v>6</v>
      </c>
      <c r="B7" s="14">
        <v>10.199999999999999</v>
      </c>
      <c r="C7" s="15">
        <v>9.3000000000000007</v>
      </c>
      <c r="H7" s="13">
        <v>10</v>
      </c>
      <c r="I7">
        <v>0.5</v>
      </c>
      <c r="J7" s="5">
        <f>ABS(I7)</f>
        <v>0.5</v>
      </c>
      <c r="K7">
        <v>5.5</v>
      </c>
      <c r="L7" t="str">
        <f t="shared" si="0"/>
        <v/>
      </c>
      <c r="M7">
        <f t="shared" si="1"/>
        <v>5.5</v>
      </c>
    </row>
    <row r="8" spans="1:13" x14ac:dyDescent="0.25">
      <c r="A8" s="13">
        <v>7</v>
      </c>
      <c r="B8" s="14">
        <v>10.6</v>
      </c>
      <c r="C8" s="15">
        <v>10.5</v>
      </c>
      <c r="H8" s="13">
        <v>9</v>
      </c>
      <c r="I8">
        <v>0.59999999999999964</v>
      </c>
      <c r="J8" s="5">
        <f>ABS(I8)</f>
        <v>0.59999999999999964</v>
      </c>
      <c r="K8">
        <v>7</v>
      </c>
      <c r="L8" t="str">
        <f t="shared" si="0"/>
        <v/>
      </c>
      <c r="M8">
        <f t="shared" si="1"/>
        <v>7</v>
      </c>
    </row>
    <row r="9" spans="1:13" x14ac:dyDescent="0.25">
      <c r="A9" s="17">
        <v>8</v>
      </c>
      <c r="B9" s="18">
        <v>10</v>
      </c>
      <c r="C9" s="19">
        <v>10</v>
      </c>
      <c r="H9" s="13">
        <v>1</v>
      </c>
      <c r="I9">
        <v>0.69999999999999929</v>
      </c>
      <c r="J9" s="5">
        <f>ABS(I9)</f>
        <v>0.69999999999999929</v>
      </c>
      <c r="K9">
        <v>8</v>
      </c>
      <c r="L9" t="str">
        <f t="shared" si="0"/>
        <v/>
      </c>
      <c r="M9">
        <f t="shared" si="1"/>
        <v>8</v>
      </c>
    </row>
    <row r="10" spans="1:13" x14ac:dyDescent="0.25">
      <c r="A10" s="13">
        <v>9</v>
      </c>
      <c r="B10" s="14">
        <v>11.2</v>
      </c>
      <c r="C10" s="15">
        <v>10.6</v>
      </c>
      <c r="H10" s="13">
        <v>11</v>
      </c>
      <c r="I10">
        <v>0.79999999999999893</v>
      </c>
      <c r="J10" s="5">
        <f>ABS(I10)</f>
        <v>0.79999999999999893</v>
      </c>
      <c r="K10">
        <v>9</v>
      </c>
      <c r="L10" t="str">
        <f t="shared" si="0"/>
        <v/>
      </c>
      <c r="M10">
        <f t="shared" si="1"/>
        <v>9</v>
      </c>
    </row>
    <row r="11" spans="1:13" ht="15.75" thickBot="1" x14ac:dyDescent="0.3">
      <c r="A11" s="13">
        <v>10</v>
      </c>
      <c r="B11" s="14">
        <v>10.7</v>
      </c>
      <c r="C11" s="15">
        <v>10.199999999999999</v>
      </c>
      <c r="H11" s="20">
        <v>6</v>
      </c>
      <c r="I11">
        <v>0.89999999999999858</v>
      </c>
      <c r="J11" s="5">
        <f>ABS(I11)</f>
        <v>0.89999999999999858</v>
      </c>
      <c r="K11">
        <v>10</v>
      </c>
      <c r="L11" t="str">
        <f t="shared" si="0"/>
        <v/>
      </c>
      <c r="M11">
        <f t="shared" si="1"/>
        <v>10</v>
      </c>
    </row>
    <row r="12" spans="1:13" ht="15.75" thickBot="1" x14ac:dyDescent="0.3">
      <c r="A12" s="20">
        <v>11</v>
      </c>
      <c r="B12" s="21">
        <v>10.6</v>
      </c>
      <c r="C12" s="22">
        <v>9.8000000000000007</v>
      </c>
    </row>
    <row r="13" spans="1:13" x14ac:dyDescent="0.25">
      <c r="K13" t="s">
        <v>20</v>
      </c>
      <c r="L13">
        <f>SUM(L2:L11)</f>
        <v>-5.5</v>
      </c>
      <c r="M13">
        <f>SUM(M2:M11)</f>
        <v>49.5</v>
      </c>
    </row>
    <row r="15" spans="1:13" x14ac:dyDescent="0.25">
      <c r="I15" s="2" t="s">
        <v>23</v>
      </c>
      <c r="J15">
        <f>F2*(F2+1)/4</f>
        <v>27.5</v>
      </c>
    </row>
    <row r="16" spans="1:13" x14ac:dyDescent="0.25">
      <c r="I16" s="2" t="s">
        <v>24</v>
      </c>
      <c r="J16" s="1">
        <f>SQRT((F2*(F2+1)*(2*F2+1))/24)</f>
        <v>9.8107084351742913</v>
      </c>
    </row>
    <row r="17" spans="9:13" x14ac:dyDescent="0.25">
      <c r="I17" t="s">
        <v>25</v>
      </c>
      <c r="J17">
        <f>((M13-F3)-J15)/J16</f>
        <v>2.1914829231817898</v>
      </c>
      <c r="L17" t="s">
        <v>27</v>
      </c>
      <c r="M17" s="1">
        <f>2*(1-_xlfn.NORM.S.DIST(J17,TRUE))</f>
        <v>2.8416864174863665E-2</v>
      </c>
    </row>
  </sheetData>
  <sortState xmlns:xlrd2="http://schemas.microsoft.com/office/spreadsheetml/2017/richdata2" ref="H2:J11">
    <sortCondition ref="J2:J11"/>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A446E-154F-4AB9-A76D-107659AB35D5}">
  <dimension ref="A1:L17"/>
  <sheetViews>
    <sheetView topLeftCell="A2" zoomScaleNormal="100" workbookViewId="0">
      <selection activeCell="K12" sqref="K12"/>
    </sheetView>
  </sheetViews>
  <sheetFormatPr defaultRowHeight="15" x14ac:dyDescent="0.25"/>
  <cols>
    <col min="1" max="1" width="14.5703125" bestFit="1" customWidth="1"/>
    <col min="3" max="3" width="18.7109375" bestFit="1" customWidth="1"/>
    <col min="7" max="7" width="14.5703125" bestFit="1" customWidth="1"/>
    <col min="8" max="8" width="7" bestFit="1" customWidth="1"/>
  </cols>
  <sheetData>
    <row r="1" spans="1:12" x14ac:dyDescent="0.25">
      <c r="A1" s="27" t="s">
        <v>28</v>
      </c>
      <c r="B1" s="28" t="s">
        <v>29</v>
      </c>
      <c r="C1" s="28" t="s">
        <v>30</v>
      </c>
      <c r="D1" s="29" t="s">
        <v>31</v>
      </c>
      <c r="G1" s="27" t="s">
        <v>28</v>
      </c>
      <c r="H1" s="28" t="s">
        <v>29</v>
      </c>
      <c r="I1" s="36" t="s">
        <v>18</v>
      </c>
      <c r="J1" s="28" t="s">
        <v>30</v>
      </c>
      <c r="K1" s="28" t="s">
        <v>31</v>
      </c>
      <c r="L1" s="37" t="s">
        <v>18</v>
      </c>
    </row>
    <row r="2" spans="1:12" x14ac:dyDescent="0.25">
      <c r="A2" s="30">
        <v>1</v>
      </c>
      <c r="B2" s="31">
        <v>15</v>
      </c>
      <c r="C2" s="31">
        <v>1</v>
      </c>
      <c r="D2" s="32">
        <v>18</v>
      </c>
      <c r="G2" s="30">
        <v>1</v>
      </c>
      <c r="H2" s="31">
        <v>15</v>
      </c>
      <c r="I2" s="31">
        <v>4</v>
      </c>
      <c r="J2" s="31">
        <v>1</v>
      </c>
      <c r="K2" s="31">
        <v>18</v>
      </c>
      <c r="L2" s="32">
        <v>5</v>
      </c>
    </row>
    <row r="3" spans="1:12" x14ac:dyDescent="0.25">
      <c r="A3" s="30">
        <v>2</v>
      </c>
      <c r="B3" s="31">
        <v>3</v>
      </c>
      <c r="C3" s="31">
        <v>2</v>
      </c>
      <c r="D3" s="32">
        <v>20</v>
      </c>
      <c r="G3" s="30">
        <v>2</v>
      </c>
      <c r="H3" s="31">
        <v>3</v>
      </c>
      <c r="I3" s="31">
        <v>1</v>
      </c>
      <c r="J3" s="31">
        <v>2</v>
      </c>
      <c r="K3" s="31">
        <v>20</v>
      </c>
      <c r="L3" s="32">
        <v>6</v>
      </c>
    </row>
    <row r="4" spans="1:12" x14ac:dyDescent="0.25">
      <c r="A4" s="30">
        <v>3</v>
      </c>
      <c r="B4" s="31">
        <v>23</v>
      </c>
      <c r="C4" s="31">
        <v>3</v>
      </c>
      <c r="D4" s="32">
        <v>32</v>
      </c>
      <c r="G4" s="30">
        <v>3</v>
      </c>
      <c r="H4" s="31">
        <v>23</v>
      </c>
      <c r="I4" s="31">
        <v>7</v>
      </c>
      <c r="J4" s="31">
        <v>3</v>
      </c>
      <c r="K4" s="31">
        <v>32</v>
      </c>
      <c r="L4" s="32">
        <v>9</v>
      </c>
    </row>
    <row r="5" spans="1:12" x14ac:dyDescent="0.25">
      <c r="A5" s="30">
        <v>4</v>
      </c>
      <c r="B5" s="31">
        <v>8</v>
      </c>
      <c r="C5" s="31">
        <v>4</v>
      </c>
      <c r="D5" s="32">
        <v>9</v>
      </c>
      <c r="G5" s="30">
        <v>4</v>
      </c>
      <c r="H5" s="31">
        <v>8</v>
      </c>
      <c r="I5" s="31">
        <v>2</v>
      </c>
      <c r="J5" s="31">
        <v>4</v>
      </c>
      <c r="K5" s="31">
        <v>9</v>
      </c>
      <c r="L5" s="32">
        <v>3</v>
      </c>
    </row>
    <row r="6" spans="1:12" ht="15.75" thickBot="1" x14ac:dyDescent="0.3">
      <c r="A6" s="33"/>
      <c r="B6" s="34"/>
      <c r="C6" s="34">
        <v>5</v>
      </c>
      <c r="D6" s="35">
        <v>25</v>
      </c>
      <c r="G6" s="33"/>
      <c r="H6" s="34"/>
      <c r="I6" s="34"/>
      <c r="J6" s="34">
        <v>5</v>
      </c>
      <c r="K6" s="34">
        <v>25</v>
      </c>
      <c r="L6" s="35">
        <v>8</v>
      </c>
    </row>
    <row r="7" spans="1:12" ht="15.75" thickBot="1" x14ac:dyDescent="0.3">
      <c r="G7" s="2" t="s">
        <v>20</v>
      </c>
      <c r="I7">
        <f>SUM(I2:I5)</f>
        <v>14</v>
      </c>
      <c r="L7">
        <f t="shared" ref="J7:L7" si="0">SUM(L2:L5)</f>
        <v>23</v>
      </c>
    </row>
    <row r="8" spans="1:12" x14ac:dyDescent="0.25">
      <c r="A8" s="27" t="s">
        <v>34</v>
      </c>
      <c r="B8" s="28" t="s">
        <v>35</v>
      </c>
      <c r="C8" s="28" t="s">
        <v>31</v>
      </c>
      <c r="D8" s="29" t="s">
        <v>18</v>
      </c>
    </row>
    <row r="9" spans="1:12" x14ac:dyDescent="0.25">
      <c r="A9" s="30" t="s">
        <v>32</v>
      </c>
      <c r="B9" s="31">
        <v>1</v>
      </c>
      <c r="C9" s="31">
        <v>15</v>
      </c>
      <c r="D9" s="32" cm="1">
        <f t="array" ref="D9:D17">_xlfn.RANK.EQ(C9:C17,C9:C17,1)</f>
        <v>4</v>
      </c>
    </row>
    <row r="10" spans="1:12" x14ac:dyDescent="0.25">
      <c r="A10" s="30" t="s">
        <v>32</v>
      </c>
      <c r="B10" s="31">
        <v>2</v>
      </c>
      <c r="C10" s="31">
        <v>3</v>
      </c>
      <c r="D10" s="32">
        <v>1</v>
      </c>
    </row>
    <row r="11" spans="1:12" x14ac:dyDescent="0.25">
      <c r="A11" s="30" t="s">
        <v>32</v>
      </c>
      <c r="B11" s="31">
        <v>3</v>
      </c>
      <c r="C11" s="31">
        <v>23</v>
      </c>
      <c r="D11" s="32">
        <v>7</v>
      </c>
    </row>
    <row r="12" spans="1:12" x14ac:dyDescent="0.25">
      <c r="A12" s="30" t="s">
        <v>32</v>
      </c>
      <c r="B12" s="31">
        <v>4</v>
      </c>
      <c r="C12" s="31">
        <v>8</v>
      </c>
      <c r="D12" s="32">
        <v>2</v>
      </c>
    </row>
    <row r="13" spans="1:12" x14ac:dyDescent="0.25">
      <c r="A13" s="30" t="s">
        <v>33</v>
      </c>
      <c r="B13" s="31">
        <v>1</v>
      </c>
      <c r="C13" s="31">
        <v>18</v>
      </c>
      <c r="D13" s="32">
        <v>5</v>
      </c>
    </row>
    <row r="14" spans="1:12" x14ac:dyDescent="0.25">
      <c r="A14" s="30" t="s">
        <v>33</v>
      </c>
      <c r="B14" s="31">
        <v>2</v>
      </c>
      <c r="C14" s="31">
        <v>20</v>
      </c>
      <c r="D14" s="32">
        <v>6</v>
      </c>
    </row>
    <row r="15" spans="1:12" x14ac:dyDescent="0.25">
      <c r="A15" s="30" t="s">
        <v>33</v>
      </c>
      <c r="B15" s="31">
        <v>3</v>
      </c>
      <c r="C15" s="31">
        <v>32</v>
      </c>
      <c r="D15" s="32">
        <v>9</v>
      </c>
    </row>
    <row r="16" spans="1:12" x14ac:dyDescent="0.25">
      <c r="A16" s="30" t="s">
        <v>33</v>
      </c>
      <c r="B16" s="31">
        <v>4</v>
      </c>
      <c r="C16" s="31">
        <v>9</v>
      </c>
      <c r="D16" s="32">
        <v>3</v>
      </c>
    </row>
    <row r="17" spans="1:4" ht="15.75" thickBot="1" x14ac:dyDescent="0.3">
      <c r="A17" s="33" t="s">
        <v>33</v>
      </c>
      <c r="B17" s="34">
        <v>5</v>
      </c>
      <c r="C17" s="34">
        <v>25</v>
      </c>
      <c r="D17" s="35">
        <v>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44ED-3B16-4FD2-8B04-6BD5B92847DA}">
  <dimension ref="A1:Q42"/>
  <sheetViews>
    <sheetView topLeftCell="A37" zoomScale="80" zoomScaleNormal="80" workbookViewId="0">
      <selection activeCell="Q42" sqref="Q42"/>
    </sheetView>
  </sheetViews>
  <sheetFormatPr defaultRowHeight="15" x14ac:dyDescent="0.25"/>
  <cols>
    <col min="10" max="10" width="11.140625" customWidth="1"/>
    <col min="16" max="16" width="13.140625" customWidth="1"/>
    <col min="17" max="17" width="10.28515625" bestFit="1" customWidth="1"/>
  </cols>
  <sheetData>
    <row r="1" spans="1:15" ht="45" x14ac:dyDescent="0.25">
      <c r="A1" s="39" t="s">
        <v>37</v>
      </c>
      <c r="B1" s="39" t="s">
        <v>38</v>
      </c>
      <c r="C1" s="39" t="s">
        <v>39</v>
      </c>
      <c r="D1" s="39" t="s">
        <v>18</v>
      </c>
      <c r="G1" s="39" t="s">
        <v>37</v>
      </c>
      <c r="H1" s="39" t="s">
        <v>38</v>
      </c>
      <c r="I1" s="39" t="s">
        <v>39</v>
      </c>
      <c r="J1" s="39" t="s">
        <v>40</v>
      </c>
      <c r="L1" s="39" t="s">
        <v>37</v>
      </c>
      <c r="M1" s="39" t="s">
        <v>38</v>
      </c>
      <c r="N1" s="39" t="s">
        <v>39</v>
      </c>
      <c r="O1" s="39" t="s">
        <v>40</v>
      </c>
    </row>
    <row r="2" spans="1:15" x14ac:dyDescent="0.25">
      <c r="A2" s="40">
        <v>2</v>
      </c>
      <c r="B2" s="40">
        <v>6</v>
      </c>
      <c r="C2" s="40">
        <v>750</v>
      </c>
      <c r="D2" s="42">
        <v>1</v>
      </c>
      <c r="G2" s="40">
        <v>1</v>
      </c>
      <c r="H2" s="41">
        <v>1</v>
      </c>
      <c r="I2" s="40">
        <v>1095</v>
      </c>
      <c r="J2" s="42">
        <v>20</v>
      </c>
      <c r="L2" s="40">
        <v>2</v>
      </c>
      <c r="M2" s="41">
        <v>1</v>
      </c>
      <c r="N2" s="40">
        <v>885</v>
      </c>
      <c r="O2" s="42">
        <v>7</v>
      </c>
    </row>
    <row r="3" spans="1:15" x14ac:dyDescent="0.25">
      <c r="A3" s="40">
        <v>2</v>
      </c>
      <c r="B3" s="40">
        <v>5</v>
      </c>
      <c r="C3" s="40">
        <v>800</v>
      </c>
      <c r="D3" s="42">
        <v>2</v>
      </c>
      <c r="G3" s="40">
        <v>1</v>
      </c>
      <c r="H3" s="40">
        <v>2</v>
      </c>
      <c r="I3" s="40">
        <v>955</v>
      </c>
      <c r="J3" s="42">
        <v>14</v>
      </c>
      <c r="L3" s="40">
        <v>2</v>
      </c>
      <c r="M3" s="40">
        <v>2</v>
      </c>
      <c r="N3" s="40">
        <v>850</v>
      </c>
      <c r="O3" s="42">
        <v>4</v>
      </c>
    </row>
    <row r="4" spans="1:15" x14ac:dyDescent="0.25">
      <c r="A4" s="40">
        <v>1</v>
      </c>
      <c r="B4" s="40">
        <v>7</v>
      </c>
      <c r="C4" s="40">
        <v>805</v>
      </c>
      <c r="D4" s="42">
        <v>3</v>
      </c>
      <c r="G4" s="40">
        <v>1</v>
      </c>
      <c r="H4" s="40">
        <v>3</v>
      </c>
      <c r="I4" s="40">
        <v>1200</v>
      </c>
      <c r="J4" s="42">
        <v>22</v>
      </c>
      <c r="L4" s="40">
        <v>2</v>
      </c>
      <c r="M4" s="40">
        <v>3</v>
      </c>
      <c r="N4" s="40">
        <v>915</v>
      </c>
      <c r="O4" s="42">
        <v>8</v>
      </c>
    </row>
    <row r="5" spans="1:15" x14ac:dyDescent="0.25">
      <c r="A5" s="40">
        <v>2</v>
      </c>
      <c r="B5" s="40">
        <v>2</v>
      </c>
      <c r="C5" s="40">
        <v>850</v>
      </c>
      <c r="D5" s="42">
        <v>4</v>
      </c>
      <c r="G5" s="40">
        <v>1</v>
      </c>
      <c r="H5" s="40">
        <v>4</v>
      </c>
      <c r="I5" s="40">
        <v>1195</v>
      </c>
      <c r="J5" s="42">
        <v>21</v>
      </c>
      <c r="L5" s="40">
        <v>2</v>
      </c>
      <c r="M5" s="40">
        <v>4</v>
      </c>
      <c r="N5" s="40">
        <v>950</v>
      </c>
      <c r="O5" s="42">
        <v>12.5</v>
      </c>
    </row>
    <row r="6" spans="1:15" x14ac:dyDescent="0.25">
      <c r="A6" s="40">
        <v>2</v>
      </c>
      <c r="B6" s="40">
        <v>7</v>
      </c>
      <c r="C6" s="40">
        <v>865</v>
      </c>
      <c r="D6" s="42">
        <v>5</v>
      </c>
      <c r="G6" s="40">
        <v>1</v>
      </c>
      <c r="H6" s="40">
        <v>5</v>
      </c>
      <c r="I6" s="40">
        <v>925</v>
      </c>
      <c r="J6" s="42">
        <v>9</v>
      </c>
      <c r="L6" s="40">
        <v>2</v>
      </c>
      <c r="M6" s="40">
        <v>5</v>
      </c>
      <c r="N6" s="40">
        <v>800</v>
      </c>
      <c r="O6" s="42">
        <v>2</v>
      </c>
    </row>
    <row r="7" spans="1:15" x14ac:dyDescent="0.25">
      <c r="A7" s="40">
        <v>1</v>
      </c>
      <c r="B7" s="40">
        <v>9</v>
      </c>
      <c r="C7" s="40">
        <v>875</v>
      </c>
      <c r="D7" s="42">
        <v>6</v>
      </c>
      <c r="G7" s="40">
        <v>1</v>
      </c>
      <c r="H7" s="40">
        <v>6</v>
      </c>
      <c r="I7" s="40">
        <v>950</v>
      </c>
      <c r="J7" s="42">
        <v>12.5</v>
      </c>
      <c r="L7" s="40">
        <v>2</v>
      </c>
      <c r="M7" s="40">
        <v>6</v>
      </c>
      <c r="N7" s="40">
        <v>750</v>
      </c>
      <c r="O7" s="42">
        <v>1</v>
      </c>
    </row>
    <row r="8" spans="1:15" x14ac:dyDescent="0.25">
      <c r="A8" s="40">
        <v>2</v>
      </c>
      <c r="B8" s="41">
        <v>1</v>
      </c>
      <c r="C8" s="40">
        <v>885</v>
      </c>
      <c r="D8" s="42">
        <v>7</v>
      </c>
      <c r="G8" s="40">
        <v>1</v>
      </c>
      <c r="H8" s="40">
        <v>7</v>
      </c>
      <c r="I8" s="40">
        <v>805</v>
      </c>
      <c r="J8" s="42">
        <v>3</v>
      </c>
      <c r="L8" s="40">
        <v>2</v>
      </c>
      <c r="M8" s="40">
        <v>7</v>
      </c>
      <c r="N8" s="40">
        <v>865</v>
      </c>
      <c r="O8" s="42">
        <v>5</v>
      </c>
    </row>
    <row r="9" spans="1:15" x14ac:dyDescent="0.25">
      <c r="A9" s="40">
        <v>2</v>
      </c>
      <c r="B9" s="40">
        <v>3</v>
      </c>
      <c r="C9" s="40">
        <v>915</v>
      </c>
      <c r="D9" s="42">
        <v>8</v>
      </c>
      <c r="G9" s="40">
        <v>1</v>
      </c>
      <c r="H9" s="40">
        <v>8</v>
      </c>
      <c r="I9" s="40">
        <v>945</v>
      </c>
      <c r="J9" s="42">
        <v>11</v>
      </c>
      <c r="L9" s="40">
        <v>2</v>
      </c>
      <c r="M9" s="40">
        <v>8</v>
      </c>
      <c r="N9" s="40">
        <v>1000</v>
      </c>
      <c r="O9" s="42">
        <v>16</v>
      </c>
    </row>
    <row r="10" spans="1:15" x14ac:dyDescent="0.25">
      <c r="A10" s="40">
        <v>1</v>
      </c>
      <c r="B10" s="40">
        <v>5</v>
      </c>
      <c r="C10" s="40">
        <v>925</v>
      </c>
      <c r="D10" s="42">
        <v>9</v>
      </c>
      <c r="G10" s="40">
        <v>1</v>
      </c>
      <c r="H10" s="40">
        <v>9</v>
      </c>
      <c r="I10" s="40">
        <v>875</v>
      </c>
      <c r="J10" s="42">
        <v>6</v>
      </c>
      <c r="L10" s="40">
        <v>2</v>
      </c>
      <c r="M10" s="40">
        <v>9</v>
      </c>
      <c r="N10" s="40">
        <v>1050</v>
      </c>
      <c r="O10" s="42">
        <v>18</v>
      </c>
    </row>
    <row r="11" spans="1:15" x14ac:dyDescent="0.25">
      <c r="A11" s="40">
        <v>2</v>
      </c>
      <c r="B11" s="40">
        <v>10</v>
      </c>
      <c r="C11" s="40">
        <v>935</v>
      </c>
      <c r="D11" s="42">
        <v>10</v>
      </c>
      <c r="G11" s="40">
        <v>1</v>
      </c>
      <c r="H11" s="40">
        <v>10</v>
      </c>
      <c r="I11" s="40">
        <v>1055</v>
      </c>
      <c r="J11" s="42">
        <v>19</v>
      </c>
      <c r="L11" s="40">
        <v>2</v>
      </c>
      <c r="M11" s="40">
        <v>10</v>
      </c>
      <c r="N11" s="40">
        <v>935</v>
      </c>
      <c r="O11" s="42">
        <v>10</v>
      </c>
    </row>
    <row r="12" spans="1:15" x14ac:dyDescent="0.25">
      <c r="A12" s="40">
        <v>1</v>
      </c>
      <c r="B12" s="40">
        <v>8</v>
      </c>
      <c r="C12" s="40">
        <v>945</v>
      </c>
      <c r="D12" s="42">
        <v>11</v>
      </c>
      <c r="G12" s="40">
        <v>1</v>
      </c>
      <c r="H12" s="40">
        <v>11</v>
      </c>
      <c r="I12" s="40">
        <v>1025</v>
      </c>
      <c r="J12" s="42">
        <v>17</v>
      </c>
    </row>
    <row r="13" spans="1:15" x14ac:dyDescent="0.25">
      <c r="A13" s="40">
        <v>1</v>
      </c>
      <c r="B13" s="40">
        <v>6</v>
      </c>
      <c r="C13" s="40">
        <v>950</v>
      </c>
      <c r="D13" s="42">
        <v>12.5</v>
      </c>
      <c r="G13" s="40">
        <v>1</v>
      </c>
      <c r="H13" s="40">
        <v>12</v>
      </c>
      <c r="I13" s="40">
        <v>975</v>
      </c>
      <c r="J13" s="42">
        <v>15</v>
      </c>
      <c r="N13" t="s">
        <v>20</v>
      </c>
      <c r="O13" s="25">
        <f>SUM(O2:O11)</f>
        <v>83.5</v>
      </c>
    </row>
    <row r="14" spans="1:15" x14ac:dyDescent="0.25">
      <c r="A14" s="40">
        <v>2</v>
      </c>
      <c r="B14" s="40">
        <v>4</v>
      </c>
      <c r="C14" s="40">
        <v>950</v>
      </c>
      <c r="D14" s="42">
        <v>12.5</v>
      </c>
    </row>
    <row r="15" spans="1:15" x14ac:dyDescent="0.25">
      <c r="A15" s="40">
        <v>1</v>
      </c>
      <c r="B15" s="40">
        <v>2</v>
      </c>
      <c r="C15" s="40">
        <v>955</v>
      </c>
      <c r="D15" s="42">
        <v>14</v>
      </c>
      <c r="I15" t="s">
        <v>20</v>
      </c>
      <c r="J15" s="25">
        <f>SUM(J2:J13)</f>
        <v>169.5</v>
      </c>
    </row>
    <row r="16" spans="1:15" x14ac:dyDescent="0.25">
      <c r="A16" s="40">
        <v>1</v>
      </c>
      <c r="B16" s="40">
        <v>12</v>
      </c>
      <c r="C16" s="40">
        <v>975</v>
      </c>
      <c r="D16" s="42">
        <v>15</v>
      </c>
    </row>
    <row r="17" spans="1:4" x14ac:dyDescent="0.25">
      <c r="A17" s="40">
        <v>2</v>
      </c>
      <c r="B17" s="40">
        <v>8</v>
      </c>
      <c r="C17" s="40">
        <v>1000</v>
      </c>
      <c r="D17" s="42">
        <v>16</v>
      </c>
    </row>
    <row r="18" spans="1:4" x14ac:dyDescent="0.25">
      <c r="A18" s="40">
        <v>1</v>
      </c>
      <c r="B18" s="40">
        <v>11</v>
      </c>
      <c r="C18" s="40">
        <v>1025</v>
      </c>
      <c r="D18" s="42">
        <v>17</v>
      </c>
    </row>
    <row r="19" spans="1:4" x14ac:dyDescent="0.25">
      <c r="A19" s="40">
        <v>2</v>
      </c>
      <c r="B19" s="40">
        <v>9</v>
      </c>
      <c r="C19" s="40">
        <v>1050</v>
      </c>
      <c r="D19" s="42">
        <v>18</v>
      </c>
    </row>
    <row r="20" spans="1:4" x14ac:dyDescent="0.25">
      <c r="A20" s="40">
        <v>1</v>
      </c>
      <c r="B20" s="40">
        <v>10</v>
      </c>
      <c r="C20" s="40">
        <v>1055</v>
      </c>
      <c r="D20" s="42">
        <v>19</v>
      </c>
    </row>
    <row r="21" spans="1:4" x14ac:dyDescent="0.25">
      <c r="A21" s="40">
        <v>1</v>
      </c>
      <c r="B21" s="41">
        <v>1</v>
      </c>
      <c r="C21" s="40">
        <v>1095</v>
      </c>
      <c r="D21" s="42">
        <v>20</v>
      </c>
    </row>
    <row r="22" spans="1:4" x14ac:dyDescent="0.25">
      <c r="A22" s="40">
        <v>1</v>
      </c>
      <c r="B22" s="40">
        <v>4</v>
      </c>
      <c r="C22" s="40">
        <v>1195</v>
      </c>
      <c r="D22" s="42">
        <v>21</v>
      </c>
    </row>
    <row r="23" spans="1:4" x14ac:dyDescent="0.25">
      <c r="A23" s="40">
        <v>1</v>
      </c>
      <c r="B23" s="40">
        <v>3</v>
      </c>
      <c r="C23" s="40">
        <v>1200</v>
      </c>
      <c r="D23" s="42">
        <v>22</v>
      </c>
    </row>
    <row r="37" spans="16:17" ht="45" x14ac:dyDescent="0.25">
      <c r="P37" s="26" t="s">
        <v>10</v>
      </c>
      <c r="Q37">
        <v>0.05</v>
      </c>
    </row>
    <row r="38" spans="16:17" x14ac:dyDescent="0.25">
      <c r="P38" s="2"/>
    </row>
    <row r="39" spans="16:17" x14ac:dyDescent="0.25">
      <c r="P39" s="2" t="s">
        <v>41</v>
      </c>
      <c r="Q39" s="7">
        <f>((J15-Q37)-138)/15.1658</f>
        <v>2.0737448733334203</v>
      </c>
    </row>
    <row r="40" spans="16:17" x14ac:dyDescent="0.25">
      <c r="P40" s="2"/>
      <c r="Q40">
        <v>2.04</v>
      </c>
    </row>
    <row r="41" spans="16:17" x14ac:dyDescent="0.25">
      <c r="P41" s="2"/>
    </row>
    <row r="42" spans="16:17" x14ac:dyDescent="0.25">
      <c r="P42" s="2" t="s">
        <v>42</v>
      </c>
      <c r="Q42" s="1">
        <f>2*(1-_xlfn.NORM.S.DIST(Q40,TRUE))</f>
        <v>4.1350325732140147E-2</v>
      </c>
    </row>
  </sheetData>
  <sortState xmlns:xlrd2="http://schemas.microsoft.com/office/spreadsheetml/2017/richdata2" ref="G2:J13">
    <sortCondition ref="H2:H13"/>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3C27-9CA3-4D92-A2DE-9D15BD2F12AF}">
  <dimension ref="A1:O30"/>
  <sheetViews>
    <sheetView topLeftCell="A17" workbookViewId="0">
      <selection activeCell="D21" sqref="D21"/>
    </sheetView>
  </sheetViews>
  <sheetFormatPr defaultRowHeight="15" x14ac:dyDescent="0.25"/>
  <cols>
    <col min="1" max="1" width="21.42578125" bestFit="1" customWidth="1"/>
    <col min="5" max="5" width="7.28515625" bestFit="1" customWidth="1"/>
    <col min="6" max="6" width="9.140625" customWidth="1"/>
    <col min="7" max="7" width="5.42578125" bestFit="1" customWidth="1"/>
    <col min="8" max="8" width="3.140625" customWidth="1"/>
    <col min="9" max="9" width="17.42578125" customWidth="1"/>
    <col min="10" max="10" width="8.140625" customWidth="1"/>
    <col min="11" max="11" width="5.42578125" bestFit="1" customWidth="1"/>
    <col min="12" max="12" width="4" customWidth="1"/>
    <col min="13" max="13" width="7.28515625" bestFit="1" customWidth="1"/>
    <col min="14" max="14" width="7.7109375" bestFit="1" customWidth="1"/>
    <col min="15" max="15" width="5.42578125" bestFit="1" customWidth="1"/>
  </cols>
  <sheetData>
    <row r="1" spans="1:15" x14ac:dyDescent="0.25">
      <c r="A1" s="43" t="s">
        <v>47</v>
      </c>
      <c r="B1" s="43" t="s">
        <v>48</v>
      </c>
      <c r="C1" s="43" t="s">
        <v>49</v>
      </c>
      <c r="E1" s="45" t="s">
        <v>32</v>
      </c>
      <c r="F1" s="45" t="s">
        <v>31</v>
      </c>
      <c r="G1" s="45" t="s">
        <v>18</v>
      </c>
      <c r="H1" s="48"/>
      <c r="I1" s="45" t="s">
        <v>32</v>
      </c>
      <c r="J1" s="45" t="s">
        <v>31</v>
      </c>
      <c r="K1" s="45" t="s">
        <v>18</v>
      </c>
      <c r="L1" s="48"/>
      <c r="M1" s="45" t="s">
        <v>32</v>
      </c>
      <c r="N1" s="45" t="s">
        <v>31</v>
      </c>
      <c r="O1" s="45" t="s">
        <v>18</v>
      </c>
    </row>
    <row r="2" spans="1:15" x14ac:dyDescent="0.25">
      <c r="A2" s="38">
        <v>25</v>
      </c>
      <c r="B2" s="38">
        <v>60</v>
      </c>
      <c r="C2" s="38">
        <v>50</v>
      </c>
      <c r="E2" s="48" t="s">
        <v>50</v>
      </c>
      <c r="F2" s="48">
        <v>25</v>
      </c>
      <c r="G2" s="48">
        <v>3</v>
      </c>
      <c r="H2" s="48"/>
      <c r="I2" s="48" t="s">
        <v>51</v>
      </c>
      <c r="J2" s="48">
        <v>60</v>
      </c>
      <c r="K2" s="48">
        <v>9</v>
      </c>
      <c r="L2" s="48"/>
      <c r="M2" s="48" t="s">
        <v>52</v>
      </c>
      <c r="N2" s="48">
        <v>50</v>
      </c>
      <c r="O2" s="48">
        <v>7</v>
      </c>
    </row>
    <row r="3" spans="1:15" x14ac:dyDescent="0.25">
      <c r="A3" s="38">
        <v>70</v>
      </c>
      <c r="B3" s="38">
        <v>20</v>
      </c>
      <c r="C3" s="38">
        <v>70</v>
      </c>
      <c r="E3" s="48" t="s">
        <v>50</v>
      </c>
      <c r="F3" s="48">
        <v>70</v>
      </c>
      <c r="G3" s="48">
        <v>12</v>
      </c>
      <c r="H3" s="48"/>
      <c r="I3" s="48" t="s">
        <v>51</v>
      </c>
      <c r="J3" s="48">
        <v>20</v>
      </c>
      <c r="K3" s="48">
        <v>2</v>
      </c>
      <c r="L3" s="48"/>
      <c r="M3" s="48" t="s">
        <v>52</v>
      </c>
      <c r="N3" s="48">
        <v>70</v>
      </c>
      <c r="O3" s="48">
        <v>12</v>
      </c>
    </row>
    <row r="4" spans="1:15" x14ac:dyDescent="0.25">
      <c r="A4" s="38">
        <v>60</v>
      </c>
      <c r="B4" s="38">
        <v>30</v>
      </c>
      <c r="C4" s="38">
        <v>60</v>
      </c>
      <c r="E4" s="48" t="s">
        <v>50</v>
      </c>
      <c r="F4" s="48">
        <v>60</v>
      </c>
      <c r="G4" s="48">
        <v>9</v>
      </c>
      <c r="H4" s="48"/>
      <c r="I4" s="48" t="s">
        <v>51</v>
      </c>
      <c r="J4" s="48">
        <v>30</v>
      </c>
      <c r="K4" s="48">
        <v>4</v>
      </c>
      <c r="L4" s="48"/>
      <c r="M4" s="48" t="s">
        <v>52</v>
      </c>
      <c r="N4" s="48">
        <v>60</v>
      </c>
      <c r="O4" s="48">
        <v>9</v>
      </c>
    </row>
    <row r="5" spans="1:15" x14ac:dyDescent="0.25">
      <c r="A5" s="38">
        <v>85</v>
      </c>
      <c r="B5" s="38">
        <v>15</v>
      </c>
      <c r="C5" s="38">
        <v>80</v>
      </c>
      <c r="E5" s="48" t="s">
        <v>50</v>
      </c>
      <c r="F5" s="48">
        <v>85</v>
      </c>
      <c r="G5" s="48">
        <v>17</v>
      </c>
      <c r="H5" s="48"/>
      <c r="I5" s="48" t="s">
        <v>51</v>
      </c>
      <c r="J5" s="48">
        <v>15</v>
      </c>
      <c r="K5" s="48">
        <v>1</v>
      </c>
      <c r="L5" s="48"/>
      <c r="M5" s="48" t="s">
        <v>52</v>
      </c>
      <c r="N5" s="48">
        <v>80</v>
      </c>
      <c r="O5" s="48">
        <v>15.5</v>
      </c>
    </row>
    <row r="6" spans="1:15" x14ac:dyDescent="0.25">
      <c r="A6" s="38">
        <v>95</v>
      </c>
      <c r="B6" s="38">
        <v>40</v>
      </c>
      <c r="C6" s="38">
        <v>90</v>
      </c>
      <c r="E6" s="48" t="s">
        <v>50</v>
      </c>
      <c r="F6" s="48">
        <v>95</v>
      </c>
      <c r="G6" s="48">
        <v>20</v>
      </c>
      <c r="H6" s="48"/>
      <c r="I6" s="48" t="s">
        <v>51</v>
      </c>
      <c r="J6" s="48">
        <v>40</v>
      </c>
      <c r="K6" s="48">
        <v>6</v>
      </c>
      <c r="L6" s="48"/>
      <c r="M6" s="48" t="s">
        <v>52</v>
      </c>
      <c r="N6" s="48">
        <v>90</v>
      </c>
      <c r="O6" s="48">
        <v>18.5</v>
      </c>
    </row>
    <row r="7" spans="1:15" x14ac:dyDescent="0.25">
      <c r="A7" s="38">
        <v>90</v>
      </c>
      <c r="B7" s="38">
        <v>35</v>
      </c>
      <c r="C7" s="38">
        <v>70</v>
      </c>
      <c r="E7" s="48" t="s">
        <v>50</v>
      </c>
      <c r="F7" s="48">
        <v>90</v>
      </c>
      <c r="G7" s="48">
        <v>18.5</v>
      </c>
      <c r="H7" s="48"/>
      <c r="I7" s="48" t="s">
        <v>51</v>
      </c>
      <c r="J7" s="48">
        <v>35</v>
      </c>
      <c r="K7" s="48">
        <v>5</v>
      </c>
      <c r="L7" s="48"/>
      <c r="M7" s="48" t="s">
        <v>52</v>
      </c>
      <c r="N7" s="48">
        <v>70</v>
      </c>
      <c r="O7" s="48">
        <v>12</v>
      </c>
    </row>
    <row r="8" spans="1:15" x14ac:dyDescent="0.25">
      <c r="A8" s="38">
        <v>80</v>
      </c>
      <c r="B8" s="44"/>
      <c r="C8" s="38">
        <v>75</v>
      </c>
      <c r="E8" s="48" t="s">
        <v>50</v>
      </c>
      <c r="F8" s="48">
        <v>80</v>
      </c>
      <c r="G8" s="48">
        <v>15.5</v>
      </c>
      <c r="H8" s="48"/>
      <c r="I8" s="48"/>
      <c r="J8" s="48"/>
      <c r="K8" s="48"/>
      <c r="L8" s="48"/>
      <c r="M8" s="48" t="s">
        <v>52</v>
      </c>
      <c r="N8" s="48">
        <v>75</v>
      </c>
      <c r="O8" s="48">
        <v>14</v>
      </c>
    </row>
    <row r="10" spans="1:15" ht="30" x14ac:dyDescent="0.25">
      <c r="A10" s="49" t="s">
        <v>32</v>
      </c>
      <c r="B10" s="50" t="s">
        <v>31</v>
      </c>
      <c r="C10" s="51" t="s">
        <v>18</v>
      </c>
      <c r="F10" s="57" t="s">
        <v>53</v>
      </c>
      <c r="G10">
        <f>SUM(G2:G8)</f>
        <v>95</v>
      </c>
      <c r="J10" s="26" t="s">
        <v>53</v>
      </c>
      <c r="K10">
        <f>SUM(K2:K7)</f>
        <v>27</v>
      </c>
      <c r="N10" s="26" t="s">
        <v>53</v>
      </c>
      <c r="O10">
        <f>SUM(O2:O8)</f>
        <v>88</v>
      </c>
    </row>
    <row r="11" spans="1:15" x14ac:dyDescent="0.25">
      <c r="A11" s="52" t="s">
        <v>50</v>
      </c>
      <c r="B11" s="47">
        <v>25</v>
      </c>
      <c r="C11" s="53" cm="1">
        <f t="array" ref="C11:C30">_xlfn.RANK.AVG(B11:B30,B11:B30,1)</f>
        <v>3</v>
      </c>
    </row>
    <row r="12" spans="1:15" x14ac:dyDescent="0.25">
      <c r="A12" s="52" t="s">
        <v>50</v>
      </c>
      <c r="B12" s="47">
        <v>70</v>
      </c>
      <c r="C12" s="53">
        <v>12</v>
      </c>
    </row>
    <row r="13" spans="1:15" x14ac:dyDescent="0.25">
      <c r="A13" s="52" t="s">
        <v>50</v>
      </c>
      <c r="B13" s="47">
        <v>60</v>
      </c>
      <c r="C13" s="53">
        <v>9</v>
      </c>
    </row>
    <row r="14" spans="1:15" x14ac:dyDescent="0.25">
      <c r="A14" s="52" t="s">
        <v>50</v>
      </c>
      <c r="B14" s="47">
        <v>85</v>
      </c>
      <c r="C14" s="53">
        <v>17</v>
      </c>
    </row>
    <row r="15" spans="1:15" x14ac:dyDescent="0.25">
      <c r="A15" s="52" t="s">
        <v>50</v>
      </c>
      <c r="B15" s="47">
        <v>95</v>
      </c>
      <c r="C15" s="53">
        <v>20</v>
      </c>
    </row>
    <row r="16" spans="1:15" ht="30" x14ac:dyDescent="0.25">
      <c r="A16" s="52" t="s">
        <v>50</v>
      </c>
      <c r="B16" s="47">
        <v>90</v>
      </c>
      <c r="C16" s="53">
        <v>18.5</v>
      </c>
      <c r="I16" s="26" t="s">
        <v>58</v>
      </c>
      <c r="J16">
        <f>COUNTA(A1:C1)</f>
        <v>3</v>
      </c>
    </row>
    <row r="17" spans="1:10" x14ac:dyDescent="0.25">
      <c r="A17" s="52" t="s">
        <v>50</v>
      </c>
      <c r="B17" s="47">
        <v>80</v>
      </c>
      <c r="C17" s="53">
        <v>15.5</v>
      </c>
    </row>
    <row r="18" spans="1:10" x14ac:dyDescent="0.25">
      <c r="A18" s="52" t="s">
        <v>51</v>
      </c>
      <c r="B18" s="47">
        <v>60</v>
      </c>
      <c r="C18" s="53">
        <v>9</v>
      </c>
      <c r="I18" t="s">
        <v>59</v>
      </c>
      <c r="J18">
        <f>_xlfn.CHISQ.DIST.RT(J22,J16-1)</f>
        <v>1.1583619796569848E-2</v>
      </c>
    </row>
    <row r="19" spans="1:10" x14ac:dyDescent="0.25">
      <c r="A19" s="52" t="s">
        <v>51</v>
      </c>
      <c r="B19" s="47">
        <v>20</v>
      </c>
      <c r="C19" s="53">
        <v>2</v>
      </c>
    </row>
    <row r="20" spans="1:10" x14ac:dyDescent="0.25">
      <c r="A20" s="52" t="s">
        <v>51</v>
      </c>
      <c r="B20" s="47">
        <v>30</v>
      </c>
      <c r="C20" s="53">
        <v>4</v>
      </c>
      <c r="I20" s="2" t="s">
        <v>54</v>
      </c>
      <c r="J20">
        <f>COUNTA(A2:C8)</f>
        <v>20</v>
      </c>
    </row>
    <row r="21" spans="1:10" x14ac:dyDescent="0.25">
      <c r="A21" s="52" t="s">
        <v>51</v>
      </c>
      <c r="B21" s="47">
        <v>15</v>
      </c>
      <c r="C21" s="53">
        <v>1</v>
      </c>
    </row>
    <row r="22" spans="1:10" x14ac:dyDescent="0.25">
      <c r="A22" s="52" t="s">
        <v>51</v>
      </c>
      <c r="B22" s="47">
        <v>40</v>
      </c>
      <c r="C22" s="53">
        <v>6</v>
      </c>
      <c r="I22" s="2" t="s">
        <v>43</v>
      </c>
      <c r="J22" s="6">
        <f>(J24*J26)-J28</f>
        <v>8.9163265306122383</v>
      </c>
    </row>
    <row r="23" spans="1:10" x14ac:dyDescent="0.25">
      <c r="A23" s="52" t="s">
        <v>51</v>
      </c>
      <c r="B23" s="47">
        <v>35</v>
      </c>
      <c r="C23" s="53">
        <v>5</v>
      </c>
    </row>
    <row r="24" spans="1:10" x14ac:dyDescent="0.25">
      <c r="A24" s="52" t="s">
        <v>52</v>
      </c>
      <c r="B24" s="47">
        <v>50</v>
      </c>
      <c r="C24" s="53">
        <v>7</v>
      </c>
      <c r="I24" t="s">
        <v>55</v>
      </c>
      <c r="J24">
        <f>12/(J20*(J20+1))</f>
        <v>2.8571428571428571E-2</v>
      </c>
    </row>
    <row r="25" spans="1:10" x14ac:dyDescent="0.25">
      <c r="A25" s="52" t="s">
        <v>52</v>
      </c>
      <c r="B25" s="47">
        <v>70</v>
      </c>
      <c r="C25" s="53">
        <v>12</v>
      </c>
    </row>
    <row r="26" spans="1:10" x14ac:dyDescent="0.25">
      <c r="A26" s="52" t="s">
        <v>52</v>
      </c>
      <c r="B26" s="47">
        <v>60</v>
      </c>
      <c r="C26" s="53">
        <v>9</v>
      </c>
      <c r="I26" t="s">
        <v>56</v>
      </c>
      <c r="J26">
        <f>(G10^2/COUNT(G2:G8)+(K10^2/COUNT(K2:K7))+(O10^2/COUNT(O2:O8)))</f>
        <v>2517.0714285714284</v>
      </c>
    </row>
    <row r="27" spans="1:10" x14ac:dyDescent="0.25">
      <c r="A27" s="52" t="s">
        <v>52</v>
      </c>
      <c r="B27" s="47">
        <v>80</v>
      </c>
      <c r="C27" s="53">
        <v>15.5</v>
      </c>
    </row>
    <row r="28" spans="1:10" ht="30" x14ac:dyDescent="0.25">
      <c r="A28" s="52" t="s">
        <v>52</v>
      </c>
      <c r="B28" s="47">
        <v>90</v>
      </c>
      <c r="C28" s="53">
        <v>18.5</v>
      </c>
      <c r="I28" s="23" t="s">
        <v>57</v>
      </c>
      <c r="J28">
        <f>3*(J20+1)</f>
        <v>63</v>
      </c>
    </row>
    <row r="29" spans="1:10" x14ac:dyDescent="0.25">
      <c r="A29" s="52" t="s">
        <v>52</v>
      </c>
      <c r="B29" s="47">
        <v>70</v>
      </c>
      <c r="C29" s="53">
        <v>12</v>
      </c>
    </row>
    <row r="30" spans="1:10" x14ac:dyDescent="0.25">
      <c r="A30" s="54" t="s">
        <v>52</v>
      </c>
      <c r="B30" s="55">
        <v>75</v>
      </c>
      <c r="C30" s="56">
        <v>14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7E04-0A75-4C53-BCD8-D1AD9CDD5D45}">
  <dimension ref="A1:K19"/>
  <sheetViews>
    <sheetView tabSelected="1" workbookViewId="0">
      <selection activeCell="F17" sqref="F17"/>
    </sheetView>
  </sheetViews>
  <sheetFormatPr defaultRowHeight="15" x14ac:dyDescent="0.25"/>
  <cols>
    <col min="1" max="1" width="12.42578125" customWidth="1"/>
    <col min="2" max="2" width="17.85546875" customWidth="1"/>
    <col min="4" max="4" width="13.42578125" bestFit="1" customWidth="1"/>
    <col min="6" max="6" width="16.5703125" bestFit="1" customWidth="1"/>
    <col min="7" max="7" width="13.42578125" bestFit="1" customWidth="1"/>
    <col min="9" max="9" width="16.5703125" bestFit="1" customWidth="1"/>
    <col min="10" max="10" width="16.85546875" bestFit="1" customWidth="1"/>
    <col min="11" max="11" width="14" bestFit="1" customWidth="1"/>
  </cols>
  <sheetData>
    <row r="1" spans="1:11" x14ac:dyDescent="0.25">
      <c r="A1" s="59" t="s">
        <v>66</v>
      </c>
      <c r="B1" s="60" t="s">
        <v>67</v>
      </c>
      <c r="C1" s="60" t="s">
        <v>68</v>
      </c>
      <c r="D1" s="61" t="s">
        <v>69</v>
      </c>
      <c r="F1" s="46" t="s">
        <v>67</v>
      </c>
      <c r="G1" s="46" t="s">
        <v>69</v>
      </c>
      <c r="I1" s="69"/>
      <c r="J1" s="69" t="s">
        <v>67</v>
      </c>
      <c r="K1" s="69" t="s">
        <v>69</v>
      </c>
    </row>
    <row r="2" spans="1:11" x14ac:dyDescent="0.25">
      <c r="A2" s="62" t="s">
        <v>44</v>
      </c>
      <c r="B2" s="47">
        <v>2</v>
      </c>
      <c r="C2" s="47">
        <v>400</v>
      </c>
      <c r="D2" s="63">
        <v>1</v>
      </c>
      <c r="F2" s="47">
        <v>2</v>
      </c>
      <c r="G2" s="58">
        <v>1</v>
      </c>
      <c r="I2" s="67" t="s">
        <v>67</v>
      </c>
      <c r="J2" s="67">
        <v>1</v>
      </c>
      <c r="K2" s="67"/>
    </row>
    <row r="3" spans="1:11" ht="15.75" thickBot="1" x14ac:dyDescent="0.3">
      <c r="A3" s="62" t="s">
        <v>45</v>
      </c>
      <c r="B3" s="47">
        <v>4</v>
      </c>
      <c r="C3" s="47">
        <v>360</v>
      </c>
      <c r="D3" s="64">
        <v>3</v>
      </c>
      <c r="F3" s="47">
        <v>4</v>
      </c>
      <c r="G3" s="47">
        <v>3</v>
      </c>
      <c r="I3" s="68" t="s">
        <v>69</v>
      </c>
      <c r="J3" s="68">
        <v>0.73333333333333328</v>
      </c>
      <c r="K3" s="68">
        <v>1</v>
      </c>
    </row>
    <row r="4" spans="1:11" x14ac:dyDescent="0.25">
      <c r="A4" s="62" t="s">
        <v>46</v>
      </c>
      <c r="B4" s="47">
        <v>7</v>
      </c>
      <c r="C4" s="47">
        <v>300</v>
      </c>
      <c r="D4" s="64">
        <v>5</v>
      </c>
      <c r="F4" s="47">
        <v>7</v>
      </c>
      <c r="G4" s="47">
        <v>5</v>
      </c>
    </row>
    <row r="5" spans="1:11" x14ac:dyDescent="0.25">
      <c r="A5" s="62" t="s">
        <v>60</v>
      </c>
      <c r="B5" s="47">
        <v>1</v>
      </c>
      <c r="C5" s="47">
        <v>295</v>
      </c>
      <c r="D5" s="64">
        <v>6</v>
      </c>
      <c r="F5" s="47">
        <v>1</v>
      </c>
      <c r="G5" s="47">
        <v>6</v>
      </c>
      <c r="J5">
        <f>CORREL(F2:F11,G2:G11)</f>
        <v>0.73333333333333328</v>
      </c>
    </row>
    <row r="6" spans="1:11" x14ac:dyDescent="0.25">
      <c r="A6" s="62" t="s">
        <v>61</v>
      </c>
      <c r="B6" s="47">
        <v>6</v>
      </c>
      <c r="C6" s="47">
        <v>280</v>
      </c>
      <c r="D6" s="64">
        <v>7</v>
      </c>
      <c r="F6" s="47">
        <v>6</v>
      </c>
      <c r="G6" s="47">
        <v>7</v>
      </c>
    </row>
    <row r="7" spans="1:11" x14ac:dyDescent="0.25">
      <c r="A7" s="62" t="s">
        <v>62</v>
      </c>
      <c r="B7" s="47">
        <v>3</v>
      </c>
      <c r="C7" s="47">
        <v>350</v>
      </c>
      <c r="D7" s="64">
        <v>4</v>
      </c>
      <c r="F7" s="47">
        <v>3</v>
      </c>
      <c r="G7" s="47">
        <v>4</v>
      </c>
    </row>
    <row r="8" spans="1:11" x14ac:dyDescent="0.25">
      <c r="A8" s="62" t="s">
        <v>63</v>
      </c>
      <c r="B8" s="47">
        <v>10</v>
      </c>
      <c r="C8" s="47">
        <v>200</v>
      </c>
      <c r="D8" s="64">
        <v>10</v>
      </c>
      <c r="F8" s="47">
        <v>10</v>
      </c>
      <c r="G8" s="47">
        <v>10</v>
      </c>
    </row>
    <row r="9" spans="1:11" x14ac:dyDescent="0.25">
      <c r="A9" s="62" t="s">
        <v>64</v>
      </c>
      <c r="B9" s="47">
        <v>9</v>
      </c>
      <c r="C9" s="47">
        <v>260</v>
      </c>
      <c r="D9" s="64">
        <v>8</v>
      </c>
      <c r="F9" s="47">
        <v>9</v>
      </c>
      <c r="G9" s="47">
        <v>8</v>
      </c>
    </row>
    <row r="10" spans="1:11" x14ac:dyDescent="0.25">
      <c r="A10" s="62" t="s">
        <v>36</v>
      </c>
      <c r="B10" s="47">
        <v>8</v>
      </c>
      <c r="C10" s="47">
        <v>220</v>
      </c>
      <c r="D10" s="64">
        <v>9</v>
      </c>
      <c r="F10" s="47">
        <v>8</v>
      </c>
      <c r="G10" s="47">
        <v>9</v>
      </c>
    </row>
    <row r="11" spans="1:11" x14ac:dyDescent="0.25">
      <c r="A11" s="65" t="s">
        <v>65</v>
      </c>
      <c r="B11" s="55">
        <v>5</v>
      </c>
      <c r="C11" s="55">
        <v>385</v>
      </c>
      <c r="D11" s="66">
        <v>2</v>
      </c>
      <c r="F11" s="47">
        <v>5</v>
      </c>
      <c r="G11" s="47">
        <v>2</v>
      </c>
    </row>
    <row r="13" spans="1:11" x14ac:dyDescent="0.25">
      <c r="E13" t="s">
        <v>2</v>
      </c>
      <c r="F13">
        <f>COUNTA(A2:A11)</f>
        <v>10</v>
      </c>
    </row>
    <row r="15" spans="1:11" x14ac:dyDescent="0.25">
      <c r="E15" t="s">
        <v>71</v>
      </c>
      <c r="F15">
        <f>SQRT(1/(F13-1))</f>
        <v>0.33333333333333331</v>
      </c>
    </row>
    <row r="17" spans="5:6" x14ac:dyDescent="0.25">
      <c r="E17" t="s">
        <v>70</v>
      </c>
      <c r="F17" s="6">
        <f>(J5-0)/F15</f>
        <v>2.2000000000000002</v>
      </c>
    </row>
    <row r="19" spans="5:6" x14ac:dyDescent="0.25">
      <c r="E19" t="s">
        <v>59</v>
      </c>
      <c r="F19">
        <f>2*(1-_xlfn.NORM.S.DIST(F17,TRUE))</f>
        <v>2.780689502699718E-2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Hypothesis median test binomial</vt:lpstr>
      <vt:lpstr>norm approximation of binomial</vt:lpstr>
      <vt:lpstr>matched samples hypothesis sign</vt:lpstr>
      <vt:lpstr>Wilcoxin signed rank test</vt:lpstr>
      <vt:lpstr>mann whitney wilcoxon test</vt:lpstr>
      <vt:lpstr>m.w.w test n1 &amp; n2&gt;7</vt:lpstr>
      <vt:lpstr>kruskal walllis test</vt:lpstr>
      <vt:lpstr>spearman rank correlation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Alvarez</dc:creator>
  <cp:lastModifiedBy>Cristian Alvarez</cp:lastModifiedBy>
  <dcterms:created xsi:type="dcterms:W3CDTF">2025-09-23T00:02:12Z</dcterms:created>
  <dcterms:modified xsi:type="dcterms:W3CDTF">2025-09-26T01:43:55Z</dcterms:modified>
</cp:coreProperties>
</file>