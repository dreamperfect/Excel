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2120328D-5E37-400A-B1E5-0F9D7286B894}" xr6:coauthVersionLast="47" xr6:coauthVersionMax="47" xr10:uidLastSave="{00000000-0000-0000-0000-000000000000}"/>
  <bookViews>
    <workbookView xWindow="-120" yWindow="-120" windowWidth="20730" windowHeight="11040" xr2:uid="{5003059B-B1D3-4B8D-9764-A2936B94A946}"/>
  </bookViews>
  <sheets>
    <sheet name="11.1 pop variance (chi square)" sheetId="1" r:id="rId1"/>
    <sheet name="11.1 pop variance 2 tail (same)" sheetId="3" r:id="rId2"/>
    <sheet name="11.2 2 pop variances (F distr.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O6" i="2"/>
  <c r="N6" i="2"/>
  <c r="E8" i="2"/>
  <c r="E7" i="2"/>
  <c r="E3" i="2"/>
  <c r="H3" i="1"/>
  <c r="H2" i="1"/>
  <c r="B5" i="2"/>
  <c r="B4" i="2"/>
  <c r="P6" i="3" l="1"/>
  <c r="L5" i="3"/>
  <c r="L9" i="3" s="1"/>
  <c r="B5" i="3"/>
  <c r="P4" i="3"/>
  <c r="E3" i="3"/>
  <c r="F3" i="3" s="1"/>
  <c r="H6" i="3" s="1"/>
  <c r="H7" i="3" s="1"/>
  <c r="E2" i="3"/>
  <c r="F2" i="3" s="1"/>
  <c r="D6" i="3" s="1"/>
  <c r="D7" i="3" s="1"/>
  <c r="P6" i="1"/>
  <c r="P4" i="1"/>
  <c r="L8" i="3" l="1"/>
  <c r="L10" i="3" s="1"/>
  <c r="E2" i="1"/>
  <c r="E3" i="1"/>
  <c r="B5" i="1"/>
  <c r="L8" i="1" l="1"/>
  <c r="L10" i="1" s="1"/>
  <c r="L9" i="1"/>
  <c r="F3" i="1"/>
  <c r="H6" i="1" s="1"/>
  <c r="H7" i="1" s="1"/>
  <c r="F2" i="1"/>
  <c r="D6" i="1" l="1"/>
  <c r="D7" i="1" s="1"/>
</calcChain>
</file>

<file path=xl/sharedStrings.xml><?xml version="1.0" encoding="utf-8"?>
<sst xmlns="http://schemas.openxmlformats.org/spreadsheetml/2006/main" count="66" uniqueCount="36">
  <si>
    <t>Probability</t>
  </si>
  <si>
    <t>n</t>
  </si>
  <si>
    <t>d.f</t>
  </si>
  <si>
    <t>sample variance: s^2</t>
  </si>
  <si>
    <t xml:space="preserve">hypothesized pop variance </t>
  </si>
  <si>
    <t>Chi Square with Probability a the right (X^2a)</t>
  </si>
  <si>
    <t>a</t>
  </si>
  <si>
    <t xml:space="preserve">variance </t>
  </si>
  <si>
    <t>&lt;=</t>
  </si>
  <si>
    <t>stdev</t>
  </si>
  <si>
    <t>test statistic</t>
  </si>
  <si>
    <t>Right tailed</t>
  </si>
  <si>
    <t>left tailed</t>
  </si>
  <si>
    <t>two tailed</t>
  </si>
  <si>
    <t>P(χ2≥stat)</t>
  </si>
  <si>
    <t>P(χ2≤stat)</t>
  </si>
  <si>
    <t>P(χ2≤x)+P(χ2≥x),</t>
  </si>
  <si>
    <t>Probability a</t>
  </si>
  <si>
    <t>χ2</t>
  </si>
  <si>
    <t>Reject Ho if χ2&gt;=</t>
  </si>
  <si>
    <t>n1</t>
  </si>
  <si>
    <t>n2</t>
  </si>
  <si>
    <t>df1</t>
  </si>
  <si>
    <t>df2</t>
  </si>
  <si>
    <t>F test stat</t>
  </si>
  <si>
    <t xml:space="preserve">sample 1 variance </t>
  </si>
  <si>
    <t>sample 2 variance</t>
  </si>
  <si>
    <t>or</t>
  </si>
  <si>
    <t>Fa</t>
  </si>
  <si>
    <t>F probability</t>
  </si>
  <si>
    <t>right tail</t>
  </si>
  <si>
    <t>two tail</t>
  </si>
  <si>
    <t>Fa/2</t>
  </si>
  <si>
    <t>Reject Ho if test stat&gt;=</t>
  </si>
  <si>
    <t>Two tail</t>
  </si>
  <si>
    <t>Right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</si>
</sst>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0"/>
    <numFmt numFmtId="168" formatCode="0.0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/>
    <xf numFmtId="2" fontId="0" fillId="0" borderId="0" xfId="0" applyNumberFormat="1"/>
    <xf numFmtId="0" fontId="3" fillId="0" borderId="0" xfId="0" applyFont="1"/>
    <xf numFmtId="2" fontId="0" fillId="2" borderId="0" xfId="0" applyNumberFormat="1" applyFill="1"/>
    <xf numFmtId="167" fontId="0" fillId="2" borderId="1" xfId="0" applyNumberFormat="1" applyFill="1" applyBorder="1"/>
    <xf numFmtId="0" fontId="0" fillId="2" borderId="4" xfId="0" applyFill="1" applyBorder="1"/>
    <xf numFmtId="168" fontId="0" fillId="2" borderId="3" xfId="0" applyNumberFormat="1" applyFill="1" applyBorder="1"/>
    <xf numFmtId="0" fontId="0" fillId="2" borderId="6" xfId="0" applyFill="1" applyBorder="1"/>
    <xf numFmtId="0" fontId="3" fillId="0" borderId="0" xfId="0" applyFont="1" applyFill="1"/>
    <xf numFmtId="0" fontId="0" fillId="0" borderId="0" xfId="0" applyFill="1"/>
    <xf numFmtId="168" fontId="3" fillId="2" borderId="0" xfId="0" applyNumberFormat="1" applyFont="1" applyFill="1"/>
    <xf numFmtId="168" fontId="0" fillId="2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4" fillId="0" borderId="0" xfId="0" applyFont="1" applyFill="1"/>
    <xf numFmtId="0" fontId="4" fillId="0" borderId="0" xfId="0" applyFont="1"/>
    <xf numFmtId="168" fontId="4" fillId="2" borderId="0" xfId="0" applyNumberFormat="1" applyFont="1" applyFill="1"/>
    <xf numFmtId="0" fontId="1" fillId="0" borderId="0" xfId="0" applyFont="1"/>
    <xf numFmtId="168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504824</xdr:colOff>
      <xdr:row>8</xdr:row>
      <xdr:rowOff>152399</xdr:rowOff>
    </xdr:from>
    <xdr:to>
      <xdr:col>7</xdr:col>
      <xdr:colOff>47624</xdr:colOff>
      <xdr:row>22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51E5DB-C780-4AF6-E82F-E6F9E5432384}"/>
            </a:ext>
          </a:extLst>
        </xdr:cNvPr>
        <xdr:cNvSpPr txBox="1"/>
      </xdr:nvSpPr>
      <xdr:spPr>
        <a:xfrm>
          <a:off x="2152649" y="1695449"/>
          <a:ext cx="3857625" cy="2962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x</a:t>
          </a:r>
          <a:r>
            <a:rPr lang="en-US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^2a</a:t>
          </a:r>
        </a:p>
        <a:p>
          <a:r>
            <a:rPr lang="en-US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</a:t>
          </a:r>
          <a:r>
            <a:rPr lang="en-US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textbook uses </a:t>
          </a:r>
          <a:r>
            <a:rPr lang="en-US"/>
            <a:t>the notation to denote the value for the chi-square distribution that provides an area or probability of </a:t>
          </a:r>
          <a:r>
            <a:rPr lang="el-GR"/>
            <a:t>α</a:t>
          </a:r>
          <a:r>
            <a:rPr lang="en-US" baseline="0"/>
            <a:t> to</a:t>
          </a:r>
          <a:r>
            <a:rPr lang="en-US"/>
            <a:t> the rightof the value. For example, 97.5% of the chi-square values are to the right of 8.907. </a:t>
          </a:r>
        </a:p>
        <a:p>
          <a:endParaRPr lang="en-US"/>
        </a:p>
        <a:p>
          <a:r>
            <a:rPr lang="en-US"/>
            <a:t>I am not sure anymore if</a:t>
          </a:r>
          <a:r>
            <a:rPr lang="en-US" baseline="0"/>
            <a:t> this is different than z distribution or textbook. I think the only differnece is that the F distribution cant have negative values but X2 is chi squarebecause chat gpt says: </a:t>
          </a:r>
        </a:p>
        <a:p>
          <a:endParaRPr lang="en-US" baseline="0"/>
        </a:p>
        <a:p>
          <a:r>
            <a:rPr lang="en-US" baseline="0"/>
            <a:t> </a:t>
          </a:r>
          <a:r>
            <a:rPr lang="en-US"/>
            <a:t>In most textbooks, Z</a:t>
          </a:r>
          <a:r>
            <a:rPr lang="el-GR"/>
            <a:t>α</a:t>
          </a:r>
          <a:r>
            <a:rPr lang="en-US" baseline="0"/>
            <a:t> , X</a:t>
          </a:r>
          <a:r>
            <a:rPr lang="el-GR"/>
            <a:t>^2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</a:t>
          </a:r>
          <a:r>
            <a:rPr lang="en-US" baseline="0"/>
            <a:t>,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, </a:t>
          </a:r>
          <a:r>
            <a:rPr lang="el-GR"/>
            <a:t>​</a:t>
          </a:r>
          <a:r>
            <a:rPr lang="en-US"/>
            <a:t>all mean </a:t>
          </a:r>
          <a:r>
            <a:rPr lang="en-US" b="1"/>
            <a:t>the critical value with </a:t>
          </a:r>
          <a:r>
            <a:rPr lang="el-GR" b="1"/>
            <a:t>α </a:t>
          </a:r>
          <a:r>
            <a:rPr lang="en-US" b="1"/>
            <a:t>area to the </a:t>
          </a:r>
          <a:r>
            <a:rPr lang="en-US" b="1" i="1"/>
            <a:t>right</a:t>
          </a:r>
          <a:r>
            <a:rPr lang="en-US"/>
            <a:t>.</a:t>
          </a:r>
        </a:p>
        <a:p>
          <a:r>
            <a:rPr lang="en-US"/>
            <a:t>Excel’s inverse functions, however, take the </a:t>
          </a:r>
          <a:r>
            <a:rPr lang="en-US" b="1"/>
            <a:t>left-tail probability</a:t>
          </a:r>
          <a:r>
            <a:rPr lang="en-US"/>
            <a:t> as their argument.</a:t>
          </a:r>
        </a:p>
        <a:p>
          <a:r>
            <a:rPr lang="en-US"/>
            <a:t>For </a:t>
          </a:r>
          <a:r>
            <a:rPr lang="en-US" b="1"/>
            <a:t>Z</a:t>
          </a:r>
          <a:r>
            <a:rPr lang="en-US"/>
            <a:t>, if you want Z0.05</a:t>
          </a:r>
          <a:r>
            <a:rPr lang="en-US" baseline="0"/>
            <a:t> </a:t>
          </a:r>
          <a:r>
            <a:rPr lang="en-US"/>
            <a:t>(5% in the right tail), you must pass 1-</a:t>
          </a:r>
          <a:r>
            <a:rPr lang="el-GR"/>
            <a:t>α </a:t>
          </a:r>
          <a:r>
            <a:rPr lang="en-US"/>
            <a:t>to Excel.</a:t>
          </a:r>
          <a:r>
            <a:rPr lang="en-US" baseline="0"/>
            <a:t> </a:t>
          </a:r>
        </a:p>
        <a:p>
          <a:r>
            <a:rPr lang="en-US" baseline="0"/>
            <a:t>=NORM.S.INV(1-0.05)  // gives 1.645</a:t>
          </a:r>
        </a:p>
        <a:p>
          <a:endParaRPr lang="en-US"/>
        </a:p>
        <a:p>
          <a:endParaRPr lang="en-US" baseline="0"/>
        </a:p>
        <a:p>
          <a:endParaRPr lang="en-US" baseline="0"/>
        </a:p>
        <a:p>
          <a:endParaRPr lang="en-US" baseline="0"/>
        </a:p>
      </xdr:txBody>
    </xdr:sp>
    <xdr:clientData/>
  </xdr:twoCellAnchor>
  <xdr:twoCellAnchor>
    <xdr:from>
      <xdr:col>5</xdr:col>
      <xdr:colOff>457200</xdr:colOff>
      <xdr:row>3</xdr:row>
      <xdr:rowOff>76200</xdr:rowOff>
    </xdr:from>
    <xdr:to>
      <xdr:col>5</xdr:col>
      <xdr:colOff>1781175</xdr:colOff>
      <xdr:row>4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5F5FB2-D7C3-BF66-B846-83DDA5664680}"/>
            </a:ext>
          </a:extLst>
        </xdr:cNvPr>
        <xdr:cNvSpPr txBox="1"/>
      </xdr:nvSpPr>
      <xdr:spPr>
        <a:xfrm>
          <a:off x="3629025" y="647700"/>
          <a:ext cx="13239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Confidence</a:t>
          </a:r>
          <a:r>
            <a:rPr lang="en-US" sz="1100" b="1" baseline="0"/>
            <a:t> Interval</a:t>
          </a:r>
          <a:endParaRPr lang="en-US" sz="1100" b="1"/>
        </a:p>
      </xdr:txBody>
    </xdr:sp>
    <xdr:clientData/>
  </xdr:twoCellAnchor>
  <xdr:twoCellAnchor>
    <xdr:from>
      <xdr:col>10</xdr:col>
      <xdr:colOff>381000</xdr:colOff>
      <xdr:row>0</xdr:row>
      <xdr:rowOff>161925</xdr:rowOff>
    </xdr:from>
    <xdr:to>
      <xdr:col>12</xdr:col>
      <xdr:colOff>295275</xdr:colOff>
      <xdr:row>2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64ED79F-DB03-10C2-D35E-5D8147FD8FDD}"/>
            </a:ext>
          </a:extLst>
        </xdr:cNvPr>
        <xdr:cNvSpPr txBox="1"/>
      </xdr:nvSpPr>
      <xdr:spPr>
        <a:xfrm>
          <a:off x="8229600" y="161925"/>
          <a:ext cx="11334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Hypothesis Test</a:t>
          </a:r>
        </a:p>
      </xdr:txBody>
    </xdr:sp>
    <xdr:clientData/>
  </xdr:twoCellAnchor>
  <xdr:twoCellAnchor>
    <xdr:from>
      <xdr:col>9</xdr:col>
      <xdr:colOff>342900</xdr:colOff>
      <xdr:row>13</xdr:row>
      <xdr:rowOff>28575</xdr:rowOff>
    </xdr:from>
    <xdr:to>
      <xdr:col>12</xdr:col>
      <xdr:colOff>352425</xdr:colOff>
      <xdr:row>19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6E8091-F762-8394-7680-E4CE75AD26A7}"/>
            </a:ext>
          </a:extLst>
        </xdr:cNvPr>
        <xdr:cNvSpPr txBox="1"/>
      </xdr:nvSpPr>
      <xdr:spPr>
        <a:xfrm>
          <a:off x="7581900" y="2524125"/>
          <a:ext cx="19526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Right</a:t>
          </a:r>
          <a:r>
            <a:rPr lang="en-US" sz="1100" b="1" baseline="0"/>
            <a:t> tail hypothesis</a:t>
          </a:r>
          <a:endParaRPr lang="en-US" sz="1100" b="1"/>
        </a:p>
        <a:p>
          <a:r>
            <a:rPr lang="en-US" sz="1100"/>
            <a:t>Ho: variance</a:t>
          </a:r>
          <a:r>
            <a:rPr lang="en-US" sz="1100" baseline="0"/>
            <a:t> &lt;=4 minutes</a:t>
          </a:r>
        </a:p>
        <a:p>
          <a:r>
            <a:rPr lang="en-US" sz="1100" baseline="0"/>
            <a:t>Ha: variance &gt;4 minutes</a:t>
          </a:r>
        </a:p>
        <a:p>
          <a:r>
            <a:rPr lang="en-US" sz="1100" baseline="0"/>
            <a:t>Rejection rule: </a:t>
          </a:r>
        </a:p>
        <a:p>
          <a:r>
            <a:rPr lang="en-US" sz="1100" baseline="0"/>
            <a:t>when p value &lt;=a, we reject Ho.</a:t>
          </a:r>
        </a:p>
        <a:p>
          <a:endParaRPr lang="en-US" sz="1100" baseline="0"/>
        </a:p>
        <a:p>
          <a:r>
            <a:rPr lang="en-US" sz="1100" baseline="0">
              <a:solidFill>
                <a:schemeClr val="accent1"/>
              </a:solidFill>
            </a:rPr>
            <a:t>So do not reject Ho.</a:t>
          </a:r>
          <a:endParaRPr lang="en-US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14</xdr:col>
      <xdr:colOff>371474</xdr:colOff>
      <xdr:row>0</xdr:row>
      <xdr:rowOff>114300</xdr:rowOff>
    </xdr:from>
    <xdr:to>
      <xdr:col>16</xdr:col>
      <xdr:colOff>161925</xdr:colOff>
      <xdr:row>2</xdr:row>
      <xdr:rowOff>57150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4029100-4746-E0D9-E937-BA7196AF9DFD}"/>
            </a:ext>
          </a:extLst>
        </xdr:cNvPr>
        <xdr:cNvSpPr txBox="1"/>
      </xdr:nvSpPr>
      <xdr:spPr>
        <a:xfrm>
          <a:off x="9810749" y="114300"/>
          <a:ext cx="1409701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Critical Value of</a:t>
          </a:r>
          <a:r>
            <a:rPr lang="el-GR" sz="1100" b="1"/>
            <a:t>  χ2</a:t>
          </a:r>
          <a:endParaRPr lang="en-US" sz="1100" b="1"/>
        </a:p>
        <a:p>
          <a:endParaRPr lang="en-US" sz="1100" b="1"/>
        </a:p>
      </xdr:txBody>
    </xdr:sp>
    <xdr:clientData/>
  </xdr:twoCellAnchor>
  <xdr:twoCellAnchor>
    <xdr:from>
      <xdr:col>9</xdr:col>
      <xdr:colOff>238125</xdr:colOff>
      <xdr:row>19</xdr:row>
      <xdr:rowOff>133349</xdr:rowOff>
    </xdr:from>
    <xdr:to>
      <xdr:col>11</xdr:col>
      <xdr:colOff>371475</xdr:colOff>
      <xdr:row>26</xdr:row>
      <xdr:rowOff>28574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DC2B8C-0B24-D4D1-B8F8-18D0A8B7FE39}"/>
            </a:ext>
          </a:extLst>
        </xdr:cNvPr>
        <xdr:cNvSpPr txBox="1"/>
      </xdr:nvSpPr>
      <xdr:spPr>
        <a:xfrm>
          <a:off x="6877050" y="4152899"/>
          <a:ext cx="17716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is kept at 0.05, the interval estimate is the 95% confidence interval.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it is moved to 0.10, the interval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estimate is the 90% confidence interval.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504824</xdr:colOff>
      <xdr:row>8</xdr:row>
      <xdr:rowOff>152400</xdr:rowOff>
    </xdr:from>
    <xdr:to>
      <xdr:col>7</xdr:col>
      <xdr:colOff>47624</xdr:colOff>
      <xdr:row>18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185EBA-904A-4429-A66C-135EA0AE60D0}"/>
            </a:ext>
          </a:extLst>
        </xdr:cNvPr>
        <xdr:cNvSpPr txBox="1"/>
      </xdr:nvSpPr>
      <xdr:spPr>
        <a:xfrm>
          <a:off x="2152649" y="1695450"/>
          <a:ext cx="3857625" cy="228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x</a:t>
          </a:r>
          <a:r>
            <a:rPr lang="en-US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^2a</a:t>
          </a:r>
        </a:p>
        <a:p>
          <a:r>
            <a:rPr lang="en-US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</a:t>
          </a:r>
          <a:r>
            <a:rPr lang="en-US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textbook uses </a:t>
          </a:r>
          <a:r>
            <a:rPr lang="en-US"/>
            <a:t>the notation to denote the value for the chi-square distribution that provides an area or probability of </a:t>
          </a:r>
          <a:r>
            <a:rPr lang="el-GR"/>
            <a:t>α</a:t>
          </a:r>
          <a:r>
            <a:rPr lang="en-US" baseline="0"/>
            <a:t> to</a:t>
          </a:r>
          <a:r>
            <a:rPr lang="en-US"/>
            <a:t> the rightof the value. For example, 97.5% of the chi-square values are to the right of 8.907. </a:t>
          </a:r>
        </a:p>
        <a:p>
          <a:endParaRPr lang="en-US"/>
        </a:p>
        <a:p>
          <a:r>
            <a:rPr lang="en-US"/>
            <a:t>If</a:t>
          </a:r>
          <a:r>
            <a:rPr lang="en-US" baseline="0"/>
            <a:t> a is kept at 0.05, the interval estimate is the 95% confidence interval.</a:t>
          </a:r>
        </a:p>
        <a:p>
          <a:endParaRPr lang="en-US" baseline="0"/>
        </a:p>
        <a:p>
          <a:r>
            <a:rPr lang="en-US"/>
            <a:t>If it is moved to 0.10, the interval</a:t>
          </a:r>
          <a:r>
            <a:rPr lang="en-US" baseline="0"/>
            <a:t> estimate is the 90% confidence interval.</a:t>
          </a:r>
          <a:endParaRPr lang="en-US"/>
        </a:p>
        <a:p>
          <a:endParaRPr lang="en-US"/>
        </a:p>
      </xdr:txBody>
    </xdr:sp>
    <xdr:clientData/>
  </xdr:twoCellAnchor>
  <xdr:twoCellAnchor>
    <xdr:from>
      <xdr:col>5</xdr:col>
      <xdr:colOff>457200</xdr:colOff>
      <xdr:row>3</xdr:row>
      <xdr:rowOff>76200</xdr:rowOff>
    </xdr:from>
    <xdr:to>
      <xdr:col>5</xdr:col>
      <xdr:colOff>1781175</xdr:colOff>
      <xdr:row>4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7827FB-EC74-4D7C-B3D0-D24DC31BE91C}"/>
            </a:ext>
          </a:extLst>
        </xdr:cNvPr>
        <xdr:cNvSpPr txBox="1"/>
      </xdr:nvSpPr>
      <xdr:spPr>
        <a:xfrm>
          <a:off x="3486150" y="647700"/>
          <a:ext cx="13239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Confidence</a:t>
          </a:r>
          <a:r>
            <a:rPr lang="en-US" sz="1100" b="1" baseline="0"/>
            <a:t> Interval</a:t>
          </a:r>
          <a:endParaRPr lang="en-US" sz="1100" b="1"/>
        </a:p>
      </xdr:txBody>
    </xdr:sp>
    <xdr:clientData/>
  </xdr:twoCellAnchor>
  <xdr:twoCellAnchor>
    <xdr:from>
      <xdr:col>10</xdr:col>
      <xdr:colOff>381000</xdr:colOff>
      <xdr:row>0</xdr:row>
      <xdr:rowOff>161925</xdr:rowOff>
    </xdr:from>
    <xdr:to>
      <xdr:col>12</xdr:col>
      <xdr:colOff>295275</xdr:colOff>
      <xdr:row>2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A10AC88-1201-43FC-966D-27B08171B2EC}"/>
            </a:ext>
          </a:extLst>
        </xdr:cNvPr>
        <xdr:cNvSpPr txBox="1"/>
      </xdr:nvSpPr>
      <xdr:spPr>
        <a:xfrm>
          <a:off x="7629525" y="161925"/>
          <a:ext cx="15525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Hypothesis Test</a:t>
          </a:r>
        </a:p>
      </xdr:txBody>
    </xdr:sp>
    <xdr:clientData/>
  </xdr:twoCellAnchor>
  <xdr:twoCellAnchor>
    <xdr:from>
      <xdr:col>9</xdr:col>
      <xdr:colOff>342900</xdr:colOff>
      <xdr:row>13</xdr:row>
      <xdr:rowOff>28575</xdr:rowOff>
    </xdr:from>
    <xdr:to>
      <xdr:col>12</xdr:col>
      <xdr:colOff>352425</xdr:colOff>
      <xdr:row>19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27775D9-6639-401A-9C7D-72EFAD7F90CB}"/>
            </a:ext>
          </a:extLst>
        </xdr:cNvPr>
        <xdr:cNvSpPr txBox="1"/>
      </xdr:nvSpPr>
      <xdr:spPr>
        <a:xfrm>
          <a:off x="6981825" y="2714625"/>
          <a:ext cx="2209800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Right</a:t>
          </a:r>
          <a:r>
            <a:rPr lang="en-US" sz="1100" b="1" baseline="0"/>
            <a:t> tail hypothesis</a:t>
          </a:r>
          <a:endParaRPr lang="en-US" sz="1100" b="1"/>
        </a:p>
        <a:p>
          <a:r>
            <a:rPr lang="en-US" sz="1100"/>
            <a:t>Ho: variance</a:t>
          </a:r>
          <a:r>
            <a:rPr lang="en-US" sz="1100" baseline="0"/>
            <a:t> =100 </a:t>
          </a:r>
        </a:p>
        <a:p>
          <a:r>
            <a:rPr lang="en-US" sz="1100" baseline="0"/>
            <a:t>Ha: variance does not equal 100</a:t>
          </a:r>
        </a:p>
        <a:p>
          <a:r>
            <a:rPr lang="en-US" sz="1100" baseline="0"/>
            <a:t>Rejection rule: </a:t>
          </a:r>
        </a:p>
        <a:p>
          <a:r>
            <a:rPr lang="en-US" sz="1100" baseline="0"/>
            <a:t>when p value &lt;=a, we reject Ho.</a:t>
          </a:r>
        </a:p>
        <a:p>
          <a:endParaRPr lang="en-US" sz="1100" baseline="0"/>
        </a:p>
        <a:p>
          <a:r>
            <a:rPr lang="en-US" sz="1100" baseline="0">
              <a:solidFill>
                <a:schemeClr val="accent1"/>
              </a:solidFill>
            </a:rPr>
            <a:t>So we do reject Ho.</a:t>
          </a:r>
          <a:endParaRPr lang="en-US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14</xdr:col>
      <xdr:colOff>371474</xdr:colOff>
      <xdr:row>0</xdr:row>
      <xdr:rowOff>114300</xdr:rowOff>
    </xdr:from>
    <xdr:to>
      <xdr:col>16</xdr:col>
      <xdr:colOff>161925</xdr:colOff>
      <xdr:row>2</xdr:row>
      <xdr:rowOff>57150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D21F7B-A156-44BE-B129-EA34709CF5F9}"/>
            </a:ext>
          </a:extLst>
        </xdr:cNvPr>
        <xdr:cNvSpPr txBox="1"/>
      </xdr:nvSpPr>
      <xdr:spPr>
        <a:xfrm>
          <a:off x="9810749" y="114300"/>
          <a:ext cx="1409701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Critical Value of</a:t>
          </a:r>
          <a:r>
            <a:rPr lang="el-GR" sz="1100" b="1"/>
            <a:t>  χ2</a:t>
          </a:r>
          <a:endParaRPr lang="en-US" sz="1100" b="1"/>
        </a:p>
        <a:p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12</xdr:row>
      <xdr:rowOff>133349</xdr:rowOff>
    </xdr:from>
    <xdr:to>
      <xdr:col>3</xdr:col>
      <xdr:colOff>790575</xdr:colOff>
      <xdr:row>19</xdr:row>
      <xdr:rowOff>123824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7B385A-A8B4-7480-3CCE-E551D0993B44}"/>
            </a:ext>
          </a:extLst>
        </xdr:cNvPr>
        <xdr:cNvSpPr txBox="1"/>
      </xdr:nvSpPr>
      <xdr:spPr>
        <a:xfrm>
          <a:off x="1819275" y="2419349"/>
          <a:ext cx="1371600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We will use F</a:t>
          </a:r>
          <a:r>
            <a:rPr lang="el-GR"/>
            <a:t>α </a:t>
          </a:r>
          <a:r>
            <a:rPr lang="en-US"/>
            <a:t>to denote the value of F that provides an area or</a:t>
          </a:r>
          <a:r>
            <a:rPr lang="en-US" baseline="0"/>
            <a:t> </a:t>
          </a:r>
          <a:r>
            <a:rPr lang="en-US"/>
            <a:t>probability of </a:t>
          </a:r>
          <a:r>
            <a:rPr lang="el-GR"/>
            <a:t>α </a:t>
          </a:r>
          <a:r>
            <a:rPr lang="en-US"/>
            <a:t>in the upper tail of the distribution.</a:t>
          </a:r>
          <a:endParaRPr lang="en-US" sz="1100"/>
        </a:p>
      </xdr:txBody>
    </xdr:sp>
    <xdr:clientData/>
  </xdr:twoCellAnchor>
  <xdr:twoCellAnchor>
    <xdr:from>
      <xdr:col>6</xdr:col>
      <xdr:colOff>19049</xdr:colOff>
      <xdr:row>8</xdr:row>
      <xdr:rowOff>133349</xdr:rowOff>
    </xdr:from>
    <xdr:to>
      <xdr:col>10</xdr:col>
      <xdr:colOff>342900</xdr:colOff>
      <xdr:row>19</xdr:row>
      <xdr:rowOff>47624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55C3E9-418D-38D7-853B-B04208F8827E}"/>
            </a:ext>
          </a:extLst>
        </xdr:cNvPr>
        <xdr:cNvSpPr txBox="1"/>
      </xdr:nvSpPr>
      <xdr:spPr>
        <a:xfrm>
          <a:off x="4648199" y="1657349"/>
          <a:ext cx="2762251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With p value&lt;a</a:t>
          </a:r>
          <a:r>
            <a:rPr lang="en-US" sz="1100" baseline="0"/>
            <a:t> 0.10, we reject Ho.</a:t>
          </a:r>
        </a:p>
        <a:p>
          <a:endParaRPr lang="en-US" sz="1100" baseline="0"/>
        </a:p>
        <a:p>
          <a:pPr algn="ctr"/>
          <a:r>
            <a:rPr lang="en-US" sz="1100" b="1" baseline="0"/>
            <a:t>Two tail Hypothesis:</a:t>
          </a:r>
        </a:p>
        <a:p>
          <a:r>
            <a:rPr lang="en-US" sz="1100" baseline="0"/>
            <a:t>Ho: variance of pop 1 = variance of pop2</a:t>
          </a:r>
        </a:p>
        <a:p>
          <a:endParaRPr lang="en-US" sz="1100" baseline="0"/>
        </a:p>
        <a:p>
          <a:r>
            <a:rPr lang="en-US" sz="1100" baseline="0"/>
            <a:t>Ha: variance of pop 1 does not equal var pop2</a:t>
          </a:r>
        </a:p>
        <a:p>
          <a:endParaRPr lang="en-US" sz="1100" baseline="0"/>
        </a:p>
        <a:p>
          <a:pPr algn="ctr"/>
          <a:r>
            <a:rPr lang="en-US" sz="1100" b="1" baseline="0"/>
            <a:t>Right Tail Hypothesis:</a:t>
          </a:r>
        </a:p>
        <a:p>
          <a:pPr algn="ctr"/>
          <a:r>
            <a:rPr lang="en-US" sz="1100" b="0" baseline="0"/>
            <a:t>Ho: variance of pop1&lt;= varuabce pop2</a:t>
          </a:r>
        </a:p>
        <a:p>
          <a:pPr algn="ctr"/>
          <a:r>
            <a:rPr lang="en-US" sz="1100" b="0" baseline="0"/>
            <a:t>Ha: Variance pop1&gt;variance pop2</a:t>
          </a:r>
        </a:p>
        <a:p>
          <a:endParaRPr lang="en-US" sz="1100"/>
        </a:p>
      </xdr:txBody>
    </xdr:sp>
    <xdr:clientData/>
  </xdr:twoCellAnchor>
  <xdr:twoCellAnchor>
    <xdr:from>
      <xdr:col>13</xdr:col>
      <xdr:colOff>19050</xdr:colOff>
      <xdr:row>0</xdr:row>
      <xdr:rowOff>38100</xdr:rowOff>
    </xdr:from>
    <xdr:to>
      <xdr:col>15</xdr:col>
      <xdr:colOff>28575</xdr:colOff>
      <xdr:row>1</xdr:row>
      <xdr:rowOff>104775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D4CD34-AC6D-C0D9-EB66-8BB4C3F0587A}"/>
            </a:ext>
          </a:extLst>
        </xdr:cNvPr>
        <xdr:cNvSpPr txBox="1"/>
      </xdr:nvSpPr>
      <xdr:spPr>
        <a:xfrm>
          <a:off x="8715375" y="38100"/>
          <a:ext cx="12287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Critical</a:t>
          </a:r>
          <a:r>
            <a:rPr lang="en-US" sz="1100" b="1" baseline="0"/>
            <a:t> Value</a:t>
          </a:r>
        </a:p>
        <a:p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ACE2-5542-447A-8D33-772A892E73B9}">
  <dimension ref="A1:P16"/>
  <sheetViews>
    <sheetView tabSelected="1" workbookViewId="0">
      <selection activeCell="L5" sqref="L5"/>
    </sheetView>
  </sheetViews>
  <sheetFormatPr defaultRowHeight="15" x14ac:dyDescent="0.25"/>
  <cols>
    <col min="1" max="1" width="15.28515625" customWidth="1"/>
    <col min="2" max="2" width="5" bestFit="1" customWidth="1"/>
    <col min="3" max="3" width="4.42578125" customWidth="1"/>
    <col min="4" max="4" width="8.5703125" bestFit="1" customWidth="1"/>
    <col min="5" max="5" width="12.140625" bestFit="1" customWidth="1"/>
    <col min="6" max="6" width="41" bestFit="1" customWidth="1"/>
    <col min="7" max="7" width="3" bestFit="1" customWidth="1"/>
    <col min="8" max="8" width="6.5703125" bestFit="1" customWidth="1"/>
    <col min="9" max="9" width="3.5703125" customWidth="1"/>
    <col min="10" max="10" width="10.85546875" bestFit="1" customWidth="1"/>
    <col min="11" max="11" width="15.42578125" bestFit="1" customWidth="1"/>
    <col min="13" max="13" width="4.5703125" customWidth="1"/>
    <col min="14" max="14" width="3.7109375" customWidth="1"/>
    <col min="15" max="15" width="15.140625" bestFit="1" customWidth="1"/>
  </cols>
  <sheetData>
    <row r="1" spans="1:16" x14ac:dyDescent="0.25">
      <c r="E1" t="s">
        <v>17</v>
      </c>
      <c r="F1" t="s">
        <v>5</v>
      </c>
    </row>
    <row r="2" spans="1:16" x14ac:dyDescent="0.25">
      <c r="A2" s="19" t="s">
        <v>1</v>
      </c>
      <c r="B2">
        <v>24</v>
      </c>
      <c r="E2" s="5">
        <f>B8/2</f>
        <v>2.5000000000000001E-2</v>
      </c>
      <c r="F2" s="5">
        <f>_xlfn.CHISQ.INV(1-E2,$B$5)</f>
        <v>38.075627250355808</v>
      </c>
      <c r="G2" s="26" t="s">
        <v>27</v>
      </c>
      <c r="H2" s="5">
        <f>_xlfn.CHISQ.INV.RT(E2,$B$5)</f>
        <v>38.075627250355801</v>
      </c>
    </row>
    <row r="3" spans="1:16" x14ac:dyDescent="0.25">
      <c r="A3" s="20"/>
      <c r="E3" s="5">
        <f>1-B8/2</f>
        <v>0.97499999999999998</v>
      </c>
      <c r="F3" s="5">
        <f>_xlfn.CHISQ.INV(1-E3,$B$5)</f>
        <v>11.688551922452438</v>
      </c>
      <c r="G3" s="26" t="s">
        <v>27</v>
      </c>
      <c r="H3" s="5">
        <f>_xlfn.CHISQ.INV.RT(E3,$B$5)</f>
        <v>11.688551922452435</v>
      </c>
    </row>
    <row r="4" spans="1:16" x14ac:dyDescent="0.25">
      <c r="A4" s="20"/>
      <c r="L4" t="s">
        <v>10</v>
      </c>
      <c r="O4" s="18" t="s">
        <v>6</v>
      </c>
      <c r="P4">
        <f>B8</f>
        <v>0.05</v>
      </c>
    </row>
    <row r="5" spans="1:16" ht="15.75" thickBot="1" x14ac:dyDescent="0.3">
      <c r="A5" s="19" t="s">
        <v>2</v>
      </c>
      <c r="B5" s="5">
        <f>B2-1</f>
        <v>23</v>
      </c>
      <c r="K5" s="17" t="s">
        <v>18</v>
      </c>
      <c r="L5" s="8">
        <f>(B5*B11)/B16</f>
        <v>28.175000000000001</v>
      </c>
    </row>
    <row r="6" spans="1:16" x14ac:dyDescent="0.25">
      <c r="A6" s="20"/>
      <c r="B6" s="14"/>
      <c r="D6" s="9">
        <f>B5*B11/F2</f>
        <v>2.9598987105050738</v>
      </c>
      <c r="E6" s="4" t="s">
        <v>8</v>
      </c>
      <c r="F6" s="4" t="s">
        <v>7</v>
      </c>
      <c r="G6" s="1" t="s">
        <v>8</v>
      </c>
      <c r="H6" s="11">
        <f>(B5*B11)/F3</f>
        <v>9.6419129373515933</v>
      </c>
      <c r="O6" t="s">
        <v>19</v>
      </c>
      <c r="P6">
        <f>_xlfn.CHISQ.INV(1-P4,B5)</f>
        <v>35.172461626908046</v>
      </c>
    </row>
    <row r="7" spans="1:16" ht="15.75" thickBot="1" x14ac:dyDescent="0.3">
      <c r="A7" s="20"/>
      <c r="D7" s="10">
        <f>SQRT(D6)</f>
        <v>1.7204356164951577</v>
      </c>
      <c r="E7" s="3" t="s">
        <v>8</v>
      </c>
      <c r="F7" s="3" t="s">
        <v>9</v>
      </c>
      <c r="G7" s="2" t="s">
        <v>8</v>
      </c>
      <c r="H7" s="12">
        <f>SQRT(H6)</f>
        <v>3.105142981788696</v>
      </c>
      <c r="L7" t="s">
        <v>0</v>
      </c>
    </row>
    <row r="8" spans="1:16" x14ac:dyDescent="0.25">
      <c r="A8" s="19" t="s">
        <v>6</v>
      </c>
      <c r="B8">
        <v>0.05</v>
      </c>
      <c r="J8" s="13" t="s">
        <v>11</v>
      </c>
      <c r="K8" s="17" t="s">
        <v>14</v>
      </c>
      <c r="L8" s="15">
        <f>_xlfn.CHISQ.DIST.RT(L5,B5)</f>
        <v>0.20923626766764963</v>
      </c>
    </row>
    <row r="9" spans="1:16" x14ac:dyDescent="0.25">
      <c r="A9" s="20"/>
      <c r="J9" s="14" t="s">
        <v>12</v>
      </c>
      <c r="K9" s="17" t="s">
        <v>15</v>
      </c>
      <c r="L9" s="16">
        <f>_xlfn.CHISQ.DIST(L5,B5,TRUE)</f>
        <v>0.79076373233235042</v>
      </c>
    </row>
    <row r="10" spans="1:16" x14ac:dyDescent="0.25">
      <c r="A10" s="20"/>
      <c r="J10" s="14" t="s">
        <v>13</v>
      </c>
      <c r="K10" s="17" t="s">
        <v>16</v>
      </c>
      <c r="L10" s="16">
        <f>2*L8</f>
        <v>0.41847253533529927</v>
      </c>
    </row>
    <row r="11" spans="1:16" ht="30" x14ac:dyDescent="0.25">
      <c r="A11" s="21" t="s">
        <v>3</v>
      </c>
      <c r="B11">
        <v>4.9000000000000004</v>
      </c>
    </row>
    <row r="12" spans="1:16" x14ac:dyDescent="0.25">
      <c r="A12" s="20"/>
    </row>
    <row r="13" spans="1:16" x14ac:dyDescent="0.25">
      <c r="A13" s="20"/>
    </row>
    <row r="14" spans="1:16" x14ac:dyDescent="0.25">
      <c r="A14" s="20"/>
    </row>
    <row r="15" spans="1:16" x14ac:dyDescent="0.25">
      <c r="A15" s="20"/>
    </row>
    <row r="16" spans="1:16" ht="30" x14ac:dyDescent="0.25">
      <c r="A16" s="22" t="s">
        <v>4</v>
      </c>
      <c r="B16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B3CE-9A79-4D60-A83A-91C9E6A79C4F}">
  <dimension ref="A1:P16"/>
  <sheetViews>
    <sheetView workbookViewId="0">
      <selection activeCell="F8" sqref="F8"/>
    </sheetView>
  </sheetViews>
  <sheetFormatPr defaultRowHeight="15" x14ac:dyDescent="0.25"/>
  <cols>
    <col min="1" max="1" width="15.28515625" customWidth="1"/>
    <col min="2" max="2" width="5" bestFit="1" customWidth="1"/>
    <col min="3" max="3" width="4.42578125" customWidth="1"/>
    <col min="4" max="4" width="12" bestFit="1" customWidth="1"/>
    <col min="5" max="5" width="12.140625" bestFit="1" customWidth="1"/>
    <col min="6" max="6" width="41" bestFit="1" customWidth="1"/>
    <col min="7" max="7" width="3" bestFit="1" customWidth="1"/>
    <col min="8" max="8" width="12" bestFit="1" customWidth="1"/>
    <col min="9" max="9" width="3.5703125" customWidth="1"/>
    <col min="10" max="10" width="10.85546875" bestFit="1" customWidth="1"/>
    <col min="11" max="11" width="15.42578125" bestFit="1" customWidth="1"/>
    <col min="13" max="13" width="4.5703125" customWidth="1"/>
    <col min="14" max="14" width="3.7109375" customWidth="1"/>
    <col min="15" max="15" width="15.140625" bestFit="1" customWidth="1"/>
  </cols>
  <sheetData>
    <row r="1" spans="1:16" x14ac:dyDescent="0.25">
      <c r="E1" t="s">
        <v>17</v>
      </c>
      <c r="F1" t="s">
        <v>5</v>
      </c>
    </row>
    <row r="2" spans="1:16" x14ac:dyDescent="0.25">
      <c r="A2" s="19" t="s">
        <v>1</v>
      </c>
      <c r="B2">
        <v>30</v>
      </c>
      <c r="E2" s="5">
        <f>B8/2</f>
        <v>2.5000000000000001E-2</v>
      </c>
      <c r="F2" s="5">
        <f>_xlfn.CHISQ.INV(1-E2,$B$5)</f>
        <v>45.722285804174525</v>
      </c>
    </row>
    <row r="3" spans="1:16" x14ac:dyDescent="0.25">
      <c r="A3" s="20"/>
      <c r="E3" s="5">
        <f>1-B8/2</f>
        <v>0.97499999999999998</v>
      </c>
      <c r="F3" s="5">
        <f>_xlfn.CHISQ.INV(1-E3,$B$5)</f>
        <v>16.047071695364885</v>
      </c>
    </row>
    <row r="4" spans="1:16" x14ac:dyDescent="0.25">
      <c r="A4" s="20"/>
      <c r="L4" t="s">
        <v>10</v>
      </c>
      <c r="O4" s="18" t="s">
        <v>6</v>
      </c>
      <c r="P4">
        <f>B8</f>
        <v>0.05</v>
      </c>
    </row>
    <row r="5" spans="1:16" ht="15.75" thickBot="1" x14ac:dyDescent="0.3">
      <c r="A5" s="19" t="s">
        <v>2</v>
      </c>
      <c r="B5" s="5">
        <f>B2-1</f>
        <v>29</v>
      </c>
      <c r="K5" t="s">
        <v>18</v>
      </c>
      <c r="L5" s="8">
        <f>(B5*B11)/B16</f>
        <v>46.98</v>
      </c>
    </row>
    <row r="6" spans="1:16" x14ac:dyDescent="0.25">
      <c r="A6" s="20"/>
      <c r="B6" s="14"/>
      <c r="D6" s="9">
        <f>B5*B11/F2</f>
        <v>102.75076841348698</v>
      </c>
      <c r="E6" s="4" t="s">
        <v>8</v>
      </c>
      <c r="F6" s="4" t="s">
        <v>7</v>
      </c>
      <c r="G6" s="1" t="s">
        <v>8</v>
      </c>
      <c r="H6" s="11">
        <f>(B5*B11)/F3</f>
        <v>292.76369478407662</v>
      </c>
      <c r="O6" t="s">
        <v>19</v>
      </c>
      <c r="P6">
        <f>_xlfn.CHISQ.INV(1-P4,B5)</f>
        <v>42.556967804292675</v>
      </c>
    </row>
    <row r="7" spans="1:16" ht="15.75" thickBot="1" x14ac:dyDescent="0.3">
      <c r="A7" s="20"/>
      <c r="D7" s="10">
        <f>SQRT(D6)</f>
        <v>10.136605369327889</v>
      </c>
      <c r="E7" s="3" t="s">
        <v>8</v>
      </c>
      <c r="F7" s="3" t="s">
        <v>9</v>
      </c>
      <c r="G7" s="2" t="s">
        <v>8</v>
      </c>
      <c r="H7" s="12">
        <f>SQRT(H6)</f>
        <v>17.110338827272727</v>
      </c>
      <c r="L7" t="s">
        <v>0</v>
      </c>
    </row>
    <row r="8" spans="1:16" x14ac:dyDescent="0.25">
      <c r="A8" s="19" t="s">
        <v>6</v>
      </c>
      <c r="B8">
        <v>0.05</v>
      </c>
      <c r="J8" s="23" t="s">
        <v>11</v>
      </c>
      <c r="K8" s="24" t="s">
        <v>14</v>
      </c>
      <c r="L8" s="25">
        <f>_xlfn.CHISQ.DIST.RT(L5,B5)</f>
        <v>1.8704373832863167E-2</v>
      </c>
    </row>
    <row r="9" spans="1:16" x14ac:dyDescent="0.25">
      <c r="A9" s="20"/>
      <c r="J9" s="14" t="s">
        <v>12</v>
      </c>
      <c r="K9" t="s">
        <v>15</v>
      </c>
      <c r="L9" s="16">
        <f>_xlfn.CHISQ.DIST(L5,B5,TRUE)</f>
        <v>0.98129562616713684</v>
      </c>
    </row>
    <row r="10" spans="1:16" x14ac:dyDescent="0.25">
      <c r="A10" s="20"/>
      <c r="J10" s="13" t="s">
        <v>13</v>
      </c>
      <c r="K10" s="7" t="s">
        <v>16</v>
      </c>
      <c r="L10" s="15">
        <f>2*L8</f>
        <v>3.7408747665726334E-2</v>
      </c>
    </row>
    <row r="11" spans="1:16" ht="30" x14ac:dyDescent="0.25">
      <c r="A11" s="21" t="s">
        <v>3</v>
      </c>
      <c r="B11">
        <v>162</v>
      </c>
    </row>
    <row r="12" spans="1:16" x14ac:dyDescent="0.25">
      <c r="A12" s="20"/>
    </row>
    <row r="13" spans="1:16" x14ac:dyDescent="0.25">
      <c r="A13" s="20"/>
    </row>
    <row r="14" spans="1:16" x14ac:dyDescent="0.25">
      <c r="A14" s="20"/>
    </row>
    <row r="15" spans="1:16" x14ac:dyDescent="0.25">
      <c r="A15" s="20"/>
    </row>
    <row r="16" spans="1:16" ht="30" x14ac:dyDescent="0.25">
      <c r="A16" s="22" t="s">
        <v>4</v>
      </c>
      <c r="B16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5C75-1BA9-4C0D-8E18-4A967E01EF86}">
  <dimension ref="A1:O10"/>
  <sheetViews>
    <sheetView workbookViewId="0">
      <selection activeCell="A13" sqref="A13:XFD13"/>
    </sheetView>
  </sheetViews>
  <sheetFormatPr defaultRowHeight="15" x14ac:dyDescent="0.25"/>
  <cols>
    <col min="1" max="1" width="17.7109375" bestFit="1" customWidth="1"/>
    <col min="4" max="5" width="12.140625" bestFit="1" customWidth="1"/>
    <col min="13" max="13" width="20.28515625" bestFit="1" customWidth="1"/>
    <col min="14" max="14" width="7.85546875" bestFit="1" customWidth="1"/>
  </cols>
  <sheetData>
    <row r="1" spans="1:15" x14ac:dyDescent="0.25">
      <c r="A1" s="19" t="s">
        <v>20</v>
      </c>
      <c r="B1" s="17">
        <v>26</v>
      </c>
    </row>
    <row r="2" spans="1:15" x14ac:dyDescent="0.25">
      <c r="A2" s="19" t="s">
        <v>21</v>
      </c>
      <c r="B2" s="17">
        <v>16</v>
      </c>
    </row>
    <row r="3" spans="1:15" x14ac:dyDescent="0.25">
      <c r="A3" s="20"/>
      <c r="B3" s="17"/>
      <c r="D3" s="20" t="s">
        <v>24</v>
      </c>
      <c r="E3" s="6">
        <f>B7/B8</f>
        <v>2.4</v>
      </c>
    </row>
    <row r="4" spans="1:15" x14ac:dyDescent="0.25">
      <c r="A4" s="19" t="s">
        <v>22</v>
      </c>
      <c r="B4" s="17">
        <f>B1-1</f>
        <v>25</v>
      </c>
      <c r="N4" s="20" t="s">
        <v>34</v>
      </c>
      <c r="O4" s="20" t="s">
        <v>35</v>
      </c>
    </row>
    <row r="5" spans="1:15" x14ac:dyDescent="0.25">
      <c r="A5" s="19" t="s">
        <v>23</v>
      </c>
      <c r="B5" s="17">
        <f>B2-1</f>
        <v>15</v>
      </c>
      <c r="N5" s="28" t="s">
        <v>32</v>
      </c>
      <c r="O5" s="28" t="s">
        <v>28</v>
      </c>
    </row>
    <row r="6" spans="1:15" x14ac:dyDescent="0.25">
      <c r="A6" s="19"/>
      <c r="B6" s="17"/>
      <c r="E6" s="20" t="s">
        <v>29</v>
      </c>
      <c r="F6" s="7"/>
      <c r="M6" t="s">
        <v>33</v>
      </c>
      <c r="N6" s="6">
        <f>_xlfn.F.INV.RT(B10/2,B4,B5)</f>
        <v>2.2797292800691884</v>
      </c>
      <c r="O6">
        <f>_xlfn.F.INV.RT(B10,B4,B5)</f>
        <v>1.8938734433459643</v>
      </c>
    </row>
    <row r="7" spans="1:15" x14ac:dyDescent="0.25">
      <c r="A7" s="19" t="s">
        <v>25</v>
      </c>
      <c r="B7" s="17">
        <v>48</v>
      </c>
      <c r="D7" s="19" t="s">
        <v>30</v>
      </c>
      <c r="E7" s="27">
        <f>_xlfn.F.DIST.RT(E3,B4,B5)</f>
        <v>4.0599134306443851E-2</v>
      </c>
    </row>
    <row r="8" spans="1:15" x14ac:dyDescent="0.25">
      <c r="A8" s="19" t="s">
        <v>26</v>
      </c>
      <c r="B8" s="17">
        <v>20</v>
      </c>
      <c r="D8" s="19" t="s">
        <v>31</v>
      </c>
      <c r="E8" s="27">
        <f>E7*2</f>
        <v>8.1198268612887703E-2</v>
      </c>
    </row>
    <row r="9" spans="1:15" x14ac:dyDescent="0.25">
      <c r="A9" s="19"/>
      <c r="B9" s="17"/>
    </row>
    <row r="10" spans="1:15" x14ac:dyDescent="0.25">
      <c r="A10" s="19" t="s">
        <v>6</v>
      </c>
      <c r="B10" s="17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11.1 pop variance (chi square)</vt:lpstr>
      <vt:lpstr>11.1 pop variance 2 tail (same)</vt:lpstr>
      <vt:lpstr>11.2 2 pop variances (F distr.)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2025-08-26T20:30:47Z</dcterms:created>
  <dcterms:modified xsi:type="dcterms:W3CDTF">2025-08-27T21:29:02Z</dcterms:modified>
</cp:coreProperties>
</file>