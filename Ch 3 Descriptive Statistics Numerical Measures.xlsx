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4185F7A4-8B9D-4F58-87C3-997BA6EDE5EE}" xr6:coauthVersionLast="47" xr6:coauthVersionMax="47" xr10:uidLastSave="{00000000-0000-0000-0000-000000000000}"/>
  <bookViews>
    <workbookView xWindow="-120" yWindow="-120" windowWidth="20730" windowHeight="11040" firstSheet="1" activeTab="2" xr2:uid="{C3206B5F-2BD1-4A60-98C2-CC14DC68FA6B}"/>
  </bookViews>
  <sheets>
    <sheet name="table3.6 manual covariance calc" sheetId="1" r:id="rId1"/>
    <sheet name="table 3.6 covariance correl." sheetId="3" r:id="rId2"/>
    <sheet name="ch 3.6 weighted mean" sheetId="2" r:id="rId3"/>
    <sheet name="grouped mean and stdev" sheetId="4" r:id="rId4"/>
    <sheet name="Descriptive Stats" sheetId="5" r:id="rId5"/>
  </sheets>
  <definedNames>
    <definedName name="_xlchart.v1.0" hidden="1">'Descriptive Stats'!$B$1</definedName>
    <definedName name="_xlchart.v1.1" hidden="1">'Descriptive Stats'!$B$2:$B$13</definedName>
    <definedName name="_xlchart.v1.2" hidden="1">'Descriptive Stats'!$B$1</definedName>
    <definedName name="_xlchart.v1.3" hidden="1">'Descriptive Stats'!$B$2:$B$13</definedName>
    <definedName name="_xlchart.v1.4" hidden="1">'Descriptive Stats'!$B$1</definedName>
    <definedName name="_xlchart.v1.5" hidden="1">'Descriptive Stats'!$B$2:$B$13</definedName>
    <definedName name="_xlchart.v1.6" hidden="1">'Descriptive Stats'!$B$1</definedName>
    <definedName name="_xlchart.v1.7" hidden="1">'Descriptive Stats'!$B$2:$B$13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D7" i="2"/>
  <c r="D3" i="2"/>
  <c r="D4" i="2"/>
  <c r="D5" i="2"/>
  <c r="D6" i="2"/>
  <c r="D2" i="2"/>
  <c r="C7" i="2"/>
  <c r="G19" i="1" l="1"/>
  <c r="F3" i="3"/>
  <c r="F2" i="3"/>
  <c r="G21" i="4"/>
  <c r="G20" i="4"/>
  <c r="F18" i="4"/>
  <c r="F9" i="4"/>
  <c r="F7" i="4"/>
  <c r="E17" i="4"/>
  <c r="E16" i="4"/>
  <c r="E15" i="4"/>
  <c r="E14" i="4"/>
  <c r="E13" i="4"/>
  <c r="E2" i="4"/>
  <c r="G2" i="4" s="1"/>
  <c r="E3" i="4"/>
  <c r="G3" i="4" s="1"/>
  <c r="E4" i="4"/>
  <c r="G4" i="4" s="1"/>
  <c r="G7" i="4" s="1"/>
  <c r="E5" i="4"/>
  <c r="G5" i="4" s="1"/>
  <c r="E6" i="4"/>
  <c r="G6" i="4" s="1"/>
  <c r="G13" i="4" l="1"/>
  <c r="C14" i="3"/>
  <c r="B14" i="3"/>
  <c r="C13" i="3"/>
  <c r="B13" i="3"/>
  <c r="C14" i="1"/>
  <c r="B14" i="1"/>
  <c r="G17" i="1"/>
  <c r="G15" i="1"/>
  <c r="G13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C13" i="1"/>
  <c r="B13" i="1"/>
  <c r="G17" i="4" l="1"/>
  <c r="H17" i="4" s="1"/>
  <c r="I17" i="4" s="1"/>
  <c r="G16" i="4"/>
  <c r="H16" i="4" s="1"/>
  <c r="I16" i="4" s="1"/>
  <c r="H13" i="4"/>
  <c r="I13" i="4" s="1"/>
  <c r="G14" i="4"/>
  <c r="H14" i="4" s="1"/>
  <c r="I14" i="4" s="1"/>
  <c r="G15" i="4"/>
  <c r="H15" i="4" s="1"/>
  <c r="I15" i="4" s="1"/>
  <c r="I18" i="4" l="1"/>
</calcChain>
</file>

<file path=xl/sharedStrings.xml><?xml version="1.0" encoding="utf-8"?>
<sst xmlns="http://schemas.openxmlformats.org/spreadsheetml/2006/main" count="76" uniqueCount="51">
  <si>
    <t>Week</t>
  </si>
  <si>
    <t>Number of Commercials (x)</t>
  </si>
  <si>
    <t>Sales</t>
  </si>
  <si>
    <t>sample mean</t>
  </si>
  <si>
    <t>xi-x̄</t>
  </si>
  <si>
    <t>yi- ȳ</t>
  </si>
  <si>
    <t>(xi-x̄)(yi- ȳ)</t>
  </si>
  <si>
    <t>sum</t>
  </si>
  <si>
    <t>n-1</t>
  </si>
  <si>
    <t>covariance</t>
  </si>
  <si>
    <t>sample stdev</t>
  </si>
  <si>
    <t>sample correlation coefficient</t>
  </si>
  <si>
    <t xml:space="preserve"> </t>
  </si>
  <si>
    <t>Count of Audit Time</t>
  </si>
  <si>
    <t>10-14</t>
  </si>
  <si>
    <t>15-19</t>
  </si>
  <si>
    <t>20-24</t>
  </si>
  <si>
    <t>25-29</t>
  </si>
  <si>
    <t>30-34</t>
  </si>
  <si>
    <t>Grand Total</t>
  </si>
  <si>
    <t>Audit Time (days)</t>
  </si>
  <si>
    <t>Class Midpoint (Mi)</t>
  </si>
  <si>
    <t>Frequency (fi)</t>
  </si>
  <si>
    <t>fiMi</t>
  </si>
  <si>
    <t>Sum</t>
  </si>
  <si>
    <r>
      <t xml:space="preserve">Sample mean </t>
    </r>
    <r>
      <rPr>
        <sz val="11"/>
        <color theme="1"/>
        <rFont val="Aptos Narrow"/>
        <family val="2"/>
      </rPr>
      <t>̄</t>
    </r>
    <r>
      <rPr>
        <sz val="11"/>
        <color theme="1"/>
        <rFont val="Aptos Narrow"/>
        <family val="2"/>
        <scheme val="minor"/>
      </rPr>
      <t>x</t>
    </r>
  </si>
  <si>
    <t>Squared Deviation (Mi-x̄ )^2</t>
  </si>
  <si>
    <t>fi(Mi-x̄ )^2</t>
  </si>
  <si>
    <r>
      <t>Deviation (Mi-x̄</t>
    </r>
    <r>
      <rPr>
        <sz val="11"/>
        <color theme="0"/>
        <rFont val="Aptos Narrow"/>
        <family val="2"/>
      </rPr>
      <t xml:space="preserve"> </t>
    </r>
    <r>
      <rPr>
        <sz val="11"/>
        <color theme="0"/>
        <rFont val="Aptos Narrow"/>
        <family val="2"/>
        <scheme val="minor"/>
      </rPr>
      <t>)</t>
    </r>
  </si>
  <si>
    <t>Sample Variance</t>
  </si>
  <si>
    <t>Sample Variance s^2</t>
  </si>
  <si>
    <t>Sample Covariance</t>
  </si>
  <si>
    <t>Sample Correlation</t>
  </si>
  <si>
    <t>product</t>
  </si>
  <si>
    <t>Weighted Average</t>
  </si>
  <si>
    <t>Graduate</t>
  </si>
  <si>
    <t>Starting salary</t>
  </si>
  <si>
    <t>Mean</t>
  </si>
  <si>
    <t>Standard Error</t>
  </si>
  <si>
    <t>Median</t>
  </si>
  <si>
    <t>Mode</t>
  </si>
  <si>
    <t>Standard Deviation</t>
  </si>
  <si>
    <t>Kurtosis</t>
  </si>
  <si>
    <t>Skewness</t>
  </si>
  <si>
    <t>Range</t>
  </si>
  <si>
    <t>Minimum</t>
  </si>
  <si>
    <t>Maximum</t>
  </si>
  <si>
    <t>Count</t>
  </si>
  <si>
    <t>Purchase</t>
  </si>
  <si>
    <t>Cost per Pound ($)</t>
  </si>
  <si>
    <t>Number of 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</si>
</sst>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5" formatCode="&quot;$&quot;#,##0.00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.5"/>
      <name val="Times New Roman"/>
      <family val="1"/>
    </font>
    <font>
      <sz val="11.5"/>
      <name val="Times New Roman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</font>
    <font>
      <i/>
      <sz val="11"/>
      <color theme="1"/>
      <name val="Aptos Narrow"/>
      <family val="2"/>
      <scheme val="minor"/>
    </font>
    <font>
      <b/>
      <sz val="11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1" fontId="5" fillId="0" borderId="1" xfId="1" applyNumberFormat="1" applyFont="1" applyBorder="1" applyAlignment="1">
      <alignment horizontal="left" vertical="top" wrapText="1"/>
    </xf>
    <xf numFmtId="1" fontId="0" fillId="0" borderId="0" xfId="0" applyNumberFormat="1"/>
    <xf numFmtId="168" fontId="0" fillId="0" borderId="0" xfId="0" applyNumberFormat="1"/>
    <xf numFmtId="2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/>
    <xf numFmtId="1" fontId="6" fillId="0" borderId="1" xfId="0" applyNumberFormat="1" applyFont="1" applyBorder="1" applyAlignment="1">
      <alignment horizontal="left" vertical="top" wrapText="1"/>
    </xf>
    <xf numFmtId="175" fontId="6" fillId="0" borderId="1" xfId="0" applyNumberFormat="1" applyFont="1" applyBorder="1" applyAlignment="1">
      <alignment horizontal="left" vertical="top" wrapText="1"/>
    </xf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/>
    <xf numFmtId="0" fontId="0" fillId="0" borderId="0" xfId="0" applyAlignment="1">
      <alignment horizontal="right"/>
    </xf>
    <xf numFmtId="0" fontId="1" fillId="2" borderId="3" xfId="0" applyFont="1" applyFill="1" applyBorder="1"/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1" fontId="2" fillId="0" borderId="0" xfId="0" applyNumberFormat="1" applyFont="1"/>
    <xf numFmtId="175" fontId="0" fillId="0" borderId="0" xfId="0" applyNumberFormat="1"/>
    <xf numFmtId="0" fontId="0" fillId="0" borderId="0" xfId="0" applyFill="1" applyBorder="1" applyAlignment="1"/>
    <xf numFmtId="0" fontId="0" fillId="0" borderId="5" xfId="0" applyFill="1" applyBorder="1" applyAlignment="1"/>
    <xf numFmtId="0" fontId="10" fillId="0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11" fillId="0" borderId="4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5F6B292-1005-46C3-82B8-EBCF12EFE56F}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'table3.6 manual covariance calc'!$C$1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'table3.6 manual covariance calc'!$B$2:$B$11</c:f>
              <c:numCache>
                <c:formatCode>0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'table3.6 manual covariance calc'!$C$2:$C$11</c:f>
              <c:numCache>
                <c:formatCode>0</c:formatCode>
                <c:ptCount val="10"/>
                <c:pt idx="0">
                  <c:v>50</c:v>
                </c:pt>
                <c:pt idx="1">
                  <c:v>57</c:v>
                </c:pt>
                <c:pt idx="2">
                  <c:v>41</c:v>
                </c:pt>
                <c:pt idx="3">
                  <c:v>54</c:v>
                </c:pt>
                <c:pt idx="4">
                  <c:v>54</c:v>
                </c:pt>
                <c:pt idx="5">
                  <c:v>38</c:v>
                </c:pt>
                <c:pt idx="6">
                  <c:v>63</c:v>
                </c:pt>
                <c:pt idx="7">
                  <c:v>48</c:v>
                </c:pt>
                <c:pt idx="8">
                  <c:v>59</c:v>
                </c:pt>
                <c:pt idx="9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7-4BAE-9FFA-0BB45D23588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98119216"/>
        <c:axId val="98118736"/>
      </c:scatterChart>
      <c:valAx>
        <c:axId val="9811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8736"/>
        <c:crosses val="autoZero"/>
        <c:crossBetween val="midCat"/>
      </c:valAx>
      <c:valAx>
        <c:axId val="9811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'table 3.6 covariance correl.'!$C$1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'table 3.6 covariance correl.'!$B$2:$B$11</c:f>
              <c:numCache>
                <c:formatCode>0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'table 3.6 covariance correl.'!$C$2:$C$11</c:f>
              <c:numCache>
                <c:formatCode>0</c:formatCode>
                <c:ptCount val="10"/>
                <c:pt idx="0">
                  <c:v>50</c:v>
                </c:pt>
                <c:pt idx="1">
                  <c:v>57</c:v>
                </c:pt>
                <c:pt idx="2">
                  <c:v>41</c:v>
                </c:pt>
                <c:pt idx="3">
                  <c:v>54</c:v>
                </c:pt>
                <c:pt idx="4">
                  <c:v>54</c:v>
                </c:pt>
                <c:pt idx="5">
                  <c:v>38</c:v>
                </c:pt>
                <c:pt idx="6">
                  <c:v>63</c:v>
                </c:pt>
                <c:pt idx="7">
                  <c:v>48</c:v>
                </c:pt>
                <c:pt idx="8">
                  <c:v>59</c:v>
                </c:pt>
                <c:pt idx="9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A-4A68-AEB3-DCA149E24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19216"/>
        <c:axId val="98118736"/>
      </c:scatterChart>
      <c:valAx>
        <c:axId val="9811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8736"/>
        <c:crosses val="autoZero"/>
        <c:crossBetween val="midCat"/>
      </c:valAx>
      <c:valAx>
        <c:axId val="9811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DCA90950-EABF-4993-A81C-E0E52C91F6BB}">
          <cx:tx>
            <cx:txData>
              <cx:f>_xlchart.v1.4</cx:f>
              <cx:v>Starting salary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0</xdr:row>
      <xdr:rowOff>357187</xdr:rowOff>
    </xdr:from>
    <xdr:to>
      <xdr:col>17</xdr:col>
      <xdr:colOff>476250</xdr:colOff>
      <xdr:row>13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3065C-9D5B-8853-FE85-C4E3504AD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0</xdr:row>
      <xdr:rowOff>357187</xdr:rowOff>
    </xdr:from>
    <xdr:to>
      <xdr:col>17</xdr:col>
      <xdr:colOff>476250</xdr:colOff>
      <xdr:row>13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7749C0-03AB-4D73-8378-65234ADED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3</xdr:row>
      <xdr:rowOff>23812</xdr:rowOff>
    </xdr:from>
    <xdr:to>
      <xdr:col>12</xdr:col>
      <xdr:colOff>142875</xdr:colOff>
      <xdr:row>17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2C3A04C-493C-ACA3-33BD-94C1B10ABA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71950" y="595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213DAE-519F-4F35-9449-5962E5443B95}" name="Table3" displayName="Table3" ref="A1:B7" totalsRowShown="0" headerRowDxfId="5">
  <autoFilter ref="A1:B7" xr:uid="{09213DAE-519F-4F35-9449-5962E5443B95}"/>
  <tableColumns count="2">
    <tableColumn id="1" xr3:uid="{FB693DB7-E5AE-4F26-8D98-97C91A60F016}" name="Audit Time (days)"/>
    <tableColumn id="2" xr3:uid="{138E7170-81BA-4289-974E-034AC284B990}" name="Count of Audit Tim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3BC3D3-8765-4999-A5D9-1B6D836E671B}" name="Table4" displayName="Table4" ref="D1:G7" totalsRowCount="1" headerRowDxfId="4">
  <autoFilter ref="D1:G6" xr:uid="{F83BC3D3-8765-4999-A5D9-1B6D836E671B}"/>
  <tableColumns count="4">
    <tableColumn id="1" xr3:uid="{362CF5FD-1AB8-4CCA-8B35-0C5B39896481}" name="Audit Time (days)"/>
    <tableColumn id="2" xr3:uid="{B532516B-2D48-480C-BA7C-D8C4D654A900}" name="Class Midpoint (Mi)" totalsRowLabel="Sum" dataDxfId="3" totalsRowDxfId="0">
      <calculatedColumnFormula>(LEFT(D2, FIND("-", D2)-1) + MID(D2, FIND("-", D2)+1, LEN(D2)))/2</calculatedColumnFormula>
    </tableColumn>
    <tableColumn id="3" xr3:uid="{5724DCF3-264D-4900-8636-565E3D8AF29F}" name="Frequency (fi)" totalsRowFunction="custom">
      <totalsRowFormula>SUM(Table4[Frequency (fi)])</totalsRowFormula>
    </tableColumn>
    <tableColumn id="4" xr3:uid="{C2B2CF48-363F-4854-8690-2410A64E6D22}" name="fiMi" totalsRowFunction="sum" dataDxfId="2" totalsRowDxfId="1">
      <calculatedColumnFormula>Table4[[#This Row],[Class Midpoint (Mi)]]*Table4[[#This Row],[Frequency (fi)]]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70F4-8CD3-405A-8BF1-76E6EC68B95F}">
  <dimension ref="A1:G19"/>
  <sheetViews>
    <sheetView topLeftCell="A3" zoomScale="96" zoomScaleNormal="96" workbookViewId="0">
      <selection activeCell="G19" sqref="G19"/>
    </sheetView>
  </sheetViews>
  <sheetFormatPr defaultRowHeight="15" x14ac:dyDescent="0.25"/>
  <cols>
    <col min="1" max="1" width="12.85546875" customWidth="1"/>
    <col min="2" max="3" width="9.5703125" bestFit="1" customWidth="1"/>
    <col min="6" max="6" width="16.85546875" customWidth="1"/>
    <col min="7" max="7" width="10.85546875" customWidth="1"/>
  </cols>
  <sheetData>
    <row r="1" spans="1:7" ht="60" x14ac:dyDescent="0.25">
      <c r="A1" t="s">
        <v>0</v>
      </c>
      <c r="B1" s="1" t="s">
        <v>1</v>
      </c>
      <c r="C1" t="s">
        <v>2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2</v>
      </c>
      <c r="C2" s="2">
        <v>50</v>
      </c>
      <c r="E2" s="3">
        <f>B2-$B$13</f>
        <v>-1</v>
      </c>
      <c r="F2" s="3">
        <f>C2-$C$13</f>
        <v>-1</v>
      </c>
      <c r="G2">
        <f>E2*F2</f>
        <v>1</v>
      </c>
    </row>
    <row r="3" spans="1:7" x14ac:dyDescent="0.25">
      <c r="A3" s="2">
        <v>2</v>
      </c>
      <c r="B3" s="2">
        <v>5</v>
      </c>
      <c r="C3" s="2">
        <v>57</v>
      </c>
      <c r="E3" s="3">
        <f t="shared" ref="E3:E11" si="0">B3-$B$13</f>
        <v>2</v>
      </c>
      <c r="F3" s="3">
        <f t="shared" ref="F3:F11" si="1">C3-$C$13</f>
        <v>6</v>
      </c>
      <c r="G3">
        <f t="shared" ref="G3:G11" si="2">E3*F3</f>
        <v>12</v>
      </c>
    </row>
    <row r="4" spans="1:7" x14ac:dyDescent="0.25">
      <c r="A4" s="2">
        <v>3</v>
      </c>
      <c r="B4" s="2">
        <v>1</v>
      </c>
      <c r="C4" s="2">
        <v>41</v>
      </c>
      <c r="E4" s="3">
        <f t="shared" si="0"/>
        <v>-2</v>
      </c>
      <c r="F4" s="3">
        <f t="shared" si="1"/>
        <v>-10</v>
      </c>
      <c r="G4">
        <f t="shared" si="2"/>
        <v>20</v>
      </c>
    </row>
    <row r="5" spans="1:7" x14ac:dyDescent="0.25">
      <c r="A5" s="2">
        <v>4</v>
      </c>
      <c r="B5" s="2">
        <v>3</v>
      </c>
      <c r="C5" s="2">
        <v>54</v>
      </c>
      <c r="E5" s="3">
        <f t="shared" si="0"/>
        <v>0</v>
      </c>
      <c r="F5" s="3">
        <f t="shared" si="1"/>
        <v>3</v>
      </c>
      <c r="G5">
        <f t="shared" si="2"/>
        <v>0</v>
      </c>
    </row>
    <row r="6" spans="1:7" x14ac:dyDescent="0.25">
      <c r="A6" s="2">
        <v>5</v>
      </c>
      <c r="B6" s="2">
        <v>4</v>
      </c>
      <c r="C6" s="2">
        <v>54</v>
      </c>
      <c r="E6" s="3">
        <f t="shared" si="0"/>
        <v>1</v>
      </c>
      <c r="F6" s="3">
        <f t="shared" si="1"/>
        <v>3</v>
      </c>
      <c r="G6">
        <f t="shared" si="2"/>
        <v>3</v>
      </c>
    </row>
    <row r="7" spans="1:7" x14ac:dyDescent="0.25">
      <c r="A7" s="2">
        <v>6</v>
      </c>
      <c r="B7" s="2">
        <v>1</v>
      </c>
      <c r="C7" s="2">
        <v>38</v>
      </c>
      <c r="E7" s="3">
        <f t="shared" si="0"/>
        <v>-2</v>
      </c>
      <c r="F7" s="3">
        <f t="shared" si="1"/>
        <v>-13</v>
      </c>
      <c r="G7">
        <f t="shared" si="2"/>
        <v>26</v>
      </c>
    </row>
    <row r="8" spans="1:7" x14ac:dyDescent="0.25">
      <c r="A8" s="2">
        <v>7</v>
      </c>
      <c r="B8" s="2">
        <v>5</v>
      </c>
      <c r="C8" s="2">
        <v>63</v>
      </c>
      <c r="E8" s="3">
        <f t="shared" si="0"/>
        <v>2</v>
      </c>
      <c r="F8" s="3">
        <f t="shared" si="1"/>
        <v>12</v>
      </c>
      <c r="G8">
        <f t="shared" si="2"/>
        <v>24</v>
      </c>
    </row>
    <row r="9" spans="1:7" x14ac:dyDescent="0.25">
      <c r="A9" s="2">
        <v>8</v>
      </c>
      <c r="B9" s="2">
        <v>3</v>
      </c>
      <c r="C9" s="2">
        <v>48</v>
      </c>
      <c r="E9" s="3">
        <f t="shared" si="0"/>
        <v>0</v>
      </c>
      <c r="F9" s="3">
        <f t="shared" si="1"/>
        <v>-3</v>
      </c>
      <c r="G9">
        <f t="shared" si="2"/>
        <v>0</v>
      </c>
    </row>
    <row r="10" spans="1:7" x14ac:dyDescent="0.25">
      <c r="A10" s="2">
        <v>9</v>
      </c>
      <c r="B10" s="2">
        <v>4</v>
      </c>
      <c r="C10" s="2">
        <v>59</v>
      </c>
      <c r="E10" s="3">
        <f t="shared" si="0"/>
        <v>1</v>
      </c>
      <c r="F10" s="3">
        <f t="shared" si="1"/>
        <v>8</v>
      </c>
      <c r="G10">
        <f t="shared" si="2"/>
        <v>8</v>
      </c>
    </row>
    <row r="11" spans="1:7" x14ac:dyDescent="0.25">
      <c r="A11" s="2">
        <v>10</v>
      </c>
      <c r="B11" s="2">
        <v>2</v>
      </c>
      <c r="C11" s="2">
        <v>46</v>
      </c>
      <c r="E11" s="3">
        <f t="shared" si="0"/>
        <v>-1</v>
      </c>
      <c r="F11" s="3">
        <f t="shared" si="1"/>
        <v>-5</v>
      </c>
      <c r="G11">
        <f t="shared" si="2"/>
        <v>5</v>
      </c>
    </row>
    <row r="13" spans="1:7" x14ac:dyDescent="0.25">
      <c r="A13" s="7" t="s">
        <v>3</v>
      </c>
      <c r="B13" s="3">
        <f>AVERAGE(B2:B11)</f>
        <v>3</v>
      </c>
      <c r="C13" s="3">
        <f>AVERAGE(C2:C11)</f>
        <v>51</v>
      </c>
      <c r="F13" t="s">
        <v>7</v>
      </c>
      <c r="G13">
        <f>SUM(G2:G11)</f>
        <v>99</v>
      </c>
    </row>
    <row r="14" spans="1:7" x14ac:dyDescent="0.25">
      <c r="A14" s="7" t="s">
        <v>10</v>
      </c>
      <c r="B14" s="5">
        <f>_xlfn.STDEV.S(B2:B11)</f>
        <v>1.4907119849998598</v>
      </c>
      <c r="C14" s="5">
        <f>_xlfn.STDEV.S(C2:C11)</f>
        <v>7.9302515022468789</v>
      </c>
    </row>
    <row r="15" spans="1:7" x14ac:dyDescent="0.25">
      <c r="F15" t="s">
        <v>8</v>
      </c>
      <c r="G15" s="3">
        <f>COUNT(A2:A11)-1</f>
        <v>9</v>
      </c>
    </row>
    <row r="17" spans="6:7" x14ac:dyDescent="0.25">
      <c r="F17" s="7" t="s">
        <v>9</v>
      </c>
      <c r="G17">
        <f>G13/G15</f>
        <v>11</v>
      </c>
    </row>
    <row r="19" spans="6:7" ht="45" customHeight="1" x14ac:dyDescent="0.25">
      <c r="F19" s="6" t="s">
        <v>11</v>
      </c>
      <c r="G19" s="4">
        <f>G17/(B14*C14)</f>
        <v>0.93049058074117907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C06F-69C0-452D-91CF-E9A802E1E0B5}">
  <dimension ref="A1:G19"/>
  <sheetViews>
    <sheetView workbookViewId="0">
      <selection activeCell="F3" sqref="F3"/>
    </sheetView>
  </sheetViews>
  <sheetFormatPr defaultRowHeight="15" x14ac:dyDescent="0.25"/>
  <cols>
    <col min="1" max="1" width="12.85546875" customWidth="1"/>
    <col min="2" max="3" width="9.5703125" bestFit="1" customWidth="1"/>
    <col min="5" max="5" width="21.7109375" customWidth="1"/>
    <col min="6" max="6" width="12.42578125" customWidth="1"/>
    <col min="7" max="7" width="10.85546875" customWidth="1"/>
  </cols>
  <sheetData>
    <row r="1" spans="1:7" ht="60" x14ac:dyDescent="0.25">
      <c r="A1" t="s">
        <v>0</v>
      </c>
      <c r="B1" s="1" t="s">
        <v>1</v>
      </c>
      <c r="C1" t="s">
        <v>2</v>
      </c>
      <c r="E1" s="1"/>
      <c r="F1" s="1"/>
      <c r="G1" s="1"/>
    </row>
    <row r="2" spans="1:7" x14ac:dyDescent="0.25">
      <c r="A2" s="2">
        <v>1</v>
      </c>
      <c r="B2" s="2">
        <v>2</v>
      </c>
      <c r="C2" s="2">
        <v>50</v>
      </c>
      <c r="E2" s="3" t="s">
        <v>31</v>
      </c>
      <c r="F2" s="3">
        <f>_xlfn.COVARIANCE.S(B2:B11,C2:C11)</f>
        <v>11</v>
      </c>
    </row>
    <row r="3" spans="1:7" x14ac:dyDescent="0.25">
      <c r="A3" s="2">
        <v>2</v>
      </c>
      <c r="B3" s="2">
        <v>5</v>
      </c>
      <c r="C3" s="2">
        <v>57</v>
      </c>
      <c r="E3" s="3" t="s">
        <v>32</v>
      </c>
      <c r="F3" s="4">
        <f>CORREL(B2:B11,C2:C11)</f>
        <v>0.93049058074117896</v>
      </c>
    </row>
    <row r="4" spans="1:7" x14ac:dyDescent="0.25">
      <c r="A4" s="2">
        <v>3</v>
      </c>
      <c r="B4" s="2">
        <v>1</v>
      </c>
      <c r="C4" s="2">
        <v>41</v>
      </c>
      <c r="E4" s="3"/>
      <c r="F4" s="3"/>
    </row>
    <row r="5" spans="1:7" x14ac:dyDescent="0.25">
      <c r="A5" s="2">
        <v>4</v>
      </c>
      <c r="B5" s="2">
        <v>3</v>
      </c>
      <c r="C5" s="2">
        <v>54</v>
      </c>
      <c r="E5" s="3"/>
      <c r="F5" s="3"/>
    </row>
    <row r="6" spans="1:7" x14ac:dyDescent="0.25">
      <c r="A6" s="2">
        <v>5</v>
      </c>
      <c r="B6" s="2">
        <v>4</v>
      </c>
      <c r="C6" s="2">
        <v>54</v>
      </c>
      <c r="E6" s="3"/>
      <c r="F6" s="3"/>
    </row>
    <row r="7" spans="1:7" x14ac:dyDescent="0.25">
      <c r="A7" s="2">
        <v>6</v>
      </c>
      <c r="B7" s="2">
        <v>1</v>
      </c>
      <c r="C7" s="2">
        <v>38</v>
      </c>
      <c r="E7" s="3"/>
      <c r="F7" s="3"/>
    </row>
    <row r="8" spans="1:7" x14ac:dyDescent="0.25">
      <c r="A8" s="2">
        <v>7</v>
      </c>
      <c r="B8" s="2">
        <v>5</v>
      </c>
      <c r="C8" s="2">
        <v>63</v>
      </c>
      <c r="E8" s="3"/>
      <c r="F8" s="3"/>
    </row>
    <row r="9" spans="1:7" x14ac:dyDescent="0.25">
      <c r="A9" s="2">
        <v>8</v>
      </c>
      <c r="B9" s="2">
        <v>3</v>
      </c>
      <c r="C9" s="2">
        <v>48</v>
      </c>
      <c r="E9" s="3"/>
      <c r="F9" s="3"/>
    </row>
    <row r="10" spans="1:7" x14ac:dyDescent="0.25">
      <c r="A10" s="2">
        <v>9</v>
      </c>
      <c r="B10" s="2">
        <v>4</v>
      </c>
      <c r="C10" s="2">
        <v>59</v>
      </c>
      <c r="E10" s="3"/>
      <c r="F10" s="3"/>
    </row>
    <row r="11" spans="1:7" x14ac:dyDescent="0.25">
      <c r="A11" s="2">
        <v>10</v>
      </c>
      <c r="B11" s="2">
        <v>2</v>
      </c>
      <c r="C11" s="2">
        <v>46</v>
      </c>
      <c r="E11" s="3"/>
      <c r="F11" s="3"/>
    </row>
    <row r="13" spans="1:7" x14ac:dyDescent="0.25">
      <c r="A13" t="s">
        <v>3</v>
      </c>
      <c r="B13" s="3">
        <f>AVERAGE(B2:B11)</f>
        <v>3</v>
      </c>
      <c r="C13" s="3">
        <f>AVERAGE(C2:C11)</f>
        <v>51</v>
      </c>
    </row>
    <row r="14" spans="1:7" x14ac:dyDescent="0.25">
      <c r="A14" t="s">
        <v>10</v>
      </c>
      <c r="B14" s="5">
        <f>_xlfn.STDEV.S(B2:B11)</f>
        <v>1.4907119849998598</v>
      </c>
      <c r="C14" s="5">
        <f>_xlfn.STDEV.S(C2:C11)</f>
        <v>7.9302515022468789</v>
      </c>
    </row>
    <row r="15" spans="1:7" x14ac:dyDescent="0.25">
      <c r="G15" s="3"/>
    </row>
    <row r="19" spans="6:7" ht="45" customHeight="1" x14ac:dyDescent="0.25">
      <c r="F19" s="1"/>
      <c r="G19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3E2F-7F88-40BF-8043-30018FF8FD48}">
  <dimension ref="A1:E9"/>
  <sheetViews>
    <sheetView tabSelected="1" workbookViewId="0">
      <selection activeCell="E17" sqref="E17"/>
    </sheetView>
  </sheetViews>
  <sheetFormatPr defaultRowHeight="15" x14ac:dyDescent="0.25"/>
  <cols>
    <col min="3" max="3" width="11.42578125" customWidth="1"/>
    <col min="4" max="4" width="17.85546875" customWidth="1"/>
  </cols>
  <sheetData>
    <row r="1" spans="1:5" ht="57" x14ac:dyDescent="0.25">
      <c r="A1" s="23" t="s">
        <v>48</v>
      </c>
      <c r="B1" s="23" t="s">
        <v>49</v>
      </c>
      <c r="C1" s="23" t="s">
        <v>50</v>
      </c>
      <c r="D1" s="24" t="s">
        <v>33</v>
      </c>
    </row>
    <row r="2" spans="1:5" x14ac:dyDescent="0.25">
      <c r="A2" s="8">
        <v>1</v>
      </c>
      <c r="B2" s="9">
        <v>3</v>
      </c>
      <c r="C2" s="8">
        <v>1200</v>
      </c>
      <c r="D2" s="19">
        <f>B2*C2</f>
        <v>3600</v>
      </c>
    </row>
    <row r="3" spans="1:5" x14ac:dyDescent="0.25">
      <c r="A3" s="8">
        <v>2</v>
      </c>
      <c r="B3" s="9">
        <v>3.4</v>
      </c>
      <c r="C3" s="8">
        <v>500</v>
      </c>
      <c r="D3" s="19">
        <f t="shared" ref="D3:D6" si="0">B3*C3</f>
        <v>1700</v>
      </c>
    </row>
    <row r="4" spans="1:5" x14ac:dyDescent="0.25">
      <c r="A4" s="8">
        <v>3</v>
      </c>
      <c r="B4" s="9">
        <v>2.8</v>
      </c>
      <c r="C4" s="8">
        <v>2750</v>
      </c>
      <c r="D4" s="19">
        <f t="shared" si="0"/>
        <v>7699.9999999999991</v>
      </c>
      <c r="E4" t="s">
        <v>12</v>
      </c>
    </row>
    <row r="5" spans="1:5" x14ac:dyDescent="0.25">
      <c r="A5" s="8">
        <v>4</v>
      </c>
      <c r="B5" s="9">
        <v>2.9</v>
      </c>
      <c r="C5" s="8">
        <v>1000</v>
      </c>
      <c r="D5" s="19">
        <f t="shared" si="0"/>
        <v>2900</v>
      </c>
    </row>
    <row r="6" spans="1:5" x14ac:dyDescent="0.25">
      <c r="A6" s="8">
        <v>5</v>
      </c>
      <c r="B6" s="9">
        <v>3.25</v>
      </c>
      <c r="C6" s="8">
        <v>800</v>
      </c>
      <c r="D6" s="19">
        <f t="shared" si="0"/>
        <v>2600</v>
      </c>
    </row>
    <row r="7" spans="1:5" x14ac:dyDescent="0.25">
      <c r="A7" t="s">
        <v>24</v>
      </c>
      <c r="C7" s="18">
        <f>SUM(C2:C6)</f>
        <v>6250</v>
      </c>
      <c r="D7" s="18">
        <f>SUM(D2:D6)</f>
        <v>18500</v>
      </c>
    </row>
    <row r="9" spans="1:5" x14ac:dyDescent="0.25">
      <c r="D9" t="s">
        <v>34</v>
      </c>
      <c r="E9">
        <f>D7/C7</f>
        <v>2.96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F39D-F24F-4505-B47B-2636E67DA6DE}">
  <dimension ref="A1:I21"/>
  <sheetViews>
    <sheetView workbookViewId="0">
      <selection activeCell="D25" sqref="D25"/>
    </sheetView>
  </sheetViews>
  <sheetFormatPr defaultRowHeight="15" x14ac:dyDescent="0.25"/>
  <cols>
    <col min="1" max="1" width="20.28515625" customWidth="1"/>
    <col min="2" max="2" width="21" customWidth="1"/>
    <col min="4" max="4" width="17.85546875" customWidth="1"/>
    <col min="5" max="5" width="25.140625" bestFit="1" customWidth="1"/>
    <col min="6" max="6" width="19.140625" customWidth="1"/>
    <col min="7" max="7" width="15.28515625" customWidth="1"/>
    <col min="8" max="8" width="17.7109375" customWidth="1"/>
  </cols>
  <sheetData>
    <row r="1" spans="1:9" s="7" customFormat="1" x14ac:dyDescent="0.25">
      <c r="A1" s="7" t="s">
        <v>20</v>
      </c>
      <c r="B1" s="7" t="s">
        <v>13</v>
      </c>
      <c r="D1" s="7" t="s">
        <v>20</v>
      </c>
      <c r="E1" s="7" t="s">
        <v>21</v>
      </c>
      <c r="F1" s="7" t="s">
        <v>22</v>
      </c>
      <c r="G1" s="7" t="s">
        <v>23</v>
      </c>
    </row>
    <row r="2" spans="1:9" x14ac:dyDescent="0.25">
      <c r="A2" t="s">
        <v>14</v>
      </c>
      <c r="B2">
        <v>4</v>
      </c>
      <c r="D2" t="s">
        <v>14</v>
      </c>
      <c r="E2">
        <f t="shared" ref="E2:E6" si="0">(LEFT(D2, FIND("-", D2)-1) + MID(D2, FIND("-", D2)+1, LEN(D2)))/2</f>
        <v>12</v>
      </c>
      <c r="F2">
        <v>4</v>
      </c>
      <c r="G2">
        <f>Table4[[#This Row],[Class Midpoint (Mi)]]*Table4[[#This Row],[Frequency (fi)]]</f>
        <v>48</v>
      </c>
    </row>
    <row r="3" spans="1:9" x14ac:dyDescent="0.25">
      <c r="A3" t="s">
        <v>15</v>
      </c>
      <c r="B3">
        <v>8</v>
      </c>
      <c r="D3" t="s">
        <v>15</v>
      </c>
      <c r="E3">
        <f t="shared" si="0"/>
        <v>17</v>
      </c>
      <c r="F3">
        <v>8</v>
      </c>
      <c r="G3">
        <f>Table4[[#This Row],[Class Midpoint (Mi)]]*Table4[[#This Row],[Frequency (fi)]]</f>
        <v>136</v>
      </c>
    </row>
    <row r="4" spans="1:9" x14ac:dyDescent="0.25">
      <c r="A4" t="s">
        <v>16</v>
      </c>
      <c r="B4">
        <v>5</v>
      </c>
      <c r="D4" t="s">
        <v>16</v>
      </c>
      <c r="E4">
        <f t="shared" si="0"/>
        <v>22</v>
      </c>
      <c r="F4">
        <v>5</v>
      </c>
      <c r="G4">
        <f>Table4[[#This Row],[Class Midpoint (Mi)]]*Table4[[#This Row],[Frequency (fi)]]</f>
        <v>110</v>
      </c>
    </row>
    <row r="5" spans="1:9" x14ac:dyDescent="0.25">
      <c r="A5" t="s">
        <v>17</v>
      </c>
      <c r="B5">
        <v>2</v>
      </c>
      <c r="D5" t="s">
        <v>17</v>
      </c>
      <c r="E5">
        <f t="shared" si="0"/>
        <v>27</v>
      </c>
      <c r="F5">
        <v>2</v>
      </c>
      <c r="G5">
        <f>Table4[[#This Row],[Class Midpoint (Mi)]]*Table4[[#This Row],[Frequency (fi)]]</f>
        <v>54</v>
      </c>
    </row>
    <row r="6" spans="1:9" x14ac:dyDescent="0.25">
      <c r="A6" t="s">
        <v>18</v>
      </c>
      <c r="B6">
        <v>1</v>
      </c>
      <c r="D6" t="s">
        <v>18</v>
      </c>
      <c r="E6">
        <f t="shared" si="0"/>
        <v>32</v>
      </c>
      <c r="F6">
        <v>1</v>
      </c>
      <c r="G6">
        <f>Table4[[#This Row],[Class Midpoint (Mi)]]*Table4[[#This Row],[Frequency (fi)]]</f>
        <v>32</v>
      </c>
    </row>
    <row r="7" spans="1:9" x14ac:dyDescent="0.25">
      <c r="A7" t="s">
        <v>19</v>
      </c>
      <c r="B7">
        <v>20</v>
      </c>
      <c r="E7" s="12" t="s">
        <v>24</v>
      </c>
      <c r="F7">
        <f>SUM(Table4[Frequency (fi)])</f>
        <v>20</v>
      </c>
      <c r="G7" s="12">
        <f>SUBTOTAL(109,Table4[fiMi])</f>
        <v>380</v>
      </c>
    </row>
    <row r="9" spans="1:9" x14ac:dyDescent="0.25">
      <c r="E9" s="13" t="s">
        <v>25</v>
      </c>
      <c r="F9">
        <f>Table4[[#Totals],[fiMi]]/Table4[[#Totals],[Frequency (fi)]]</f>
        <v>19</v>
      </c>
    </row>
    <row r="12" spans="1:9" s="1" customFormat="1" ht="32.25" customHeight="1" x14ac:dyDescent="0.25">
      <c r="D12" s="15" t="s">
        <v>20</v>
      </c>
      <c r="E12" s="16" t="s">
        <v>21</v>
      </c>
      <c r="F12" s="14" t="s">
        <v>22</v>
      </c>
      <c r="G12" s="17" t="s">
        <v>28</v>
      </c>
      <c r="H12" s="17" t="s">
        <v>26</v>
      </c>
      <c r="I12" s="17" t="s">
        <v>27</v>
      </c>
    </row>
    <row r="13" spans="1:9" x14ac:dyDescent="0.25">
      <c r="D13" s="10" t="s">
        <v>14</v>
      </c>
      <c r="E13" s="11">
        <f t="shared" ref="E13:E17" si="1">(LEFT(D13, FIND("-", D13)-1) + MID(D13, FIND("-", D13)+1, LEN(D13)))/2</f>
        <v>12</v>
      </c>
      <c r="F13" s="11">
        <v>4</v>
      </c>
      <c r="G13">
        <f>E13-$F$9</f>
        <v>-7</v>
      </c>
      <c r="H13">
        <f>G13^2</f>
        <v>49</v>
      </c>
      <c r="I13">
        <f>F13*H13</f>
        <v>196</v>
      </c>
    </row>
    <row r="14" spans="1:9" x14ac:dyDescent="0.25">
      <c r="D14" s="10" t="s">
        <v>15</v>
      </c>
      <c r="E14" s="11">
        <f t="shared" si="1"/>
        <v>17</v>
      </c>
      <c r="F14" s="11">
        <v>8</v>
      </c>
      <c r="G14">
        <f>E14-$F$9</f>
        <v>-2</v>
      </c>
      <c r="H14">
        <f>G14^2</f>
        <v>4</v>
      </c>
      <c r="I14">
        <f>F14*H14</f>
        <v>32</v>
      </c>
    </row>
    <row r="15" spans="1:9" x14ac:dyDescent="0.25">
      <c r="D15" s="10" t="s">
        <v>16</v>
      </c>
      <c r="E15" s="11">
        <f t="shared" si="1"/>
        <v>22</v>
      </c>
      <c r="F15" s="11">
        <v>5</v>
      </c>
      <c r="G15">
        <f>E15-$F$9</f>
        <v>3</v>
      </c>
      <c r="H15">
        <f>G15^2</f>
        <v>9</v>
      </c>
      <c r="I15">
        <f>F15*H15</f>
        <v>45</v>
      </c>
    </row>
    <row r="16" spans="1:9" x14ac:dyDescent="0.25">
      <c r="D16" s="10" t="s">
        <v>17</v>
      </c>
      <c r="E16" s="11">
        <f t="shared" si="1"/>
        <v>27</v>
      </c>
      <c r="F16" s="11">
        <v>2</v>
      </c>
      <c r="G16">
        <f>E16-$F$9</f>
        <v>8</v>
      </c>
      <c r="H16">
        <f>G16^2</f>
        <v>64</v>
      </c>
      <c r="I16">
        <f>F16*H16</f>
        <v>128</v>
      </c>
    </row>
    <row r="17" spans="4:9" x14ac:dyDescent="0.25">
      <c r="D17" s="10" t="s">
        <v>18</v>
      </c>
      <c r="E17" s="11">
        <f t="shared" si="1"/>
        <v>32</v>
      </c>
      <c r="F17" s="11">
        <v>1</v>
      </c>
      <c r="G17">
        <f>E17-$F$9</f>
        <v>13</v>
      </c>
      <c r="H17">
        <f>G17^2</f>
        <v>169</v>
      </c>
      <c r="I17">
        <f>F17*H17</f>
        <v>169</v>
      </c>
    </row>
    <row r="18" spans="4:9" x14ac:dyDescent="0.25">
      <c r="E18" s="7" t="s">
        <v>24</v>
      </c>
      <c r="F18" s="7">
        <f>SUM(F13:F17)</f>
        <v>20</v>
      </c>
      <c r="H18" s="7" t="s">
        <v>24</v>
      </c>
      <c r="I18" s="7">
        <f>SUM(I13:I17)</f>
        <v>570</v>
      </c>
    </row>
    <row r="20" spans="4:9" x14ac:dyDescent="0.25">
      <c r="F20" t="s">
        <v>30</v>
      </c>
      <c r="G20">
        <f>I18/(F18-1)</f>
        <v>30</v>
      </c>
    </row>
    <row r="21" spans="4:9" x14ac:dyDescent="0.25">
      <c r="F21" t="s">
        <v>10</v>
      </c>
      <c r="G21" s="5">
        <f>SQRT(G20)</f>
        <v>5.4772255750516612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1F30-4E40-4131-B365-C8F5F8BF0762}">
  <dimension ref="A1:E15"/>
  <sheetViews>
    <sheetView workbookViewId="0">
      <selection activeCell="G3" sqref="G3"/>
    </sheetView>
  </sheetViews>
  <sheetFormatPr defaultRowHeight="15" x14ac:dyDescent="0.25"/>
  <cols>
    <col min="4" max="4" width="20.5703125" customWidth="1"/>
    <col min="7" max="7" width="17" customWidth="1"/>
  </cols>
  <sheetData>
    <row r="1" spans="1:5" x14ac:dyDescent="0.25">
      <c r="A1" t="s">
        <v>35</v>
      </c>
      <c r="B1" t="s">
        <v>36</v>
      </c>
      <c r="D1" s="22" t="s">
        <v>36</v>
      </c>
      <c r="E1" s="22"/>
    </row>
    <row r="2" spans="1:5" x14ac:dyDescent="0.25">
      <c r="A2">
        <v>1</v>
      </c>
      <c r="B2">
        <v>3430</v>
      </c>
      <c r="D2" s="20"/>
      <c r="E2" s="20"/>
    </row>
    <row r="3" spans="1:5" x14ac:dyDescent="0.25">
      <c r="A3">
        <v>2</v>
      </c>
      <c r="B3">
        <v>3550</v>
      </c>
      <c r="D3" s="20" t="s">
        <v>37</v>
      </c>
      <c r="E3" s="20">
        <v>3538.3333333333335</v>
      </c>
    </row>
    <row r="4" spans="1:5" x14ac:dyDescent="0.25">
      <c r="A4">
        <v>3</v>
      </c>
      <c r="B4">
        <v>3650</v>
      </c>
      <c r="D4" s="20" t="s">
        <v>38</v>
      </c>
      <c r="E4" s="20">
        <v>48.133075211261222</v>
      </c>
    </row>
    <row r="5" spans="1:5" x14ac:dyDescent="0.25">
      <c r="A5">
        <v>4</v>
      </c>
      <c r="B5">
        <v>3480</v>
      </c>
      <c r="D5" s="20" t="s">
        <v>39</v>
      </c>
      <c r="E5" s="20">
        <v>3505</v>
      </c>
    </row>
    <row r="6" spans="1:5" x14ac:dyDescent="0.25">
      <c r="A6">
        <v>5</v>
      </c>
      <c r="B6">
        <v>3355</v>
      </c>
      <c r="D6" s="20" t="s">
        <v>40</v>
      </c>
      <c r="E6" s="20">
        <v>3480</v>
      </c>
    </row>
    <row r="7" spans="1:5" x14ac:dyDescent="0.25">
      <c r="A7">
        <v>6</v>
      </c>
      <c r="B7">
        <v>3310</v>
      </c>
      <c r="D7" s="20" t="s">
        <v>41</v>
      </c>
      <c r="E7" s="20">
        <v>166.73786358087702</v>
      </c>
    </row>
    <row r="8" spans="1:5" x14ac:dyDescent="0.25">
      <c r="A8">
        <v>7</v>
      </c>
      <c r="B8">
        <v>3490</v>
      </c>
      <c r="D8" s="20" t="s">
        <v>29</v>
      </c>
      <c r="E8" s="20">
        <v>27801.515151515152</v>
      </c>
    </row>
    <row r="9" spans="1:5" x14ac:dyDescent="0.25">
      <c r="A9">
        <v>8</v>
      </c>
      <c r="B9">
        <v>3730</v>
      </c>
      <c r="D9" s="20" t="s">
        <v>42</v>
      </c>
      <c r="E9" s="20">
        <v>1.6491169554845513</v>
      </c>
    </row>
    <row r="10" spans="1:5" x14ac:dyDescent="0.25">
      <c r="A10">
        <v>9</v>
      </c>
      <c r="B10">
        <v>3540</v>
      </c>
      <c r="D10" s="20" t="s">
        <v>43</v>
      </c>
      <c r="E10" s="20">
        <v>1.0917677442338456</v>
      </c>
    </row>
    <row r="11" spans="1:5" x14ac:dyDescent="0.25">
      <c r="A11">
        <v>10</v>
      </c>
      <c r="B11">
        <v>3925</v>
      </c>
      <c r="D11" s="20" t="s">
        <v>44</v>
      </c>
      <c r="E11" s="20">
        <v>615</v>
      </c>
    </row>
    <row r="12" spans="1:5" x14ac:dyDescent="0.25">
      <c r="A12">
        <v>11</v>
      </c>
      <c r="B12">
        <v>3520</v>
      </c>
      <c r="D12" s="20" t="s">
        <v>45</v>
      </c>
      <c r="E12" s="20">
        <v>3310</v>
      </c>
    </row>
    <row r="13" spans="1:5" x14ac:dyDescent="0.25">
      <c r="A13">
        <v>12</v>
      </c>
      <c r="B13">
        <v>3480</v>
      </c>
      <c r="D13" s="20" t="s">
        <v>46</v>
      </c>
      <c r="E13" s="20">
        <v>3925</v>
      </c>
    </row>
    <row r="14" spans="1:5" x14ac:dyDescent="0.25">
      <c r="D14" s="20" t="s">
        <v>24</v>
      </c>
      <c r="E14" s="20">
        <v>42460</v>
      </c>
    </row>
    <row r="15" spans="1:5" ht="15.75" thickBot="1" x14ac:dyDescent="0.3">
      <c r="D15" s="21" t="s">
        <v>47</v>
      </c>
      <c r="E15" s="21">
        <v>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62236-02ED-4A8B-A858-4A4D19DB4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table3.6 manual covariance calc</vt:lpstr>
      <vt:lpstr>table 3.6 covariance correl.</vt:lpstr>
      <vt:lpstr>ch 3.6 weighted mean</vt:lpstr>
      <vt:lpstr>grouped mean and stdev</vt:lpstr>
      <vt:lpstr>Descriptive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2025-08-05T01:26:34Z</dcterms:created>
  <dcterms:modified xsi:type="dcterms:W3CDTF">2025-08-07T01:15:07Z</dcterms:modified>
</cp:coreProperties>
</file>