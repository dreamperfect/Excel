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xml" ContentType="application/vnd.ms-office.chartstyle+xml"/>
  <Override PartName="/xl/charts/colors1.xml" ContentType="application/vnd.ms-office.chartcolorstyle+xml"/>
  <Override PartName="/xl/charts/chart1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21.xml" ContentType="application/vnd.openxmlformats-officedocument.drawingml.chart+xml"/>
  <Override PartName="/xl/charts/style3.xml" ContentType="application/vnd.ms-office.chartstyle+xml"/>
  <Override PartName="/xl/charts/colors3.xml" ContentType="application/vnd.ms-office.chartcolorstyle+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29F4C0F1-1014-4C70-829C-68450E270A90}" xr6:coauthVersionLast="47" xr6:coauthVersionMax="47" xr10:uidLastSave="{00000000-0000-0000-0000-000000000000}"/>
  <bookViews>
    <workbookView xWindow="-120" yWindow="-120" windowWidth="20730" windowHeight="11040" firstSheet="24" activeTab="26" xr2:uid="{838F0E88-193B-48EA-9A7B-573354DE91AF}"/>
  </bookViews>
  <sheets>
    <sheet name="Ch 16.2 Plus 1 indep.  variable" sheetId="34" r:id="rId1"/>
    <sheet name="adding multiple indpendent xs " sheetId="35" r:id="rId2"/>
    <sheet name="Sheet1" sheetId="29" r:id="rId3"/>
    <sheet name="Transforming data" sheetId="1" r:id="rId4"/>
    <sheet name="all data &amp; correlation matrix" sheetId="2" r:id="rId5"/>
    <sheet name="backward elim remove rating" sheetId="15" r:id="rId6"/>
    <sheet name="backward elim remove work" sheetId="16" r:id="rId7"/>
    <sheet name="backward elim remove account" sheetId="36" r:id="rId8"/>
    <sheet name="backward elim remove change" sheetId="37" r:id="rId9"/>
    <sheet name="Just those with p value &lt;0.05" sheetId="8" r:id="rId10"/>
    <sheet name="adding accounts to it" sheetId="20" r:id="rId11"/>
    <sheet name="STEPWISE textbook Step 1" sheetId="6" r:id="rId12"/>
    <sheet name="Step 2" sheetId="9" r:id="rId13"/>
    <sheet name="Step 3" sheetId="10" r:id="rId14"/>
    <sheet name="Step 4" sheetId="11" r:id="rId15"/>
    <sheet name="Step 5 fails with any new indep" sheetId="12" r:id="rId16"/>
    <sheet name="Checking for best linear model" sheetId="21" r:id="rId17"/>
    <sheet name="Checking for a different step 2" sheetId="22" r:id="rId18"/>
    <sheet name="Forward Selection (after step4)" sheetId="24" r:id="rId19"/>
    <sheet name="rstudio forward select model" sheetId="31" r:id="rId20"/>
    <sheet name="Sheet4" sheetId="32" r:id="rId21"/>
    <sheet name="Backwards Elimination Step 1" sheetId="30" r:id="rId22"/>
    <sheet name="backwards elimination step 2" sheetId="25" r:id="rId23"/>
    <sheet name="backward elimination step 3" sheetId="26" r:id="rId24"/>
    <sheet name="backward elimination step 4" sheetId="27" r:id="rId25"/>
    <sheet name="16.5 experimental design" sheetId="38" r:id="rId26"/>
    <sheet name="16.6 Durbin Watson" sheetId="33" r:id="rId27"/>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84" i="33" l="1"/>
  <c r="J58" i="33"/>
  <c r="J59" i="33"/>
  <c r="I59" i="33"/>
  <c r="K52" i="33"/>
  <c r="K84" i="33" l="1"/>
  <c r="P3" i="15" l="1"/>
  <c r="L5" i="15"/>
  <c r="P5" i="24" l="1"/>
  <c r="L5" i="24"/>
  <c r="M2" i="16"/>
  <c r="K5" i="16"/>
  <c r="K2" i="16"/>
  <c r="L5" i="16" l="1"/>
  <c r="O5" i="12"/>
  <c r="K5" i="12"/>
  <c r="P5" i="11"/>
  <c r="L5" i="11"/>
  <c r="E15" i="34"/>
  <c r="E8" i="34"/>
  <c r="E11" i="34" s="1"/>
  <c r="E13" i="34" s="1"/>
  <c r="L2" i="2"/>
  <c r="I84" i="33" l="1"/>
  <c r="M9" i="2"/>
  <c r="N9" i="2"/>
  <c r="O9" i="2"/>
  <c r="P9" i="2"/>
  <c r="Q9" i="2"/>
  <c r="R9" i="2"/>
  <c r="S9" i="2"/>
  <c r="T9" i="2"/>
  <c r="L9" i="2"/>
  <c r="M8" i="2"/>
  <c r="N8" i="2"/>
  <c r="O8" i="2"/>
  <c r="P8" i="2"/>
  <c r="Q8" i="2"/>
  <c r="R8" i="2"/>
  <c r="S8" i="2"/>
  <c r="L8" i="2"/>
  <c r="M7" i="2"/>
  <c r="N7" i="2"/>
  <c r="O7" i="2"/>
  <c r="P7" i="2"/>
  <c r="Q7" i="2"/>
  <c r="R7" i="2"/>
  <c r="L6" i="2"/>
  <c r="L7" i="2"/>
  <c r="Q6" i="2"/>
  <c r="M6" i="2"/>
  <c r="N6" i="2"/>
  <c r="O6" i="2"/>
  <c r="P6" i="2"/>
  <c r="M4" i="2"/>
  <c r="N4" i="2"/>
  <c r="O4" i="2"/>
  <c r="L4" i="2"/>
  <c r="P5" i="2"/>
  <c r="O5" i="2"/>
  <c r="N5" i="2"/>
  <c r="M5" i="2"/>
  <c r="L5" i="2"/>
  <c r="C2" i="1" a="1"/>
  <c r="C2" i="1" s="1"/>
  <c r="J60" i="33"/>
  <c r="J61" i="33"/>
  <c r="J62" i="33"/>
  <c r="J63" i="33"/>
  <c r="J64" i="33"/>
  <c r="J65" i="33"/>
  <c r="J66" i="33"/>
  <c r="J67" i="33"/>
  <c r="J68" i="33"/>
  <c r="J69" i="33"/>
  <c r="J70" i="33"/>
  <c r="J71" i="33"/>
  <c r="J72" i="33"/>
  <c r="J73" i="33"/>
  <c r="J74" i="33"/>
  <c r="J75" i="33"/>
  <c r="J76" i="33"/>
  <c r="J77" i="33"/>
  <c r="J78" i="33"/>
  <c r="J79" i="33"/>
  <c r="J80" i="33"/>
  <c r="J81" i="33"/>
  <c r="J82" i="33"/>
  <c r="I60" i="33"/>
  <c r="I61" i="33"/>
  <c r="I62" i="33"/>
  <c r="I63" i="33"/>
  <c r="I64" i="33"/>
  <c r="I65" i="33"/>
  <c r="I66" i="33"/>
  <c r="I67" i="33"/>
  <c r="I68" i="33"/>
  <c r="I69" i="33"/>
  <c r="I70" i="33"/>
  <c r="I71" i="33"/>
  <c r="I72" i="33"/>
  <c r="I73" i="33"/>
  <c r="I74" i="33"/>
  <c r="I75" i="33"/>
  <c r="I76" i="33"/>
  <c r="I77" i="33"/>
  <c r="I78" i="33"/>
  <c r="I79" i="33"/>
  <c r="I80" i="33"/>
  <c r="I81" i="33"/>
  <c r="I82" i="33"/>
  <c r="C83" i="31"/>
  <c r="C85" i="31"/>
  <c r="C87" i="31"/>
  <c r="L5" i="31"/>
  <c r="K5" i="24" l="1"/>
  <c r="M2" i="24"/>
  <c r="M2" i="11"/>
  <c r="L2" i="31"/>
  <c r="P5" i="25"/>
  <c r="P3" i="25"/>
  <c r="M5" i="25"/>
  <c r="M2" i="25"/>
  <c r="K2" i="25"/>
  <c r="K5" i="30"/>
  <c r="K5" i="25"/>
  <c r="R5" i="30"/>
  <c r="M5" i="30"/>
  <c r="L5" i="30"/>
  <c r="R3" i="30"/>
  <c r="K2" i="30"/>
  <c r="M2" i="30" s="1"/>
  <c r="P3" i="30" s="1"/>
  <c r="P5" i="30" s="1"/>
  <c r="M2" i="31" l="1"/>
  <c r="K5" i="31"/>
  <c r="M5" i="31" s="1"/>
  <c r="P3" i="31" s="1"/>
  <c r="P5" i="31" s="1"/>
  <c r="J2" i="27" l="1"/>
  <c r="I5" i="27"/>
  <c r="L5" i="26"/>
  <c r="H5" i="27"/>
  <c r="J5" i="27" s="1"/>
  <c r="H2" i="27"/>
  <c r="L5" i="10"/>
  <c r="L6" i="9"/>
  <c r="P6" i="9"/>
  <c r="L5" i="20"/>
  <c r="P5" i="10"/>
  <c r="P5" i="22"/>
  <c r="K5" i="26"/>
  <c r="K2" i="26"/>
  <c r="M2" i="26" s="1"/>
  <c r="L5" i="25"/>
  <c r="L2" i="24"/>
  <c r="L5" i="22"/>
  <c r="L2" i="22"/>
  <c r="K5" i="22" s="1"/>
  <c r="K5" i="15"/>
  <c r="M3" i="27" l="1"/>
  <c r="M5" i="27" s="1"/>
  <c r="M5" i="26"/>
  <c r="P3" i="26" s="1"/>
  <c r="P5" i="26" s="1"/>
  <c r="M5" i="24"/>
  <c r="P3" i="24"/>
  <c r="M2" i="22"/>
  <c r="M5" i="22"/>
  <c r="K2" i="12"/>
  <c r="L2" i="12" s="1"/>
  <c r="M2" i="20"/>
  <c r="M5" i="20"/>
  <c r="K5" i="20"/>
  <c r="M5" i="16"/>
  <c r="R3" i="15"/>
  <c r="R5" i="15"/>
  <c r="M5" i="15"/>
  <c r="K2" i="15"/>
  <c r="M2" i="15" s="1"/>
  <c r="P5" i="15" l="1"/>
  <c r="P3" i="22"/>
  <c r="P3" i="20"/>
  <c r="P5" i="20" s="1"/>
  <c r="P3" i="16"/>
  <c r="P5" i="16" s="1"/>
  <c r="J5" i="12"/>
  <c r="K5" i="11"/>
  <c r="M5" i="11" s="1"/>
  <c r="M5" i="10"/>
  <c r="K5" i="10"/>
  <c r="M2" i="10"/>
  <c r="P4" i="9"/>
  <c r="M6" i="9"/>
  <c r="M3" i="9"/>
  <c r="L5" i="12" l="1"/>
  <c r="O3" i="12" s="1"/>
  <c r="P3" i="11"/>
  <c r="P3" i="10"/>
  <c r="L1" i="2" l="1"/>
  <c r="M1" i="2"/>
  <c r="N1" i="2"/>
  <c r="O1" i="2"/>
  <c r="P1" i="2"/>
  <c r="Q1" i="2"/>
  <c r="R1" i="2"/>
  <c r="S1" i="2"/>
  <c r="T1" i="2"/>
  <c r="K2" i="2"/>
  <c r="L3" i="2"/>
  <c r="M3" i="2"/>
  <c r="F21" i="1" a="1"/>
  <c r="F21" i="1" s="1"/>
  <c r="F9" i="1" a="1"/>
  <c r="F9" i="1" s="1"/>
  <c r="F4" i="1" a="1"/>
  <c r="F4" i="1" s="1"/>
  <c r="A2" i="1" a="1"/>
  <c r="A2" i="1" s="1"/>
  <c r="D2" i="1" a="1"/>
  <c r="D2" i="1" s="1"/>
  <c r="E2" i="1" a="1"/>
  <c r="E2" i="1" s="1"/>
  <c r="F2" i="1" a="1"/>
  <c r="F2" i="1" s="1"/>
  <c r="G2" i="1" a="1"/>
  <c r="G2" i="1" s="1"/>
  <c r="H2" i="1" a="1"/>
  <c r="H2" i="1" s="1"/>
  <c r="I2" i="1" a="1"/>
  <c r="I2" i="1" s="1"/>
  <c r="B2" i="1" a="1"/>
  <c r="B2" i="1" s="1"/>
  <c r="M4" i="1"/>
  <c r="M5" i="1" s="1"/>
  <c r="C5" i="1" s="1" a="1"/>
  <c r="C5" i="1" s="1"/>
  <c r="K4" i="1"/>
  <c r="A4" i="1" s="1" a="1"/>
  <c r="A4" i="1" s="1"/>
  <c r="K3" i="1"/>
  <c r="A3" i="1" s="1" a="1"/>
  <c r="A3" i="1" s="1"/>
  <c r="M3" i="1"/>
  <c r="C3" i="1" s="1" a="1"/>
  <c r="C3" i="1" s="1"/>
  <c r="L3" i="1"/>
  <c r="B3" i="1" s="1" a="1"/>
  <c r="B3" i="1" s="1"/>
  <c r="C4" i="1" l="1" a="1"/>
  <c r="C4" i="1" s="1"/>
  <c r="K5" i="1"/>
  <c r="M6" i="1"/>
  <c r="L4" i="1"/>
  <c r="R3" i="1"/>
  <c r="S3" i="1"/>
  <c r="N3" i="1"/>
  <c r="O3" i="1"/>
  <c r="P3" i="1"/>
  <c r="Q3" i="1"/>
  <c r="M7" i="1" l="1"/>
  <c r="C6" i="1" a="1"/>
  <c r="C6" i="1" s="1"/>
  <c r="S4" i="1"/>
  <c r="I3" i="1" a="1"/>
  <c r="I3" i="1" s="1"/>
  <c r="L5" i="1"/>
  <c r="B4" i="1" a="1"/>
  <c r="B4" i="1" s="1"/>
  <c r="G3" i="1" a="1"/>
  <c r="G3" i="1" s="1"/>
  <c r="Q4" i="1"/>
  <c r="K6" i="1"/>
  <c r="A5" i="1" a="1"/>
  <c r="A5" i="1" s="1"/>
  <c r="P4" i="1"/>
  <c r="F3" i="1" a="1"/>
  <c r="F3" i="1" s="1"/>
  <c r="O4" i="1"/>
  <c r="E3" i="1" a="1"/>
  <c r="E3" i="1" s="1"/>
  <c r="N4" i="1"/>
  <c r="D3" i="1" a="1"/>
  <c r="D3" i="1" s="1"/>
  <c r="H3" i="1" a="1"/>
  <c r="H3" i="1" s="1"/>
  <c r="R4" i="1"/>
  <c r="P5" i="1" l="1"/>
  <c r="K7" i="1"/>
  <c r="A6" i="1" a="1"/>
  <c r="A6" i="1" s="1"/>
  <c r="M8" i="1"/>
  <c r="C7" i="1" a="1"/>
  <c r="C7" i="1" s="1"/>
  <c r="E4" i="1" a="1"/>
  <c r="E4" i="1" s="1"/>
  <c r="O5" i="1"/>
  <c r="L6" i="1"/>
  <c r="B5" i="1" a="1"/>
  <c r="B5" i="1" s="1"/>
  <c r="I4" i="1" a="1"/>
  <c r="I4" i="1" s="1"/>
  <c r="S5" i="1"/>
  <c r="R5" i="1"/>
  <c r="H4" i="1" a="1"/>
  <c r="H4" i="1" s="1"/>
  <c r="G4" i="1" a="1"/>
  <c r="G4" i="1" s="1"/>
  <c r="Q5" i="1"/>
  <c r="D4" i="1" a="1"/>
  <c r="D4" i="1" s="1"/>
  <c r="N5" i="1"/>
  <c r="K8" i="1" l="1"/>
  <c r="A7" i="1" a="1"/>
  <c r="A7" i="1" s="1"/>
  <c r="G5" i="1" a="1"/>
  <c r="G5" i="1" s="1"/>
  <c r="Q6" i="1"/>
  <c r="D5" i="1" a="1"/>
  <c r="D5" i="1" s="1"/>
  <c r="N6" i="1"/>
  <c r="E5" i="1" a="1"/>
  <c r="E5" i="1" s="1"/>
  <c r="O6" i="1"/>
  <c r="R6" i="1"/>
  <c r="H5" i="1" a="1"/>
  <c r="H5" i="1" s="1"/>
  <c r="M9" i="1"/>
  <c r="C8" i="1" a="1"/>
  <c r="C8" i="1" s="1"/>
  <c r="S6" i="1"/>
  <c r="I5" i="1" a="1"/>
  <c r="I5" i="1" s="1"/>
  <c r="L7" i="1"/>
  <c r="B6" i="1" a="1"/>
  <c r="B6" i="1" s="1"/>
  <c r="F5" i="1" a="1"/>
  <c r="F5" i="1" s="1"/>
  <c r="P6" i="1"/>
  <c r="O7" i="1" l="1"/>
  <c r="E6" i="1" a="1"/>
  <c r="E6" i="1" s="1"/>
  <c r="B7" i="1" a="1"/>
  <c r="B7" i="1" s="1"/>
  <c r="L8" i="1"/>
  <c r="D6" i="1" a="1"/>
  <c r="D6" i="1" s="1"/>
  <c r="N7" i="1"/>
  <c r="S7" i="1"/>
  <c r="I6" i="1" a="1"/>
  <c r="I6" i="1" s="1"/>
  <c r="Q7" i="1"/>
  <c r="G6" i="1" a="1"/>
  <c r="G6" i="1" s="1"/>
  <c r="M10" i="1"/>
  <c r="C9" i="1" a="1"/>
  <c r="C9" i="1" s="1"/>
  <c r="P7" i="1"/>
  <c r="F6" i="1" a="1"/>
  <c r="F6" i="1" s="1"/>
  <c r="R7" i="1"/>
  <c r="H6" i="1" a="1"/>
  <c r="H6" i="1" s="1"/>
  <c r="K9" i="1"/>
  <c r="A8" i="1" a="1"/>
  <c r="A8" i="1" s="1"/>
  <c r="M11" i="1" l="1"/>
  <c r="C10" i="1" a="1"/>
  <c r="C10" i="1" s="1"/>
  <c r="K10" i="1"/>
  <c r="A9" i="1" a="1"/>
  <c r="A9" i="1" s="1"/>
  <c r="R8" i="1"/>
  <c r="H7" i="1" a="1"/>
  <c r="H7" i="1" s="1"/>
  <c r="S8" i="1"/>
  <c r="I7" i="1" a="1"/>
  <c r="I7" i="1" s="1"/>
  <c r="O8" i="1"/>
  <c r="E7" i="1" a="1"/>
  <c r="E7" i="1" s="1"/>
  <c r="N8" i="1"/>
  <c r="D7" i="1" a="1"/>
  <c r="D7" i="1" s="1"/>
  <c r="Q8" i="1"/>
  <c r="G7" i="1" a="1"/>
  <c r="G7" i="1" s="1"/>
  <c r="P8" i="1"/>
  <c r="F7" i="1" a="1"/>
  <c r="F7" i="1" s="1"/>
  <c r="L9" i="1"/>
  <c r="B8" i="1" a="1"/>
  <c r="B8" i="1" s="1"/>
  <c r="N9" i="1" l="1"/>
  <c r="D8" i="1" a="1"/>
  <c r="D8" i="1" s="1"/>
  <c r="O9" i="1"/>
  <c r="E8" i="1" a="1"/>
  <c r="E8" i="1" s="1"/>
  <c r="P9" i="1"/>
  <c r="F8" i="1" a="1"/>
  <c r="F8" i="1" s="1"/>
  <c r="S9" i="1"/>
  <c r="I8" i="1" a="1"/>
  <c r="I8" i="1" s="1"/>
  <c r="K11" i="1"/>
  <c r="A10" i="1" a="1"/>
  <c r="A10" i="1" s="1"/>
  <c r="M12" i="1"/>
  <c r="C11" i="1" a="1"/>
  <c r="C11" i="1" s="1"/>
  <c r="Q9" i="1"/>
  <c r="G8" i="1" a="1"/>
  <c r="G8" i="1" s="1"/>
  <c r="R9" i="1"/>
  <c r="H8" i="1" a="1"/>
  <c r="H8" i="1" s="1"/>
  <c r="L10" i="1"/>
  <c r="B9" i="1" a="1"/>
  <c r="B9" i="1" s="1"/>
  <c r="R10" i="1" l="1"/>
  <c r="H9" i="1" a="1"/>
  <c r="H9" i="1" s="1"/>
  <c r="S10" i="1"/>
  <c r="I9" i="1" a="1"/>
  <c r="I9" i="1" s="1"/>
  <c r="L11" i="1"/>
  <c r="B10" i="1" a="1"/>
  <c r="B10" i="1" s="1"/>
  <c r="Q10" i="1"/>
  <c r="G9" i="1" a="1"/>
  <c r="G9" i="1" s="1"/>
  <c r="P10" i="1"/>
  <c r="N10" i="1"/>
  <c r="D9" i="1" a="1"/>
  <c r="D9" i="1" s="1"/>
  <c r="K12" i="1"/>
  <c r="A11" i="1" a="1"/>
  <c r="A11" i="1" s="1"/>
  <c r="M13" i="1"/>
  <c r="C12" i="1" a="1"/>
  <c r="C12" i="1" s="1"/>
  <c r="O10" i="1"/>
  <c r="E9" i="1" a="1"/>
  <c r="E9" i="1" s="1"/>
  <c r="N11" i="1" l="1"/>
  <c r="D10" i="1" a="1"/>
  <c r="D10" i="1" s="1"/>
  <c r="M14" i="1"/>
  <c r="C13" i="1" a="1"/>
  <c r="C13" i="1" s="1"/>
  <c r="Q11" i="1"/>
  <c r="G10" i="1" a="1"/>
  <c r="G10" i="1" s="1"/>
  <c r="S11" i="1"/>
  <c r="I10" i="1" a="1"/>
  <c r="I10" i="1" s="1"/>
  <c r="O11" i="1"/>
  <c r="E10" i="1" a="1"/>
  <c r="E10" i="1" s="1"/>
  <c r="P11" i="1"/>
  <c r="F10" i="1" a="1"/>
  <c r="F10" i="1" s="1"/>
  <c r="R11" i="1"/>
  <c r="H10" i="1" a="1"/>
  <c r="H10" i="1" s="1"/>
  <c r="K13" i="1"/>
  <c r="A12" i="1" a="1"/>
  <c r="A12" i="1" s="1"/>
  <c r="L12" i="1"/>
  <c r="B11" i="1" a="1"/>
  <c r="B11" i="1" s="1"/>
  <c r="M15" i="1" l="1"/>
  <c r="C14" i="1" a="1"/>
  <c r="C14" i="1" s="1"/>
  <c r="L13" i="1"/>
  <c r="B12" i="1" a="1"/>
  <c r="B12" i="1" s="1"/>
  <c r="K14" i="1"/>
  <c r="A13" i="1" a="1"/>
  <c r="A13" i="1" s="1"/>
  <c r="S12" i="1"/>
  <c r="I11" i="1" a="1"/>
  <c r="I11" i="1" s="1"/>
  <c r="P12" i="1"/>
  <c r="F11" i="1" a="1"/>
  <c r="F11" i="1" s="1"/>
  <c r="O12" i="1"/>
  <c r="E11" i="1" a="1"/>
  <c r="E11" i="1" s="1"/>
  <c r="N12" i="1"/>
  <c r="D11" i="1" a="1"/>
  <c r="D11" i="1" s="1"/>
  <c r="R12" i="1"/>
  <c r="H11" i="1" a="1"/>
  <c r="H11" i="1" s="1"/>
  <c r="Q12" i="1"/>
  <c r="G11" i="1" a="1"/>
  <c r="G11" i="1" s="1"/>
  <c r="O13" i="1" l="1"/>
  <c r="E12" i="1" a="1"/>
  <c r="E12" i="1" s="1"/>
  <c r="L14" i="1"/>
  <c r="B13" i="1" a="1"/>
  <c r="B13" i="1" s="1"/>
  <c r="P13" i="1"/>
  <c r="F12" i="1" a="1"/>
  <c r="F12" i="1" s="1"/>
  <c r="R13" i="1"/>
  <c r="H12" i="1" a="1"/>
  <c r="H12" i="1" s="1"/>
  <c r="S13" i="1"/>
  <c r="I12" i="1" a="1"/>
  <c r="I12" i="1" s="1"/>
  <c r="Q13" i="1"/>
  <c r="G12" i="1" a="1"/>
  <c r="G12" i="1" s="1"/>
  <c r="M16" i="1"/>
  <c r="C15" i="1" a="1"/>
  <c r="C15" i="1" s="1"/>
  <c r="N13" i="1"/>
  <c r="D12" i="1" a="1"/>
  <c r="D12" i="1" s="1"/>
  <c r="K15" i="1"/>
  <c r="A14" i="1" a="1"/>
  <c r="A14" i="1" s="1"/>
  <c r="L15" i="1" l="1"/>
  <c r="B14" i="1" a="1"/>
  <c r="B14" i="1" s="1"/>
  <c r="S14" i="1"/>
  <c r="I13" i="1" a="1"/>
  <c r="I13" i="1" s="1"/>
  <c r="N14" i="1"/>
  <c r="D13" i="1" a="1"/>
  <c r="D13" i="1" s="1"/>
  <c r="R14" i="1"/>
  <c r="H13" i="1" a="1"/>
  <c r="H13" i="1" s="1"/>
  <c r="Q14" i="1"/>
  <c r="G13" i="1" a="1"/>
  <c r="G13" i="1" s="1"/>
  <c r="K16" i="1"/>
  <c r="A15" i="1" a="1"/>
  <c r="A15" i="1" s="1"/>
  <c r="M17" i="1"/>
  <c r="C16" i="1" a="1"/>
  <c r="C16" i="1" s="1"/>
  <c r="P14" i="1"/>
  <c r="F13" i="1" a="1"/>
  <c r="F13" i="1" s="1"/>
  <c r="O14" i="1"/>
  <c r="E13" i="1" a="1"/>
  <c r="E13" i="1" s="1"/>
  <c r="P15" i="1" l="1"/>
  <c r="F14" i="1" a="1"/>
  <c r="F14" i="1" s="1"/>
  <c r="R15" i="1"/>
  <c r="H14" i="1" a="1"/>
  <c r="H14" i="1" s="1"/>
  <c r="K17" i="1"/>
  <c r="A16" i="1" a="1"/>
  <c r="A16" i="1" s="1"/>
  <c r="M18" i="1"/>
  <c r="C17" i="1" a="1"/>
  <c r="C17" i="1" s="1"/>
  <c r="N15" i="1"/>
  <c r="D14" i="1" a="1"/>
  <c r="D14" i="1" s="1"/>
  <c r="S15" i="1"/>
  <c r="I14" i="1" a="1"/>
  <c r="I14" i="1" s="1"/>
  <c r="O15" i="1"/>
  <c r="E14" i="1" a="1"/>
  <c r="E14" i="1" s="1"/>
  <c r="Q15" i="1"/>
  <c r="G14" i="1" a="1"/>
  <c r="G14" i="1" s="1"/>
  <c r="L16" i="1"/>
  <c r="B15" i="1" a="1"/>
  <c r="B15" i="1" s="1"/>
  <c r="S16" i="1" l="1"/>
  <c r="I15" i="1" a="1"/>
  <c r="I15" i="1" s="1"/>
  <c r="M19" i="1"/>
  <c r="C18" i="1" a="1"/>
  <c r="C18" i="1" s="1"/>
  <c r="L17" i="1"/>
  <c r="B16" i="1" a="1"/>
  <c r="B16" i="1" s="1"/>
  <c r="O16" i="1"/>
  <c r="E15" i="1" a="1"/>
  <c r="E15" i="1" s="1"/>
  <c r="K18" i="1"/>
  <c r="A17" i="1" a="1"/>
  <c r="A17" i="1" s="1"/>
  <c r="R16" i="1"/>
  <c r="H15" i="1" a="1"/>
  <c r="H15" i="1" s="1"/>
  <c r="N16" i="1"/>
  <c r="D15" i="1" a="1"/>
  <c r="D15" i="1" s="1"/>
  <c r="P16" i="1"/>
  <c r="F15" i="1" a="1"/>
  <c r="F15" i="1" s="1"/>
  <c r="Q16" i="1"/>
  <c r="G15" i="1" a="1"/>
  <c r="G15" i="1" s="1"/>
  <c r="O17" i="1" l="1"/>
  <c r="E16" i="1" a="1"/>
  <c r="E16" i="1" s="1"/>
  <c r="S17" i="1"/>
  <c r="I16" i="1" a="1"/>
  <c r="I16" i="1" s="1"/>
  <c r="R17" i="1"/>
  <c r="H16" i="1" a="1"/>
  <c r="H16" i="1" s="1"/>
  <c r="N17" i="1"/>
  <c r="D16" i="1" a="1"/>
  <c r="D16" i="1" s="1"/>
  <c r="L18" i="1"/>
  <c r="B17" i="1" a="1"/>
  <c r="B17" i="1" s="1"/>
  <c r="Q17" i="1"/>
  <c r="G16" i="1" a="1"/>
  <c r="G16" i="1" s="1"/>
  <c r="K19" i="1"/>
  <c r="A18" i="1" a="1"/>
  <c r="A18" i="1" s="1"/>
  <c r="P17" i="1"/>
  <c r="F16" i="1" a="1"/>
  <c r="F16" i="1" s="1"/>
  <c r="M20" i="1"/>
  <c r="C19" i="1" a="1"/>
  <c r="C19" i="1" s="1"/>
  <c r="R18" i="1" l="1"/>
  <c r="H17" i="1" a="1"/>
  <c r="H17" i="1" s="1"/>
  <c r="M21" i="1"/>
  <c r="C20" i="1" a="1"/>
  <c r="C20" i="1" s="1"/>
  <c r="P18" i="1"/>
  <c r="F17" i="1" a="1"/>
  <c r="F17" i="1" s="1"/>
  <c r="K20" i="1"/>
  <c r="A19" i="1" a="1"/>
  <c r="A19" i="1" s="1"/>
  <c r="Q18" i="1"/>
  <c r="G17" i="1" a="1"/>
  <c r="G17" i="1" s="1"/>
  <c r="S18" i="1"/>
  <c r="I17" i="1" a="1"/>
  <c r="I17" i="1" s="1"/>
  <c r="L19" i="1"/>
  <c r="B18" i="1" a="1"/>
  <c r="B18" i="1" s="1"/>
  <c r="O18" i="1"/>
  <c r="E17" i="1" a="1"/>
  <c r="E17" i="1" s="1"/>
  <c r="N18" i="1"/>
  <c r="D17" i="1" a="1"/>
  <c r="D17" i="1" s="1"/>
  <c r="Q19" i="1" l="1"/>
  <c r="G18" i="1" a="1"/>
  <c r="G18" i="1" s="1"/>
  <c r="L20" i="1"/>
  <c r="B19" i="1" a="1"/>
  <c r="B19" i="1" s="1"/>
  <c r="P19" i="1"/>
  <c r="F18" i="1" a="1"/>
  <c r="F18" i="1" s="1"/>
  <c r="N19" i="1"/>
  <c r="D18" i="1" a="1"/>
  <c r="D18" i="1" s="1"/>
  <c r="R19" i="1"/>
  <c r="H18" i="1" a="1"/>
  <c r="H18" i="1" s="1"/>
  <c r="O19" i="1"/>
  <c r="E18" i="1" a="1"/>
  <c r="E18" i="1" s="1"/>
  <c r="S19" i="1"/>
  <c r="I18" i="1" a="1"/>
  <c r="I18" i="1" s="1"/>
  <c r="M22" i="1"/>
  <c r="C21" i="1" a="1"/>
  <c r="C21" i="1" s="1"/>
  <c r="K21" i="1"/>
  <c r="A20" i="1" a="1"/>
  <c r="A20" i="1" s="1"/>
  <c r="M23" i="1" l="1"/>
  <c r="C22" i="1" a="1"/>
  <c r="C22" i="1" s="1"/>
  <c r="N20" i="1"/>
  <c r="D19" i="1" a="1"/>
  <c r="D19" i="1" s="1"/>
  <c r="R20" i="1"/>
  <c r="H19" i="1" a="1"/>
  <c r="H19" i="1" s="1"/>
  <c r="Q20" i="1"/>
  <c r="G19" i="1" a="1"/>
  <c r="G19" i="1" s="1"/>
  <c r="K22" i="1"/>
  <c r="A21" i="1" a="1"/>
  <c r="A21" i="1" s="1"/>
  <c r="S20" i="1"/>
  <c r="I19" i="1" a="1"/>
  <c r="I19" i="1" s="1"/>
  <c r="P20" i="1"/>
  <c r="F19" i="1" a="1"/>
  <c r="F19" i="1" s="1"/>
  <c r="O20" i="1"/>
  <c r="E19" i="1" a="1"/>
  <c r="E19" i="1" s="1"/>
  <c r="L21" i="1"/>
  <c r="B20" i="1" a="1"/>
  <c r="B20" i="1" s="1"/>
  <c r="O21" i="1" l="1"/>
  <c r="E20" i="1" a="1"/>
  <c r="E20" i="1" s="1"/>
  <c r="R21" i="1"/>
  <c r="H20" i="1" a="1"/>
  <c r="H20" i="1" s="1"/>
  <c r="S21" i="1"/>
  <c r="I20" i="1" a="1"/>
  <c r="I20" i="1" s="1"/>
  <c r="N21" i="1"/>
  <c r="D20" i="1" a="1"/>
  <c r="D20" i="1" s="1"/>
  <c r="Q21" i="1"/>
  <c r="G20" i="1" a="1"/>
  <c r="G20" i="1" s="1"/>
  <c r="P21" i="1"/>
  <c r="F20" i="1" a="1"/>
  <c r="F20" i="1" s="1"/>
  <c r="L22" i="1"/>
  <c r="B21" i="1" a="1"/>
  <c r="B21" i="1" s="1"/>
  <c r="K23" i="1"/>
  <c r="A22" i="1" a="1"/>
  <c r="A22" i="1" s="1"/>
  <c r="M24" i="1"/>
  <c r="C23" i="1" a="1"/>
  <c r="C23" i="1" s="1"/>
  <c r="Q22" i="1" l="1"/>
  <c r="G21" i="1" a="1"/>
  <c r="G21" i="1" s="1"/>
  <c r="S22" i="1"/>
  <c r="I21" i="1" a="1"/>
  <c r="I21" i="1" s="1"/>
  <c r="K24" i="1"/>
  <c r="A23" i="1" a="1"/>
  <c r="A23" i="1" s="1"/>
  <c r="N22" i="1"/>
  <c r="D21" i="1" a="1"/>
  <c r="D21" i="1" s="1"/>
  <c r="L23" i="1"/>
  <c r="B22" i="1" a="1"/>
  <c r="B22" i="1" s="1"/>
  <c r="P22" i="1"/>
  <c r="R22" i="1"/>
  <c r="H21" i="1" a="1"/>
  <c r="H21" i="1" s="1"/>
  <c r="M25" i="1"/>
  <c r="C24" i="1" a="1"/>
  <c r="C24" i="1" s="1"/>
  <c r="O22" i="1"/>
  <c r="E21" i="1" a="1"/>
  <c r="E21" i="1" s="1"/>
  <c r="Q23" i="1" l="1"/>
  <c r="G22" i="1" a="1"/>
  <c r="G22" i="1" s="1"/>
  <c r="K25" i="1"/>
  <c r="A24" i="1" a="1"/>
  <c r="A24" i="1" s="1"/>
  <c r="M26" i="1"/>
  <c r="C26" i="1" s="1" a="1"/>
  <c r="C26" i="1" s="1"/>
  <c r="C25" i="1" a="1"/>
  <c r="C25" i="1" s="1"/>
  <c r="N23" i="1"/>
  <c r="D22" i="1" a="1"/>
  <c r="D22" i="1" s="1"/>
  <c r="O23" i="1"/>
  <c r="E22" i="1" a="1"/>
  <c r="E22" i="1" s="1"/>
  <c r="R23" i="1"/>
  <c r="H22" i="1" a="1"/>
  <c r="H22" i="1" s="1"/>
  <c r="P23" i="1"/>
  <c r="F22" i="1" a="1"/>
  <c r="F22" i="1" s="1"/>
  <c r="S23" i="1"/>
  <c r="I22" i="1" a="1"/>
  <c r="I22" i="1" s="1"/>
  <c r="L24" i="1"/>
  <c r="B23" i="1" a="1"/>
  <c r="B23" i="1" s="1"/>
  <c r="S24" i="1" l="1"/>
  <c r="I23" i="1" a="1"/>
  <c r="I23" i="1" s="1"/>
  <c r="P24" i="1"/>
  <c r="F23" i="1" a="1"/>
  <c r="F23" i="1" s="1"/>
  <c r="N24" i="1"/>
  <c r="D23" i="1" a="1"/>
  <c r="D23" i="1" s="1"/>
  <c r="R24" i="1"/>
  <c r="H23" i="1" a="1"/>
  <c r="H23" i="1" s="1"/>
  <c r="A25" i="1" a="1"/>
  <c r="A25" i="1" s="1"/>
  <c r="K26" i="1"/>
  <c r="A26" i="1" s="1" a="1"/>
  <c r="A26" i="1" s="1"/>
  <c r="L25" i="1"/>
  <c r="B24" i="1" a="1"/>
  <c r="B24" i="1" s="1"/>
  <c r="O24" i="1"/>
  <c r="E23" i="1" a="1"/>
  <c r="E23" i="1" s="1"/>
  <c r="Q24" i="1"/>
  <c r="G23" i="1" a="1"/>
  <c r="G23" i="1" s="1"/>
  <c r="O25" i="1" l="1"/>
  <c r="E24" i="1" a="1"/>
  <c r="E24" i="1" s="1"/>
  <c r="Q25" i="1"/>
  <c r="G24" i="1" a="1"/>
  <c r="G24" i="1" s="1"/>
  <c r="B25" i="1" a="1"/>
  <c r="B25" i="1" s="1"/>
  <c r="L26" i="1"/>
  <c r="B26" i="1" s="1" a="1"/>
  <c r="B26" i="1" s="1"/>
  <c r="P25" i="1"/>
  <c r="F24" i="1" a="1"/>
  <c r="F24" i="1" s="1"/>
  <c r="R25" i="1"/>
  <c r="H24" i="1" a="1"/>
  <c r="H24" i="1" s="1"/>
  <c r="N25" i="1"/>
  <c r="D24" i="1" a="1"/>
  <c r="D24" i="1" s="1"/>
  <c r="S25" i="1"/>
  <c r="I24" i="1" a="1"/>
  <c r="I24" i="1" s="1"/>
  <c r="R26" i="1" l="1"/>
  <c r="H26" i="1" s="1" a="1"/>
  <c r="H26" i="1" s="1"/>
  <c r="H25" i="1" a="1"/>
  <c r="H25" i="1" s="1"/>
  <c r="O26" i="1"/>
  <c r="E26" i="1" s="1" a="1"/>
  <c r="E26" i="1" s="1"/>
  <c r="E25" i="1" a="1"/>
  <c r="E25" i="1" s="1"/>
  <c r="P26" i="1"/>
  <c r="F26" i="1" s="1" a="1"/>
  <c r="F26" i="1" s="1"/>
  <c r="F25" i="1" a="1"/>
  <c r="F25" i="1" s="1"/>
  <c r="N26" i="1"/>
  <c r="D26" i="1" s="1" a="1"/>
  <c r="D26" i="1" s="1"/>
  <c r="D25" i="1" a="1"/>
  <c r="D25" i="1" s="1"/>
  <c r="Q26" i="1"/>
  <c r="G26" i="1" s="1" a="1"/>
  <c r="G26" i="1" s="1"/>
  <c r="G25" i="1" a="1"/>
  <c r="G25" i="1" s="1"/>
  <c r="S26" i="1"/>
  <c r="I26" i="1" s="1" a="1"/>
  <c r="I26" i="1" s="1"/>
  <c r="I25" i="1" a="1"/>
  <c r="I2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<sst xmlns="http://schemas.openxmlformats.org/spreadsheetml/2006/main" count="1029" uniqueCount="97">
  <si>
    <t>Sales</t>
  </si>
  <si>
    <t>Time</t>
  </si>
  <si>
    <t>Poten</t>
  </si>
  <si>
    <t>AdvExp</t>
  </si>
  <si>
    <t>Share</t>
  </si>
  <si>
    <t>Change</t>
  </si>
  <si>
    <t>Accounts</t>
  </si>
  <si>
    <t>Work</t>
  </si>
  <si>
    <t>Rating</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</si>
  <si>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</si>
  <si>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</si>
  <si>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</si>
  <si>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</si>
  <si>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</si>
  <si>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</si>
  <si>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</si>
  <si>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</si>
  <si>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</si>
  <si>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</si>
  <si>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</si>
  <si>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</si>
  <si>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</si>
  <si>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</si>
  <si>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</si>
  <si>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</si>
  <si>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</si>
  <si>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</si>
  <si>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</si>
  <si>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</si>
  <si>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</si>
  <si>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</si>
  <si>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</si>
  <si>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</si>
  <si>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</si>
  <si>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</si>
  <si>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Sales</t>
  </si>
  <si>
    <t>Residuals</t>
  </si>
  <si>
    <t>Standard Residuals</t>
  </si>
  <si>
    <t>PROBABILITY OUTPUT</t>
  </si>
  <si>
    <t>Percentile</t>
  </si>
  <si>
    <t>SSE(x1,x2)</t>
  </si>
  <si>
    <t>(K2-L2)/1</t>
  </si>
  <si>
    <t>SSE(x1)</t>
  </si>
  <si>
    <t>n-p-1</t>
  </si>
  <si>
    <t>K5/l5</t>
  </si>
  <si>
    <t>F=</t>
  </si>
  <si>
    <t>P value=</t>
  </si>
  <si>
    <t>SSE(x1,x2,x3)</t>
  </si>
  <si>
    <t>SSE(x1,x2,xp)</t>
  </si>
  <si>
    <t>SSE(x1,..xq)</t>
  </si>
  <si>
    <t>SSE(x1,..,xq+1, xp)</t>
  </si>
  <si>
    <t>SSE(xall)</t>
  </si>
  <si>
    <t>SSE(xq)</t>
  </si>
  <si>
    <t>numerator df</t>
  </si>
  <si>
    <t>denominator df</t>
  </si>
  <si>
    <t>SSE(with accounts)</t>
  </si>
  <si>
    <t>Standard error</t>
  </si>
  <si>
    <t>f value</t>
  </si>
  <si>
    <t>p value</t>
  </si>
  <si>
    <t xml:space="preserve">Sorted: </t>
  </si>
  <si>
    <t>Std error</t>
  </si>
  <si>
    <t>SSE(xgreen)</t>
  </si>
  <si>
    <t>SSE(with work but no rating)</t>
  </si>
  <si>
    <t>SSE( no rating or work)</t>
  </si>
  <si>
    <t>SSE(x1, .. xp)</t>
  </si>
  <si>
    <t>SSE(x1, .., xp)</t>
  </si>
  <si>
    <t>(K2-L2)/4</t>
  </si>
  <si>
    <t>R square</t>
  </si>
  <si>
    <t>…</t>
  </si>
  <si>
    <r>
      <t>SSE(</t>
    </r>
    <r>
      <rPr>
        <sz val="11"/>
        <rFont val="Calibri"/>
        <family val="2"/>
        <scheme val="minor"/>
      </rPr>
      <t>x1,..xq</t>
    </r>
    <r>
      <rPr>
        <sz val="11"/>
        <color theme="1"/>
        <rFont val="Calibri"/>
        <family val="2"/>
        <scheme val="minor"/>
      </rPr>
      <t>)</t>
    </r>
  </si>
  <si>
    <t>SSE(xstep4)</t>
  </si>
  <si>
    <t>Sum</t>
  </si>
  <si>
    <t>Average</t>
  </si>
  <si>
    <t>SSE(xall "xp")</t>
  </si>
  <si>
    <t>(K2-L2)/3</t>
  </si>
  <si>
    <t>Normal Score</t>
  </si>
  <si>
    <t>durbin watson test stat</t>
  </si>
  <si>
    <t>(et-(et-1))^2</t>
  </si>
  <si>
    <t>(residual - residual of previous obsertvation)^2</t>
  </si>
  <si>
    <t>et^2</t>
  </si>
  <si>
    <t>Numerator</t>
  </si>
  <si>
    <t>SSE (x1,x2)</t>
  </si>
  <si>
    <t>number of independent variables added</t>
  </si>
  <si>
    <t>Denominator is mse of model with all independent variables</t>
  </si>
  <si>
    <t>F test statistic</t>
  </si>
  <si>
    <t>denominitator df (n-p-1)</t>
  </si>
  <si>
    <t>n</t>
  </si>
  <si>
    <t>Critical value: reject Ho when F is &gt;</t>
  </si>
  <si>
    <t>Method A</t>
  </si>
  <si>
    <t>Method B</t>
  </si>
  <si>
    <t>Method C</t>
  </si>
  <si>
    <t>A</t>
  </si>
  <si>
    <t>B</t>
  </si>
  <si>
    <t>Y</t>
  </si>
  <si>
    <t>numerator unsummed:</t>
  </si>
  <si>
    <t>denominator unsummed</t>
  </si>
  <si>
    <t>4-du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</si>
</sst>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00"/>
    <numFmt numFmtId="165" formatCode="0.000"/>
    <numFmt numFmtId="166" formatCode="0.0000"/>
    <numFmt numFmtId="167" formatCode="0.000000000"/>
    <numFmt numFmtId="170" formatCode="0.0000000"/>
    <numFmt numFmtId="171" formatCode="0.00000000"/>
    <numFmt numFmtId="172" formatCode="0.0000000000"/>
  </numFmts>
  <fonts count="8" x14ac:knownFonts="1">
    <font>
      <sz val="11"/>
      <color theme="1"/>
      <name val="Calibri"/>
      <family val="2"/>
      <scheme val="minor"/>
    </font>
    <font>
      <sz val="11"/>
      <color theme="1"/>
      <name val="Calibri"/>
      <family val="2"/>
      <scheme val="minor"/>
    </font>
    <font>
      <i/>
      <sz val="11"/>
      <color theme="1"/>
      <name val="Calibri"/>
      <family val="2"/>
      <scheme val="minor"/>
    </font>
    <font>
      <sz val="11"/>
      <name val="Calibri"/>
      <family val="2"/>
      <scheme val="minor"/>
    </font>
    <font>
      <sz val="11"/>
      <color rgb="FF000000"/>
      <name val="Calibri"/>
      <family val="2"/>
      <scheme val="minor"/>
    </font>
    <font>
      <sz val="11"/>
      <color rgb="FFFF0000"/>
      <name val="Calibri"/>
      <family val="2"/>
      <scheme val="minor"/>
    </font>
    <font>
      <b/>
      <sz val="12"/>
      <name val="Times New Roman"/>
      <family val="1"/>
    </font>
    <font>
      <u/>
      <sz val="11"/>
      <color theme="10"/>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C00000"/>
        <bgColor indexed="64"/>
      </patternFill>
    </fill>
    <fill>
      <patternFill patternType="solid">
        <fgColor rgb="FF92D050"/>
        <bgColor indexed="64"/>
      </patternFill>
    </fill>
    <fill>
      <patternFill patternType="solid">
        <fgColor rgb="FFFFFF00"/>
        <bgColor indexed="64"/>
      </patternFill>
    </fill>
    <fill>
      <patternFill patternType="solid">
        <fgColor rgb="FF7030A0"/>
        <bgColor indexed="64"/>
      </patternFill>
    </fill>
    <fill>
      <patternFill patternType="solid">
        <fgColor theme="6"/>
        <bgColor indexed="64"/>
      </patternFill>
    </fill>
    <fill>
      <patternFill patternType="solid">
        <fgColor theme="4"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cellStyleXfs>
  <cellXfs count="50">
    <xf numFmtId="0" fontId="0" fillId="0" borderId="0" xfId="0"/>
    <xf numFmtId="4" fontId="0" fillId="0" borderId="0" xfId="0" applyNumberForma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2" borderId="0" xfId="0" applyFill="1"/>
    <xf numFmtId="0" fontId="0" fillId="2" borderId="1" xfId="0" applyFill="1" applyBorder="1"/>
    <xf numFmtId="0" fontId="0" fillId="3" borderId="0" xfId="0" applyFill="1"/>
    <xf numFmtId="0" fontId="0" fillId="3" borderId="1" xfId="0" applyFill="1" applyBorder="1"/>
    <xf numFmtId="0" fontId="0" fillId="0" borderId="0" xfId="0" applyAlignment="1">
      <alignment wrapText="1"/>
    </xf>
    <xf numFmtId="0" fontId="0" fillId="4" borderId="1" xfId="0" applyFill="1" applyBorder="1"/>
    <xf numFmtId="0" fontId="0" fillId="4" borderId="0" xfId="0" applyFill="1"/>
    <xf numFmtId="0" fontId="0" fillId="5" borderId="0" xfId="0" applyFill="1"/>
    <xf numFmtId="0" fontId="0" fillId="6" borderId="0" xfId="0" applyFill="1"/>
    <xf numFmtId="43" fontId="0" fillId="0" borderId="0" xfId="1" applyFont="1" applyFill="1" applyBorder="1" applyAlignment="1"/>
    <xf numFmtId="43" fontId="0" fillId="0" borderId="0" xfId="0" applyNumberFormat="1"/>
    <xf numFmtId="43" fontId="0" fillId="0" borderId="0" xfId="1" applyFont="1"/>
    <xf numFmtId="43" fontId="0" fillId="7" borderId="0" xfId="1" applyFont="1" applyFill="1" applyBorder="1" applyAlignment="1"/>
    <xf numFmtId="165" fontId="0" fillId="6" borderId="0" xfId="0" applyNumberFormat="1" applyFill="1"/>
    <xf numFmtId="167" fontId="0" fillId="0" borderId="0" xfId="0" applyNumberFormat="1"/>
    <xf numFmtId="0" fontId="0" fillId="8" borderId="0" xfId="0" applyFill="1"/>
    <xf numFmtId="0" fontId="0" fillId="8" borderId="1" xfId="0" applyFill="1" applyBorder="1"/>
    <xf numFmtId="0" fontId="0" fillId="9" borderId="0" xfId="0" applyFill="1"/>
    <xf numFmtId="165" fontId="0" fillId="0" borderId="0" xfId="0" applyNumberFormat="1"/>
    <xf numFmtId="2" fontId="0" fillId="0" borderId="0" xfId="0" applyNumberFormat="1"/>
    <xf numFmtId="0" fontId="4" fillId="0" borderId="0" xfId="0" applyFont="1"/>
    <xf numFmtId="165" fontId="0" fillId="0" borderId="1" xfId="0" applyNumberFormat="1" applyBorder="1"/>
    <xf numFmtId="2" fontId="0" fillId="0" borderId="1" xfId="0" applyNumberFormat="1" applyBorder="1"/>
    <xf numFmtId="166" fontId="0" fillId="6" borderId="0" xfId="0" applyNumberFormat="1" applyFill="1"/>
    <xf numFmtId="0" fontId="0" fillId="6" borderId="1" xfId="0" applyFill="1" applyBorder="1"/>
    <xf numFmtId="2" fontId="0" fillId="2" borderId="0" xfId="0" applyNumberFormat="1" applyFill="1"/>
    <xf numFmtId="2" fontId="0" fillId="2" borderId="1" xfId="0" applyNumberFormat="1" applyFill="1" applyBorder="1"/>
    <xf numFmtId="0" fontId="2" fillId="0" borderId="0" xfId="0" applyFont="1" applyAlignment="1">
      <alignment horizontal="center"/>
    </xf>
    <xf numFmtId="43" fontId="0" fillId="7" borderId="0" xfId="1" applyFont="1" applyFill="1"/>
    <xf numFmtId="0" fontId="5" fillId="0" borderId="1" xfId="0" applyFont="1" applyBorder="1"/>
    <xf numFmtId="0" fontId="0" fillId="0" borderId="0" xfId="0" applyFill="1"/>
    <xf numFmtId="164" fontId="0" fillId="0" borderId="0" xfId="0" applyNumberFormat="1"/>
    <xf numFmtId="0" fontId="3" fillId="2" borderId="1" xfId="0" applyFont="1" applyFill="1" applyBorder="1"/>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0" fontId="0" fillId="2" borderId="1" xfId="0" applyFill="1" applyBorder="1" applyAlignment="1"/>
    <xf numFmtId="43" fontId="0" fillId="6" borderId="0" xfId="1" applyFont="1" applyFill="1"/>
    <xf numFmtId="0" fontId="6" fillId="0" borderId="0" xfId="0" applyFont="1" applyAlignment="1">
      <alignment horizontal="center"/>
    </xf>
    <xf numFmtId="0" fontId="0" fillId="0" borderId="0" xfId="0" applyAlignment="1">
      <alignment horizontal="center"/>
    </xf>
    <xf numFmtId="0" fontId="7" fillId="0" borderId="0" xfId="2"/>
    <xf numFmtId="170" fontId="0" fillId="0" borderId="0" xfId="0" applyNumberFormat="1"/>
    <xf numFmtId="171" fontId="0" fillId="0" borderId="0" xfId="0" applyNumberFormat="1"/>
    <xf numFmtId="172" fontId="0" fillId="7" borderId="0" xfId="0" applyNumberFormat="1" applyFill="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Accounts  Residual Plot</a:t>
            </a:r>
          </a:p>
        </c:rich>
      </c:tx>
      <c:overlay val="0"/>
    </c:title>
    <c:autoTitleDeleted val="0"/>
    <c:plotArea>
      <c:layout/>
      <c:scatterChart>
        <c:scatterStyle val="lineMarker"/>
        <c:varyColors val="0"/>
        <c:ser>
          <c:idx val="0"/>
          <c:order val="0"/>
          <c:spPr>
            <a:ln w="19050">
              <a:noFill/>
            </a:ln>
          </c:spPr>
          <c:xVal>
            <c:numRef>
              <c:f>'rstudio forward select model'!$B$2:$B$26</c:f>
              <c:numCache>
                <c:formatCode>General</c:formatCode>
                <c:ptCount val="25"/>
                <c:pt idx="0">
                  <c:v>74.86</c:v>
                </c:pt>
                <c:pt idx="1">
                  <c:v>107.32</c:v>
                </c:pt>
                <c:pt idx="2">
                  <c:v>96.75</c:v>
                </c:pt>
                <c:pt idx="3">
                  <c:v>195.12</c:v>
                </c:pt>
                <c:pt idx="4">
                  <c:v>180.44</c:v>
                </c:pt>
                <c:pt idx="5">
                  <c:v>104.88</c:v>
                </c:pt>
                <c:pt idx="6">
                  <c:v>256.10000000000002</c:v>
                </c:pt>
                <c:pt idx="7">
                  <c:v>126.83</c:v>
                </c:pt>
                <c:pt idx="8">
                  <c:v>203.25</c:v>
                </c:pt>
                <c:pt idx="9">
                  <c:v>119.51</c:v>
                </c:pt>
                <c:pt idx="10">
                  <c:v>116.26</c:v>
                </c:pt>
                <c:pt idx="11">
                  <c:v>142.28</c:v>
                </c:pt>
                <c:pt idx="12">
                  <c:v>89.43</c:v>
                </c:pt>
                <c:pt idx="13">
                  <c:v>84.55</c:v>
                </c:pt>
                <c:pt idx="14">
                  <c:v>119.51</c:v>
                </c:pt>
                <c:pt idx="15">
                  <c:v>80.489999999999995</c:v>
                </c:pt>
                <c:pt idx="16">
                  <c:v>136.58000000000001</c:v>
                </c:pt>
                <c:pt idx="17">
                  <c:v>78.86</c:v>
                </c:pt>
                <c:pt idx="18">
                  <c:v>136.58000000000001</c:v>
                </c:pt>
                <c:pt idx="19">
                  <c:v>138.21</c:v>
                </c:pt>
                <c:pt idx="20">
                  <c:v>75.61</c:v>
                </c:pt>
                <c:pt idx="21">
                  <c:v>102.44</c:v>
                </c:pt>
                <c:pt idx="22">
                  <c:v>76.42</c:v>
                </c:pt>
                <c:pt idx="23">
                  <c:v>136.58000000000001</c:v>
                </c:pt>
                <c:pt idx="24">
                  <c:v>88.62</c:v>
                </c:pt>
              </c:numCache>
            </c:numRef>
          </c:xVal>
          <c:yVal>
            <c:numRef>
              <c:f>'rstudio forward select model'!$C$57:$C$81</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1-F61B-44C5-9984-EA5A1562AD34}"/>
            </c:ext>
          </c:extLst>
        </c:ser>
        <c:dLbls>
          <c:showLegendKey val="0"/>
          <c:showVal val="0"/>
          <c:showCatName val="0"/>
          <c:showSerName val="0"/>
          <c:showPercent val="0"/>
          <c:showBubbleSize val="0"/>
        </c:dLbls>
        <c:axId val="1488522927"/>
        <c:axId val="708501935"/>
      </c:scatterChart>
      <c:valAx>
        <c:axId val="1488522927"/>
        <c:scaling>
          <c:orientation val="minMax"/>
        </c:scaling>
        <c:delete val="0"/>
        <c:axPos val="b"/>
        <c:title>
          <c:tx>
            <c:rich>
              <a:bodyPr/>
              <a:lstStyle/>
              <a:p>
                <a:pPr>
                  <a:defRPr/>
                </a:pPr>
                <a:r>
                  <a:rPr lang="en-US"/>
                  <a:t>Accounts</a:t>
                </a:r>
              </a:p>
            </c:rich>
          </c:tx>
          <c:overlay val="0"/>
        </c:title>
        <c:numFmt formatCode="General" sourceLinked="1"/>
        <c:majorTickMark val="out"/>
        <c:minorTickMark val="none"/>
        <c:tickLblPos val="nextTo"/>
        <c:crossAx val="708501935"/>
        <c:crosses val="autoZero"/>
        <c:crossBetween val="midCat"/>
      </c:valAx>
      <c:valAx>
        <c:axId val="708501935"/>
        <c:scaling>
          <c:orientation val="minMax"/>
        </c:scaling>
        <c:delete val="0"/>
        <c:axPos val="l"/>
        <c:title>
          <c:tx>
            <c:rich>
              <a:bodyPr/>
              <a:lstStyle/>
              <a:p>
                <a:pPr>
                  <a:defRPr/>
                </a:pPr>
                <a:r>
                  <a:rPr lang="en-US"/>
                  <a:t>Residuals</a:t>
                </a:r>
              </a:p>
            </c:rich>
          </c:tx>
          <c:overlay val="0"/>
        </c:title>
        <c:numFmt formatCode="0.00" sourceLinked="1"/>
        <c:majorTickMark val="out"/>
        <c:minorTickMark val="none"/>
        <c:tickLblPos val="nextTo"/>
        <c:crossAx val="148852292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AdvExp  Residual Plot</a:t>
            </a:r>
          </a:p>
        </c:rich>
      </c:tx>
      <c:overlay val="0"/>
    </c:title>
    <c:autoTitleDeleted val="0"/>
    <c:plotArea>
      <c:layout/>
      <c:scatterChart>
        <c:scatterStyle val="lineMarker"/>
        <c:varyColors val="0"/>
        <c:ser>
          <c:idx val="0"/>
          <c:order val="0"/>
          <c:spPr>
            <a:ln w="19050">
              <a:noFill/>
            </a:ln>
          </c:spPr>
          <c:xVal>
            <c:numRef>
              <c:f>'rstudio forward select model'!$C$2:$C$26</c:f>
              <c:numCache>
                <c:formatCode>General</c:formatCode>
                <c:ptCount val="25"/>
                <c:pt idx="0">
                  <c:v>4582.8999999999996</c:v>
                </c:pt>
                <c:pt idx="1">
                  <c:v>5539.8</c:v>
                </c:pt>
                <c:pt idx="2">
                  <c:v>2950.4</c:v>
                </c:pt>
                <c:pt idx="3">
                  <c:v>2243.1</c:v>
                </c:pt>
                <c:pt idx="4">
                  <c:v>7747.1</c:v>
                </c:pt>
                <c:pt idx="5">
                  <c:v>402.4</c:v>
                </c:pt>
                <c:pt idx="6">
                  <c:v>3140.6</c:v>
                </c:pt>
                <c:pt idx="7">
                  <c:v>2086.1999999999998</c:v>
                </c:pt>
                <c:pt idx="8">
                  <c:v>8846.2000000000007</c:v>
                </c:pt>
                <c:pt idx="9">
                  <c:v>5673.1</c:v>
                </c:pt>
                <c:pt idx="10">
                  <c:v>2761.8</c:v>
                </c:pt>
                <c:pt idx="11">
                  <c:v>1991.8</c:v>
                </c:pt>
                <c:pt idx="12">
                  <c:v>1971.5</c:v>
                </c:pt>
                <c:pt idx="13">
                  <c:v>1737.4</c:v>
                </c:pt>
                <c:pt idx="14">
                  <c:v>10694.2</c:v>
                </c:pt>
                <c:pt idx="15">
                  <c:v>8618.6</c:v>
                </c:pt>
                <c:pt idx="16">
                  <c:v>7747.9</c:v>
                </c:pt>
                <c:pt idx="17">
                  <c:v>4565.8</c:v>
                </c:pt>
                <c:pt idx="18">
                  <c:v>6022.7</c:v>
                </c:pt>
                <c:pt idx="19">
                  <c:v>3721.1</c:v>
                </c:pt>
                <c:pt idx="20">
                  <c:v>861</c:v>
                </c:pt>
                <c:pt idx="21">
                  <c:v>3571.5</c:v>
                </c:pt>
                <c:pt idx="22">
                  <c:v>2845.5</c:v>
                </c:pt>
                <c:pt idx="23">
                  <c:v>5060.1000000000004</c:v>
                </c:pt>
                <c:pt idx="24">
                  <c:v>3552</c:v>
                </c:pt>
              </c:numCache>
            </c:numRef>
          </c:xVal>
          <c:yVal>
            <c:numRef>
              <c:f>'rstudio forward select model'!$C$57:$C$81</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1-D61B-48D9-B737-E697A47033E0}"/>
            </c:ext>
          </c:extLst>
        </c:ser>
        <c:dLbls>
          <c:showLegendKey val="0"/>
          <c:showVal val="0"/>
          <c:showCatName val="0"/>
          <c:showSerName val="0"/>
          <c:showPercent val="0"/>
          <c:showBubbleSize val="0"/>
        </c:dLbls>
        <c:axId val="714448271"/>
        <c:axId val="730307119"/>
      </c:scatterChart>
      <c:valAx>
        <c:axId val="714448271"/>
        <c:scaling>
          <c:orientation val="minMax"/>
        </c:scaling>
        <c:delete val="0"/>
        <c:axPos val="b"/>
        <c:title>
          <c:tx>
            <c:rich>
              <a:bodyPr/>
              <a:lstStyle/>
              <a:p>
                <a:pPr>
                  <a:defRPr/>
                </a:pPr>
                <a:r>
                  <a:rPr lang="en-US"/>
                  <a:t>AdvExp</a:t>
                </a:r>
              </a:p>
            </c:rich>
          </c:tx>
          <c:overlay val="0"/>
        </c:title>
        <c:numFmt formatCode="General" sourceLinked="1"/>
        <c:majorTickMark val="out"/>
        <c:minorTickMark val="none"/>
        <c:tickLblPos val="nextTo"/>
        <c:crossAx val="730307119"/>
        <c:crosses val="autoZero"/>
        <c:crossBetween val="midCat"/>
      </c:valAx>
      <c:valAx>
        <c:axId val="730307119"/>
        <c:scaling>
          <c:orientation val="minMax"/>
        </c:scaling>
        <c:delete val="0"/>
        <c:axPos val="l"/>
        <c:title>
          <c:tx>
            <c:rich>
              <a:bodyPr/>
              <a:lstStyle/>
              <a:p>
                <a:pPr>
                  <a:defRPr/>
                </a:pPr>
                <a:r>
                  <a:rPr lang="en-US"/>
                  <a:t>Residuals</a:t>
                </a:r>
              </a:p>
            </c:rich>
          </c:tx>
          <c:overlay val="0"/>
        </c:title>
        <c:numFmt formatCode="0.00" sourceLinked="1"/>
        <c:majorTickMark val="out"/>
        <c:minorTickMark val="none"/>
        <c:tickLblPos val="nextTo"/>
        <c:crossAx val="71444827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Poten  Residual Plot</a:t>
            </a:r>
          </a:p>
        </c:rich>
      </c:tx>
      <c:overlay val="0"/>
    </c:title>
    <c:autoTitleDeleted val="0"/>
    <c:plotArea>
      <c:layout/>
      <c:scatterChart>
        <c:scatterStyle val="lineMarker"/>
        <c:varyColors val="0"/>
        <c:ser>
          <c:idx val="0"/>
          <c:order val="0"/>
          <c:spPr>
            <a:ln w="19050">
              <a:noFill/>
            </a:ln>
          </c:spPr>
          <c:xVal>
            <c:numRef>
              <c:f>'rstudio forward select model'!$D$2:$D$26</c:f>
              <c:numCache>
                <c:formatCode>General</c:formatCode>
                <c:ptCount val="25"/>
                <c:pt idx="0">
                  <c:v>74065.100000000006</c:v>
                </c:pt>
                <c:pt idx="1">
                  <c:v>58117.3</c:v>
                </c:pt>
                <c:pt idx="2">
                  <c:v>21118.5</c:v>
                </c:pt>
                <c:pt idx="3">
                  <c:v>68521.3</c:v>
                </c:pt>
                <c:pt idx="4">
                  <c:v>57805.1</c:v>
                </c:pt>
                <c:pt idx="5">
                  <c:v>37806.9</c:v>
                </c:pt>
                <c:pt idx="6">
                  <c:v>50935.3</c:v>
                </c:pt>
                <c:pt idx="7">
                  <c:v>35602.1</c:v>
                </c:pt>
                <c:pt idx="8">
                  <c:v>46176.800000000003</c:v>
                </c:pt>
                <c:pt idx="9">
                  <c:v>42053.2</c:v>
                </c:pt>
                <c:pt idx="10">
                  <c:v>36829.699999999997</c:v>
                </c:pt>
                <c:pt idx="11">
                  <c:v>33612.699999999997</c:v>
                </c:pt>
                <c:pt idx="12">
                  <c:v>21412.799999999999</c:v>
                </c:pt>
                <c:pt idx="13">
                  <c:v>20416.900000000001</c:v>
                </c:pt>
                <c:pt idx="14">
                  <c:v>36272</c:v>
                </c:pt>
                <c:pt idx="15">
                  <c:v>23093.3</c:v>
                </c:pt>
                <c:pt idx="16">
                  <c:v>26878.6</c:v>
                </c:pt>
                <c:pt idx="17">
                  <c:v>39572</c:v>
                </c:pt>
                <c:pt idx="18">
                  <c:v>51866.1</c:v>
                </c:pt>
                <c:pt idx="19">
                  <c:v>58749.8</c:v>
                </c:pt>
                <c:pt idx="20">
                  <c:v>23990.799999999999</c:v>
                </c:pt>
                <c:pt idx="21">
                  <c:v>25694.9</c:v>
                </c:pt>
                <c:pt idx="22">
                  <c:v>23736.3</c:v>
                </c:pt>
                <c:pt idx="23">
                  <c:v>34314.300000000003</c:v>
                </c:pt>
                <c:pt idx="24">
                  <c:v>22809.5</c:v>
                </c:pt>
              </c:numCache>
            </c:numRef>
          </c:xVal>
          <c:yVal>
            <c:numRef>
              <c:f>'rstudio forward select model'!$C$57:$C$81</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1-BA3D-4813-ADF5-69869019F36C}"/>
            </c:ext>
          </c:extLst>
        </c:ser>
        <c:dLbls>
          <c:showLegendKey val="0"/>
          <c:showVal val="0"/>
          <c:showCatName val="0"/>
          <c:showSerName val="0"/>
          <c:showPercent val="0"/>
          <c:showBubbleSize val="0"/>
        </c:dLbls>
        <c:axId val="726688495"/>
        <c:axId val="730304239"/>
      </c:scatterChart>
      <c:valAx>
        <c:axId val="726688495"/>
        <c:scaling>
          <c:orientation val="minMax"/>
        </c:scaling>
        <c:delete val="0"/>
        <c:axPos val="b"/>
        <c:title>
          <c:tx>
            <c:rich>
              <a:bodyPr/>
              <a:lstStyle/>
              <a:p>
                <a:pPr>
                  <a:defRPr/>
                </a:pPr>
                <a:r>
                  <a:rPr lang="en-US"/>
                  <a:t>Poten</a:t>
                </a:r>
              </a:p>
            </c:rich>
          </c:tx>
          <c:overlay val="0"/>
        </c:title>
        <c:numFmt formatCode="General" sourceLinked="1"/>
        <c:majorTickMark val="out"/>
        <c:minorTickMark val="none"/>
        <c:tickLblPos val="nextTo"/>
        <c:crossAx val="730304239"/>
        <c:crosses val="autoZero"/>
        <c:crossBetween val="midCat"/>
      </c:valAx>
      <c:valAx>
        <c:axId val="730304239"/>
        <c:scaling>
          <c:orientation val="minMax"/>
        </c:scaling>
        <c:delete val="0"/>
        <c:axPos val="l"/>
        <c:title>
          <c:tx>
            <c:rich>
              <a:bodyPr/>
              <a:lstStyle/>
              <a:p>
                <a:pPr>
                  <a:defRPr/>
                </a:pPr>
                <a:r>
                  <a:rPr lang="en-US"/>
                  <a:t>Residuals</a:t>
                </a:r>
              </a:p>
            </c:rich>
          </c:tx>
          <c:overlay val="0"/>
        </c:title>
        <c:numFmt formatCode="0.00" sourceLinked="1"/>
        <c:majorTickMark val="out"/>
        <c:minorTickMark val="none"/>
        <c:tickLblPos val="nextTo"/>
        <c:crossAx val="72668849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Share  Residual Plot</a:t>
            </a:r>
          </a:p>
        </c:rich>
      </c:tx>
      <c:overlay val="0"/>
    </c:title>
    <c:autoTitleDeleted val="0"/>
    <c:plotArea>
      <c:layout/>
      <c:scatterChart>
        <c:scatterStyle val="lineMarker"/>
        <c:varyColors val="0"/>
        <c:ser>
          <c:idx val="0"/>
          <c:order val="0"/>
          <c:spPr>
            <a:ln w="19050">
              <a:noFill/>
            </a:ln>
          </c:spPr>
          <c:xVal>
            <c:numRef>
              <c:f>'rstudio forward select model'!$E$2:$E$26</c:f>
              <c:numCache>
                <c:formatCode>General</c:formatCode>
                <c:ptCount val="25"/>
                <c:pt idx="0">
                  <c:v>2.5099999999999998</c:v>
                </c:pt>
                <c:pt idx="1">
                  <c:v>5.51</c:v>
                </c:pt>
                <c:pt idx="2">
                  <c:v>10.91</c:v>
                </c:pt>
                <c:pt idx="3">
                  <c:v>8.27</c:v>
                </c:pt>
                <c:pt idx="4">
                  <c:v>9.15</c:v>
                </c:pt>
                <c:pt idx="5">
                  <c:v>5.51</c:v>
                </c:pt>
                <c:pt idx="6">
                  <c:v>8.5399999999999991</c:v>
                </c:pt>
                <c:pt idx="7">
                  <c:v>7.07</c:v>
                </c:pt>
                <c:pt idx="8">
                  <c:v>12.54</c:v>
                </c:pt>
                <c:pt idx="9">
                  <c:v>8.85</c:v>
                </c:pt>
                <c:pt idx="10">
                  <c:v>5.38</c:v>
                </c:pt>
                <c:pt idx="11">
                  <c:v>5.43</c:v>
                </c:pt>
                <c:pt idx="12">
                  <c:v>8.48</c:v>
                </c:pt>
                <c:pt idx="13">
                  <c:v>7.8</c:v>
                </c:pt>
                <c:pt idx="14">
                  <c:v>10.34</c:v>
                </c:pt>
                <c:pt idx="15">
                  <c:v>5.15</c:v>
                </c:pt>
                <c:pt idx="16">
                  <c:v>6.64</c:v>
                </c:pt>
                <c:pt idx="17">
                  <c:v>5.45</c:v>
                </c:pt>
                <c:pt idx="18">
                  <c:v>6.31</c:v>
                </c:pt>
                <c:pt idx="19">
                  <c:v>6.35</c:v>
                </c:pt>
                <c:pt idx="20">
                  <c:v>7.37</c:v>
                </c:pt>
                <c:pt idx="21">
                  <c:v>8.39</c:v>
                </c:pt>
                <c:pt idx="22">
                  <c:v>5.15</c:v>
                </c:pt>
                <c:pt idx="23">
                  <c:v>12.88</c:v>
                </c:pt>
                <c:pt idx="24">
                  <c:v>9.14</c:v>
                </c:pt>
              </c:numCache>
            </c:numRef>
          </c:xVal>
          <c:yVal>
            <c:numRef>
              <c:f>'rstudio forward select model'!$C$57:$C$81</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1-A03B-4EF5-A070-4EF5B8E0BDDE}"/>
            </c:ext>
          </c:extLst>
        </c:ser>
        <c:dLbls>
          <c:showLegendKey val="0"/>
          <c:showVal val="0"/>
          <c:showCatName val="0"/>
          <c:showSerName val="0"/>
          <c:showPercent val="0"/>
          <c:showBubbleSize val="0"/>
        </c:dLbls>
        <c:axId val="726689423"/>
        <c:axId val="730304719"/>
      </c:scatterChart>
      <c:valAx>
        <c:axId val="726689423"/>
        <c:scaling>
          <c:orientation val="minMax"/>
        </c:scaling>
        <c:delete val="0"/>
        <c:axPos val="b"/>
        <c:title>
          <c:tx>
            <c:rich>
              <a:bodyPr/>
              <a:lstStyle/>
              <a:p>
                <a:pPr>
                  <a:defRPr/>
                </a:pPr>
                <a:r>
                  <a:rPr lang="en-US"/>
                  <a:t>Share</a:t>
                </a:r>
              </a:p>
            </c:rich>
          </c:tx>
          <c:overlay val="0"/>
        </c:title>
        <c:numFmt formatCode="General" sourceLinked="1"/>
        <c:majorTickMark val="out"/>
        <c:minorTickMark val="none"/>
        <c:tickLblPos val="nextTo"/>
        <c:crossAx val="730304719"/>
        <c:crosses val="autoZero"/>
        <c:crossBetween val="midCat"/>
      </c:valAx>
      <c:valAx>
        <c:axId val="730304719"/>
        <c:scaling>
          <c:orientation val="minMax"/>
        </c:scaling>
        <c:delete val="0"/>
        <c:axPos val="l"/>
        <c:title>
          <c:tx>
            <c:rich>
              <a:bodyPr/>
              <a:lstStyle/>
              <a:p>
                <a:pPr>
                  <a:defRPr/>
                </a:pPr>
                <a:r>
                  <a:rPr lang="en-US"/>
                  <a:t>Residuals</a:t>
                </a:r>
              </a:p>
            </c:rich>
          </c:tx>
          <c:overlay val="0"/>
        </c:title>
        <c:numFmt formatCode="0.00" sourceLinked="1"/>
        <c:majorTickMark val="out"/>
        <c:minorTickMark val="none"/>
        <c:tickLblPos val="nextTo"/>
        <c:crossAx val="7266894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Time  Residual Plot</a:t>
            </a:r>
          </a:p>
        </c:rich>
      </c:tx>
      <c:overlay val="0"/>
    </c:title>
    <c:autoTitleDeleted val="0"/>
    <c:plotArea>
      <c:layout/>
      <c:scatterChart>
        <c:scatterStyle val="lineMarker"/>
        <c:varyColors val="0"/>
        <c:ser>
          <c:idx val="0"/>
          <c:order val="0"/>
          <c:spPr>
            <a:ln w="19050">
              <a:noFill/>
            </a:ln>
          </c:spPr>
          <c:xVal>
            <c:numRef>
              <c:f>'rstudio forward select model'!$F$2:$F$26</c:f>
              <c:numCache>
                <c:formatCode>General</c:formatCode>
                <c:ptCount val="25"/>
                <c:pt idx="0">
                  <c:v>43.1</c:v>
                </c:pt>
                <c:pt idx="1">
                  <c:v>108.13</c:v>
                </c:pt>
                <c:pt idx="2">
                  <c:v>13.82</c:v>
                </c:pt>
                <c:pt idx="3">
                  <c:v>186.18</c:v>
                </c:pt>
                <c:pt idx="4">
                  <c:v>161.79</c:v>
                </c:pt>
                <c:pt idx="5">
                  <c:v>8.94</c:v>
                </c:pt>
                <c:pt idx="6">
                  <c:v>365.04</c:v>
                </c:pt>
                <c:pt idx="7">
                  <c:v>220.32</c:v>
                </c:pt>
                <c:pt idx="8">
                  <c:v>127.64</c:v>
                </c:pt>
                <c:pt idx="9">
                  <c:v>105.69</c:v>
                </c:pt>
                <c:pt idx="10">
                  <c:v>57.72</c:v>
                </c:pt>
                <c:pt idx="11">
                  <c:v>23.58</c:v>
                </c:pt>
                <c:pt idx="12">
                  <c:v>13.82</c:v>
                </c:pt>
                <c:pt idx="13">
                  <c:v>13.82</c:v>
                </c:pt>
                <c:pt idx="14">
                  <c:v>86.99</c:v>
                </c:pt>
                <c:pt idx="15">
                  <c:v>165.85</c:v>
                </c:pt>
                <c:pt idx="16">
                  <c:v>116.26</c:v>
                </c:pt>
                <c:pt idx="17">
                  <c:v>42.28</c:v>
                </c:pt>
                <c:pt idx="18">
                  <c:v>52.84</c:v>
                </c:pt>
                <c:pt idx="19">
                  <c:v>165.04</c:v>
                </c:pt>
                <c:pt idx="20">
                  <c:v>10.57</c:v>
                </c:pt>
                <c:pt idx="21">
                  <c:v>13.82</c:v>
                </c:pt>
                <c:pt idx="22">
                  <c:v>8.1300000000000008</c:v>
                </c:pt>
                <c:pt idx="23">
                  <c:v>58.44</c:v>
                </c:pt>
                <c:pt idx="24">
                  <c:v>21.14</c:v>
                </c:pt>
              </c:numCache>
            </c:numRef>
          </c:xVal>
          <c:yVal>
            <c:numRef>
              <c:f>'rstudio forward select model'!$C$57:$C$81</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1-F300-411A-8B40-59727CD0633A}"/>
            </c:ext>
          </c:extLst>
        </c:ser>
        <c:dLbls>
          <c:showLegendKey val="0"/>
          <c:showVal val="0"/>
          <c:showCatName val="0"/>
          <c:showSerName val="0"/>
          <c:showPercent val="0"/>
          <c:showBubbleSize val="0"/>
        </c:dLbls>
        <c:axId val="727338895"/>
        <c:axId val="730309999"/>
      </c:scatterChart>
      <c:valAx>
        <c:axId val="727338895"/>
        <c:scaling>
          <c:orientation val="minMax"/>
        </c:scaling>
        <c:delete val="0"/>
        <c:axPos val="b"/>
        <c:title>
          <c:tx>
            <c:rich>
              <a:bodyPr/>
              <a:lstStyle/>
              <a:p>
                <a:pPr>
                  <a:defRPr/>
                </a:pPr>
                <a:r>
                  <a:rPr lang="en-US"/>
                  <a:t>Time</a:t>
                </a:r>
              </a:p>
            </c:rich>
          </c:tx>
          <c:overlay val="0"/>
        </c:title>
        <c:numFmt formatCode="General" sourceLinked="1"/>
        <c:majorTickMark val="out"/>
        <c:minorTickMark val="none"/>
        <c:tickLblPos val="nextTo"/>
        <c:crossAx val="730309999"/>
        <c:crosses val="autoZero"/>
        <c:crossBetween val="midCat"/>
      </c:valAx>
      <c:valAx>
        <c:axId val="730309999"/>
        <c:scaling>
          <c:orientation val="minMax"/>
        </c:scaling>
        <c:delete val="0"/>
        <c:axPos val="l"/>
        <c:title>
          <c:tx>
            <c:rich>
              <a:bodyPr/>
              <a:lstStyle/>
              <a:p>
                <a:pPr>
                  <a:defRPr/>
                </a:pPr>
                <a:r>
                  <a:rPr lang="en-US"/>
                  <a:t>Residuals</a:t>
                </a:r>
              </a:p>
            </c:rich>
          </c:tx>
          <c:overlay val="0"/>
        </c:title>
        <c:numFmt formatCode="0.00" sourceLinked="1"/>
        <c:majorTickMark val="out"/>
        <c:minorTickMark val="none"/>
        <c:tickLblPos val="nextTo"/>
        <c:crossAx val="72733889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  Residual Plot</a:t>
            </a:r>
          </a:p>
        </c:rich>
      </c:tx>
      <c:overlay val="0"/>
    </c:title>
    <c:autoTitleDeleted val="0"/>
    <c:plotArea>
      <c:layout/>
      <c:scatterChart>
        <c:scatterStyle val="lineMarker"/>
        <c:varyColors val="0"/>
        <c:ser>
          <c:idx val="0"/>
          <c:order val="0"/>
          <c:spPr>
            <a:ln w="19050">
              <a:noFill/>
            </a:ln>
          </c:spPr>
          <c:xVal>
            <c:numRef>
              <c:f>'rstudio forward select model'!$G$2:$G$26</c:f>
              <c:numCache>
                <c:formatCode>General</c:formatCode>
                <c:ptCount val="25"/>
                <c:pt idx="0">
                  <c:v>0.34</c:v>
                </c:pt>
                <c:pt idx="1">
                  <c:v>0.15</c:v>
                </c:pt>
                <c:pt idx="2">
                  <c:v>-0.72</c:v>
                </c:pt>
                <c:pt idx="3">
                  <c:v>0.17</c:v>
                </c:pt>
                <c:pt idx="4">
                  <c:v>0.5</c:v>
                </c:pt>
                <c:pt idx="5">
                  <c:v>0.15</c:v>
                </c:pt>
                <c:pt idx="6">
                  <c:v>0.55000000000000004</c:v>
                </c:pt>
                <c:pt idx="7">
                  <c:v>-0.49</c:v>
                </c:pt>
                <c:pt idx="8">
                  <c:v>1.24</c:v>
                </c:pt>
                <c:pt idx="9">
                  <c:v>0.31</c:v>
                </c:pt>
                <c:pt idx="10">
                  <c:v>0.37</c:v>
                </c:pt>
                <c:pt idx="11">
                  <c:v>-0.65</c:v>
                </c:pt>
                <c:pt idx="12">
                  <c:v>0.64</c:v>
                </c:pt>
                <c:pt idx="13">
                  <c:v>1.01</c:v>
                </c:pt>
                <c:pt idx="14">
                  <c:v>0.11</c:v>
                </c:pt>
                <c:pt idx="15">
                  <c:v>0.04</c:v>
                </c:pt>
                <c:pt idx="16">
                  <c:v>0.68</c:v>
                </c:pt>
                <c:pt idx="17">
                  <c:v>0.66</c:v>
                </c:pt>
                <c:pt idx="18">
                  <c:v>-0.1</c:v>
                </c:pt>
                <c:pt idx="19">
                  <c:v>-0.03</c:v>
                </c:pt>
                <c:pt idx="20">
                  <c:v>-1.63</c:v>
                </c:pt>
                <c:pt idx="21">
                  <c:v>-0.43</c:v>
                </c:pt>
                <c:pt idx="22">
                  <c:v>0.04</c:v>
                </c:pt>
                <c:pt idx="23">
                  <c:v>0.22</c:v>
                </c:pt>
                <c:pt idx="24">
                  <c:v>-0.74</c:v>
                </c:pt>
              </c:numCache>
            </c:numRef>
          </c:xVal>
          <c:yVal>
            <c:numRef>
              <c:f>'rstudio forward select model'!$C$57:$C$81</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1-316D-4625-9C49-CBA9B7192FC7}"/>
            </c:ext>
          </c:extLst>
        </c:ser>
        <c:dLbls>
          <c:showLegendKey val="0"/>
          <c:showVal val="0"/>
          <c:showCatName val="0"/>
          <c:showSerName val="0"/>
          <c:showPercent val="0"/>
          <c:showBubbleSize val="0"/>
        </c:dLbls>
        <c:axId val="727338895"/>
        <c:axId val="730309519"/>
      </c:scatterChart>
      <c:valAx>
        <c:axId val="727338895"/>
        <c:scaling>
          <c:orientation val="minMax"/>
        </c:scaling>
        <c:delete val="0"/>
        <c:axPos val="b"/>
        <c:title>
          <c:tx>
            <c:rich>
              <a:bodyPr/>
              <a:lstStyle/>
              <a:p>
                <a:pPr>
                  <a:defRPr/>
                </a:pPr>
                <a:r>
                  <a:rPr lang="en-US"/>
                  <a:t>Change</a:t>
                </a:r>
              </a:p>
            </c:rich>
          </c:tx>
          <c:overlay val="0"/>
        </c:title>
        <c:numFmt formatCode="General" sourceLinked="1"/>
        <c:majorTickMark val="out"/>
        <c:minorTickMark val="none"/>
        <c:tickLblPos val="nextTo"/>
        <c:crossAx val="730309519"/>
        <c:crosses val="autoZero"/>
        <c:crossBetween val="midCat"/>
      </c:valAx>
      <c:valAx>
        <c:axId val="730309519"/>
        <c:scaling>
          <c:orientation val="minMax"/>
        </c:scaling>
        <c:delete val="0"/>
        <c:axPos val="l"/>
        <c:title>
          <c:tx>
            <c:rich>
              <a:bodyPr/>
              <a:lstStyle/>
              <a:p>
                <a:pPr>
                  <a:defRPr/>
                </a:pPr>
                <a:r>
                  <a:rPr lang="en-US"/>
                  <a:t>Residuals</a:t>
                </a:r>
              </a:p>
            </c:rich>
          </c:tx>
          <c:overlay val="0"/>
        </c:title>
        <c:numFmt formatCode="0.00" sourceLinked="1"/>
        <c:majorTickMark val="out"/>
        <c:minorTickMark val="none"/>
        <c:tickLblPos val="nextTo"/>
        <c:crossAx val="72733889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Accounts Line Fit  Plot</a:t>
            </a:r>
          </a:p>
        </c:rich>
      </c:tx>
      <c:overlay val="0"/>
    </c:title>
    <c:autoTitleDeleted val="0"/>
    <c:plotArea>
      <c:layout/>
      <c:scatterChart>
        <c:scatterStyle val="lineMarker"/>
        <c:varyColors val="0"/>
        <c:ser>
          <c:idx val="0"/>
          <c:order val="0"/>
          <c:tx>
            <c:v>Sales</c:v>
          </c:tx>
          <c:spPr>
            <a:ln w="19050">
              <a:noFill/>
            </a:ln>
          </c:spPr>
          <c:xVal>
            <c:numRef>
              <c:f>'rstudio forward select model'!$B$2:$B$26</c:f>
              <c:numCache>
                <c:formatCode>General</c:formatCode>
                <c:ptCount val="25"/>
                <c:pt idx="0">
                  <c:v>74.86</c:v>
                </c:pt>
                <c:pt idx="1">
                  <c:v>107.32</c:v>
                </c:pt>
                <c:pt idx="2">
                  <c:v>96.75</c:v>
                </c:pt>
                <c:pt idx="3">
                  <c:v>195.12</c:v>
                </c:pt>
                <c:pt idx="4">
                  <c:v>180.44</c:v>
                </c:pt>
                <c:pt idx="5">
                  <c:v>104.88</c:v>
                </c:pt>
                <c:pt idx="6">
                  <c:v>256.10000000000002</c:v>
                </c:pt>
                <c:pt idx="7">
                  <c:v>126.83</c:v>
                </c:pt>
                <c:pt idx="8">
                  <c:v>203.25</c:v>
                </c:pt>
                <c:pt idx="9">
                  <c:v>119.51</c:v>
                </c:pt>
                <c:pt idx="10">
                  <c:v>116.26</c:v>
                </c:pt>
                <c:pt idx="11">
                  <c:v>142.28</c:v>
                </c:pt>
                <c:pt idx="12">
                  <c:v>89.43</c:v>
                </c:pt>
                <c:pt idx="13">
                  <c:v>84.55</c:v>
                </c:pt>
                <c:pt idx="14">
                  <c:v>119.51</c:v>
                </c:pt>
                <c:pt idx="15">
                  <c:v>80.489999999999995</c:v>
                </c:pt>
                <c:pt idx="16">
                  <c:v>136.58000000000001</c:v>
                </c:pt>
                <c:pt idx="17">
                  <c:v>78.86</c:v>
                </c:pt>
                <c:pt idx="18">
                  <c:v>136.58000000000001</c:v>
                </c:pt>
                <c:pt idx="19">
                  <c:v>138.21</c:v>
                </c:pt>
                <c:pt idx="20">
                  <c:v>75.61</c:v>
                </c:pt>
                <c:pt idx="21">
                  <c:v>102.44</c:v>
                </c:pt>
                <c:pt idx="22">
                  <c:v>76.42</c:v>
                </c:pt>
                <c:pt idx="23">
                  <c:v>136.58000000000001</c:v>
                </c:pt>
                <c:pt idx="24">
                  <c:v>88.62</c:v>
                </c:pt>
              </c:numCache>
            </c:numRef>
          </c:xVal>
          <c:yVal>
            <c:numRef>
              <c:f>'rstudio forward select model'!$A$2:$A$26</c:f>
              <c:numCache>
                <c:formatCode>General</c:formatCode>
                <c:ptCount val="25"/>
                <c:pt idx="0">
                  <c:v>3669.88</c:v>
                </c:pt>
                <c:pt idx="1">
                  <c:v>3473.95</c:v>
                </c:pt>
                <c:pt idx="2">
                  <c:v>2295.1</c:v>
                </c:pt>
                <c:pt idx="3">
                  <c:v>4675.5600000000004</c:v>
                </c:pt>
                <c:pt idx="4">
                  <c:v>6125.96</c:v>
                </c:pt>
                <c:pt idx="5">
                  <c:v>2134.94</c:v>
                </c:pt>
                <c:pt idx="6">
                  <c:v>5031.66</c:v>
                </c:pt>
                <c:pt idx="7">
                  <c:v>3367.45</c:v>
                </c:pt>
                <c:pt idx="8">
                  <c:v>6519.45</c:v>
                </c:pt>
                <c:pt idx="9">
                  <c:v>4876.37</c:v>
                </c:pt>
                <c:pt idx="10">
                  <c:v>2468.27</c:v>
                </c:pt>
                <c:pt idx="11">
                  <c:v>2533.31</c:v>
                </c:pt>
                <c:pt idx="12">
                  <c:v>2408.11</c:v>
                </c:pt>
                <c:pt idx="13">
                  <c:v>2337.38</c:v>
                </c:pt>
                <c:pt idx="14">
                  <c:v>4586.95</c:v>
                </c:pt>
                <c:pt idx="15">
                  <c:v>2729.24</c:v>
                </c:pt>
                <c:pt idx="16">
                  <c:v>3289.4</c:v>
                </c:pt>
                <c:pt idx="17">
                  <c:v>2800.78</c:v>
                </c:pt>
                <c:pt idx="18">
                  <c:v>3264.2</c:v>
                </c:pt>
                <c:pt idx="19">
                  <c:v>3453.62</c:v>
                </c:pt>
                <c:pt idx="20">
                  <c:v>1741.45</c:v>
                </c:pt>
                <c:pt idx="21">
                  <c:v>2035.75</c:v>
                </c:pt>
                <c:pt idx="22">
                  <c:v>1578</c:v>
                </c:pt>
                <c:pt idx="23">
                  <c:v>4167.4399999999996</c:v>
                </c:pt>
                <c:pt idx="24">
                  <c:v>2799.97</c:v>
                </c:pt>
              </c:numCache>
            </c:numRef>
          </c:yVal>
          <c:smooth val="0"/>
          <c:extLst>
            <c:ext xmlns:c16="http://schemas.microsoft.com/office/drawing/2014/chart" uri="{C3380CC4-5D6E-409C-BE32-E72D297353CC}">
              <c16:uniqueId val="{00000001-AD1C-4751-8514-51EFA61C6143}"/>
            </c:ext>
          </c:extLst>
        </c:ser>
        <c:ser>
          <c:idx val="1"/>
          <c:order val="1"/>
          <c:tx>
            <c:v>Predicted Sales</c:v>
          </c:tx>
          <c:spPr>
            <a:ln w="19050">
              <a:noFill/>
            </a:ln>
          </c:spPr>
          <c:xVal>
            <c:numRef>
              <c:f>'rstudio forward select model'!$B$2:$B$26</c:f>
              <c:numCache>
                <c:formatCode>General</c:formatCode>
                <c:ptCount val="25"/>
                <c:pt idx="0">
                  <c:v>74.86</c:v>
                </c:pt>
                <c:pt idx="1">
                  <c:v>107.32</c:v>
                </c:pt>
                <c:pt idx="2">
                  <c:v>96.75</c:v>
                </c:pt>
                <c:pt idx="3">
                  <c:v>195.12</c:v>
                </c:pt>
                <c:pt idx="4">
                  <c:v>180.44</c:v>
                </c:pt>
                <c:pt idx="5">
                  <c:v>104.88</c:v>
                </c:pt>
                <c:pt idx="6">
                  <c:v>256.10000000000002</c:v>
                </c:pt>
                <c:pt idx="7">
                  <c:v>126.83</c:v>
                </c:pt>
                <c:pt idx="8">
                  <c:v>203.25</c:v>
                </c:pt>
                <c:pt idx="9">
                  <c:v>119.51</c:v>
                </c:pt>
                <c:pt idx="10">
                  <c:v>116.26</c:v>
                </c:pt>
                <c:pt idx="11">
                  <c:v>142.28</c:v>
                </c:pt>
                <c:pt idx="12">
                  <c:v>89.43</c:v>
                </c:pt>
                <c:pt idx="13">
                  <c:v>84.55</c:v>
                </c:pt>
                <c:pt idx="14">
                  <c:v>119.51</c:v>
                </c:pt>
                <c:pt idx="15">
                  <c:v>80.489999999999995</c:v>
                </c:pt>
                <c:pt idx="16">
                  <c:v>136.58000000000001</c:v>
                </c:pt>
                <c:pt idx="17">
                  <c:v>78.86</c:v>
                </c:pt>
                <c:pt idx="18">
                  <c:v>136.58000000000001</c:v>
                </c:pt>
                <c:pt idx="19">
                  <c:v>138.21</c:v>
                </c:pt>
                <c:pt idx="20">
                  <c:v>75.61</c:v>
                </c:pt>
                <c:pt idx="21">
                  <c:v>102.44</c:v>
                </c:pt>
                <c:pt idx="22">
                  <c:v>76.42</c:v>
                </c:pt>
                <c:pt idx="23">
                  <c:v>136.58000000000001</c:v>
                </c:pt>
                <c:pt idx="24">
                  <c:v>88.62</c:v>
                </c:pt>
              </c:numCache>
            </c:numRef>
          </c:xVal>
          <c:y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yVal>
          <c:smooth val="0"/>
          <c:extLst>
            <c:ext xmlns:c16="http://schemas.microsoft.com/office/drawing/2014/chart" uri="{C3380CC4-5D6E-409C-BE32-E72D297353CC}">
              <c16:uniqueId val="{00000002-AD1C-4751-8514-51EFA61C6143}"/>
            </c:ext>
          </c:extLst>
        </c:ser>
        <c:dLbls>
          <c:showLegendKey val="0"/>
          <c:showVal val="0"/>
          <c:showCatName val="0"/>
          <c:showSerName val="0"/>
          <c:showPercent val="0"/>
          <c:showBubbleSize val="0"/>
        </c:dLbls>
        <c:axId val="729306159"/>
        <c:axId val="724755695"/>
      </c:scatterChart>
      <c:valAx>
        <c:axId val="729306159"/>
        <c:scaling>
          <c:orientation val="minMax"/>
        </c:scaling>
        <c:delete val="0"/>
        <c:axPos val="b"/>
        <c:title>
          <c:tx>
            <c:rich>
              <a:bodyPr/>
              <a:lstStyle/>
              <a:p>
                <a:pPr>
                  <a:defRPr/>
                </a:pPr>
                <a:r>
                  <a:rPr lang="en-US"/>
                  <a:t>Accounts</a:t>
                </a:r>
              </a:p>
            </c:rich>
          </c:tx>
          <c:overlay val="0"/>
        </c:title>
        <c:numFmt formatCode="General" sourceLinked="1"/>
        <c:majorTickMark val="out"/>
        <c:minorTickMark val="none"/>
        <c:tickLblPos val="nextTo"/>
        <c:crossAx val="724755695"/>
        <c:crosses val="autoZero"/>
        <c:crossBetween val="midCat"/>
      </c:valAx>
      <c:valAx>
        <c:axId val="724755695"/>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72930615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AdvExp Line Fit  Plot</a:t>
            </a:r>
          </a:p>
        </c:rich>
      </c:tx>
      <c:overlay val="0"/>
    </c:title>
    <c:autoTitleDeleted val="0"/>
    <c:plotArea>
      <c:layout/>
      <c:scatterChart>
        <c:scatterStyle val="lineMarker"/>
        <c:varyColors val="0"/>
        <c:ser>
          <c:idx val="0"/>
          <c:order val="0"/>
          <c:tx>
            <c:v>Sales</c:v>
          </c:tx>
          <c:spPr>
            <a:ln w="19050">
              <a:noFill/>
            </a:ln>
          </c:spPr>
          <c:xVal>
            <c:numRef>
              <c:f>'rstudio forward select model'!$C$2:$C$26</c:f>
              <c:numCache>
                <c:formatCode>General</c:formatCode>
                <c:ptCount val="25"/>
                <c:pt idx="0">
                  <c:v>4582.8999999999996</c:v>
                </c:pt>
                <c:pt idx="1">
                  <c:v>5539.8</c:v>
                </c:pt>
                <c:pt idx="2">
                  <c:v>2950.4</c:v>
                </c:pt>
                <c:pt idx="3">
                  <c:v>2243.1</c:v>
                </c:pt>
                <c:pt idx="4">
                  <c:v>7747.1</c:v>
                </c:pt>
                <c:pt idx="5">
                  <c:v>402.4</c:v>
                </c:pt>
                <c:pt idx="6">
                  <c:v>3140.6</c:v>
                </c:pt>
                <c:pt idx="7">
                  <c:v>2086.1999999999998</c:v>
                </c:pt>
                <c:pt idx="8">
                  <c:v>8846.2000000000007</c:v>
                </c:pt>
                <c:pt idx="9">
                  <c:v>5673.1</c:v>
                </c:pt>
                <c:pt idx="10">
                  <c:v>2761.8</c:v>
                </c:pt>
                <c:pt idx="11">
                  <c:v>1991.8</c:v>
                </c:pt>
                <c:pt idx="12">
                  <c:v>1971.5</c:v>
                </c:pt>
                <c:pt idx="13">
                  <c:v>1737.4</c:v>
                </c:pt>
                <c:pt idx="14">
                  <c:v>10694.2</c:v>
                </c:pt>
                <c:pt idx="15">
                  <c:v>8618.6</c:v>
                </c:pt>
                <c:pt idx="16">
                  <c:v>7747.9</c:v>
                </c:pt>
                <c:pt idx="17">
                  <c:v>4565.8</c:v>
                </c:pt>
                <c:pt idx="18">
                  <c:v>6022.7</c:v>
                </c:pt>
                <c:pt idx="19">
                  <c:v>3721.1</c:v>
                </c:pt>
                <c:pt idx="20">
                  <c:v>861</c:v>
                </c:pt>
                <c:pt idx="21">
                  <c:v>3571.5</c:v>
                </c:pt>
                <c:pt idx="22">
                  <c:v>2845.5</c:v>
                </c:pt>
                <c:pt idx="23">
                  <c:v>5060.1000000000004</c:v>
                </c:pt>
                <c:pt idx="24">
                  <c:v>3552</c:v>
                </c:pt>
              </c:numCache>
            </c:numRef>
          </c:xVal>
          <c:yVal>
            <c:numRef>
              <c:f>'rstudio forward select model'!$A$2:$A$26</c:f>
              <c:numCache>
                <c:formatCode>General</c:formatCode>
                <c:ptCount val="25"/>
                <c:pt idx="0">
                  <c:v>3669.88</c:v>
                </c:pt>
                <c:pt idx="1">
                  <c:v>3473.95</c:v>
                </c:pt>
                <c:pt idx="2">
                  <c:v>2295.1</c:v>
                </c:pt>
                <c:pt idx="3">
                  <c:v>4675.5600000000004</c:v>
                </c:pt>
                <c:pt idx="4">
                  <c:v>6125.96</c:v>
                </c:pt>
                <c:pt idx="5">
                  <c:v>2134.94</c:v>
                </c:pt>
                <c:pt idx="6">
                  <c:v>5031.66</c:v>
                </c:pt>
                <c:pt idx="7">
                  <c:v>3367.45</c:v>
                </c:pt>
                <c:pt idx="8">
                  <c:v>6519.45</c:v>
                </c:pt>
                <c:pt idx="9">
                  <c:v>4876.37</c:v>
                </c:pt>
                <c:pt idx="10">
                  <c:v>2468.27</c:v>
                </c:pt>
                <c:pt idx="11">
                  <c:v>2533.31</c:v>
                </c:pt>
                <c:pt idx="12">
                  <c:v>2408.11</c:v>
                </c:pt>
                <c:pt idx="13">
                  <c:v>2337.38</c:v>
                </c:pt>
                <c:pt idx="14">
                  <c:v>4586.95</c:v>
                </c:pt>
                <c:pt idx="15">
                  <c:v>2729.24</c:v>
                </c:pt>
                <c:pt idx="16">
                  <c:v>3289.4</c:v>
                </c:pt>
                <c:pt idx="17">
                  <c:v>2800.78</c:v>
                </c:pt>
                <c:pt idx="18">
                  <c:v>3264.2</c:v>
                </c:pt>
                <c:pt idx="19">
                  <c:v>3453.62</c:v>
                </c:pt>
                <c:pt idx="20">
                  <c:v>1741.45</c:v>
                </c:pt>
                <c:pt idx="21">
                  <c:v>2035.75</c:v>
                </c:pt>
                <c:pt idx="22">
                  <c:v>1578</c:v>
                </c:pt>
                <c:pt idx="23">
                  <c:v>4167.4399999999996</c:v>
                </c:pt>
                <c:pt idx="24">
                  <c:v>2799.97</c:v>
                </c:pt>
              </c:numCache>
            </c:numRef>
          </c:yVal>
          <c:smooth val="0"/>
          <c:extLst>
            <c:ext xmlns:c16="http://schemas.microsoft.com/office/drawing/2014/chart" uri="{C3380CC4-5D6E-409C-BE32-E72D297353CC}">
              <c16:uniqueId val="{00000001-7E06-4A0B-B8AF-66BBFEFA38EA}"/>
            </c:ext>
          </c:extLst>
        </c:ser>
        <c:ser>
          <c:idx val="1"/>
          <c:order val="1"/>
          <c:tx>
            <c:v>Predicted Sales</c:v>
          </c:tx>
          <c:spPr>
            <a:ln w="19050">
              <a:noFill/>
            </a:ln>
          </c:spPr>
          <c:xVal>
            <c:numRef>
              <c:f>'rstudio forward select model'!$C$2:$C$26</c:f>
              <c:numCache>
                <c:formatCode>General</c:formatCode>
                <c:ptCount val="25"/>
                <c:pt idx="0">
                  <c:v>4582.8999999999996</c:v>
                </c:pt>
                <c:pt idx="1">
                  <c:v>5539.8</c:v>
                </c:pt>
                <c:pt idx="2">
                  <c:v>2950.4</c:v>
                </c:pt>
                <c:pt idx="3">
                  <c:v>2243.1</c:v>
                </c:pt>
                <c:pt idx="4">
                  <c:v>7747.1</c:v>
                </c:pt>
                <c:pt idx="5">
                  <c:v>402.4</c:v>
                </c:pt>
                <c:pt idx="6">
                  <c:v>3140.6</c:v>
                </c:pt>
                <c:pt idx="7">
                  <c:v>2086.1999999999998</c:v>
                </c:pt>
                <c:pt idx="8">
                  <c:v>8846.2000000000007</c:v>
                </c:pt>
                <c:pt idx="9">
                  <c:v>5673.1</c:v>
                </c:pt>
                <c:pt idx="10">
                  <c:v>2761.8</c:v>
                </c:pt>
                <c:pt idx="11">
                  <c:v>1991.8</c:v>
                </c:pt>
                <c:pt idx="12">
                  <c:v>1971.5</c:v>
                </c:pt>
                <c:pt idx="13">
                  <c:v>1737.4</c:v>
                </c:pt>
                <c:pt idx="14">
                  <c:v>10694.2</c:v>
                </c:pt>
                <c:pt idx="15">
                  <c:v>8618.6</c:v>
                </c:pt>
                <c:pt idx="16">
                  <c:v>7747.9</c:v>
                </c:pt>
                <c:pt idx="17">
                  <c:v>4565.8</c:v>
                </c:pt>
                <c:pt idx="18">
                  <c:v>6022.7</c:v>
                </c:pt>
                <c:pt idx="19">
                  <c:v>3721.1</c:v>
                </c:pt>
                <c:pt idx="20">
                  <c:v>861</c:v>
                </c:pt>
                <c:pt idx="21">
                  <c:v>3571.5</c:v>
                </c:pt>
                <c:pt idx="22">
                  <c:v>2845.5</c:v>
                </c:pt>
                <c:pt idx="23">
                  <c:v>5060.1000000000004</c:v>
                </c:pt>
                <c:pt idx="24">
                  <c:v>3552</c:v>
                </c:pt>
              </c:numCache>
            </c:numRef>
          </c:xVal>
          <c:y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yVal>
          <c:smooth val="0"/>
          <c:extLst>
            <c:ext xmlns:c16="http://schemas.microsoft.com/office/drawing/2014/chart" uri="{C3380CC4-5D6E-409C-BE32-E72D297353CC}">
              <c16:uniqueId val="{00000002-7E06-4A0B-B8AF-66BBFEFA38EA}"/>
            </c:ext>
          </c:extLst>
        </c:ser>
        <c:dLbls>
          <c:showLegendKey val="0"/>
          <c:showVal val="0"/>
          <c:showCatName val="0"/>
          <c:showSerName val="0"/>
          <c:showPercent val="0"/>
          <c:showBubbleSize val="0"/>
        </c:dLbls>
        <c:axId val="723578831"/>
        <c:axId val="724756175"/>
      </c:scatterChart>
      <c:valAx>
        <c:axId val="723578831"/>
        <c:scaling>
          <c:orientation val="minMax"/>
        </c:scaling>
        <c:delete val="0"/>
        <c:axPos val="b"/>
        <c:title>
          <c:tx>
            <c:rich>
              <a:bodyPr/>
              <a:lstStyle/>
              <a:p>
                <a:pPr>
                  <a:defRPr/>
                </a:pPr>
                <a:r>
                  <a:rPr lang="en-US"/>
                  <a:t>AdvExp</a:t>
                </a:r>
              </a:p>
            </c:rich>
          </c:tx>
          <c:overlay val="0"/>
        </c:title>
        <c:numFmt formatCode="General" sourceLinked="1"/>
        <c:majorTickMark val="out"/>
        <c:minorTickMark val="none"/>
        <c:tickLblPos val="nextTo"/>
        <c:crossAx val="724756175"/>
        <c:crosses val="autoZero"/>
        <c:crossBetween val="midCat"/>
      </c:valAx>
      <c:valAx>
        <c:axId val="724756175"/>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7235788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Poten Line Fit  Plot</a:t>
            </a:r>
          </a:p>
        </c:rich>
      </c:tx>
      <c:overlay val="0"/>
    </c:title>
    <c:autoTitleDeleted val="0"/>
    <c:plotArea>
      <c:layout/>
      <c:scatterChart>
        <c:scatterStyle val="lineMarker"/>
        <c:varyColors val="0"/>
        <c:ser>
          <c:idx val="0"/>
          <c:order val="0"/>
          <c:tx>
            <c:v>Sales</c:v>
          </c:tx>
          <c:spPr>
            <a:ln w="19050">
              <a:noFill/>
            </a:ln>
          </c:spPr>
          <c:xVal>
            <c:numRef>
              <c:f>'rstudio forward select model'!$D$2:$D$26</c:f>
              <c:numCache>
                <c:formatCode>General</c:formatCode>
                <c:ptCount val="25"/>
                <c:pt idx="0">
                  <c:v>74065.100000000006</c:v>
                </c:pt>
                <c:pt idx="1">
                  <c:v>58117.3</c:v>
                </c:pt>
                <c:pt idx="2">
                  <c:v>21118.5</c:v>
                </c:pt>
                <c:pt idx="3">
                  <c:v>68521.3</c:v>
                </c:pt>
                <c:pt idx="4">
                  <c:v>57805.1</c:v>
                </c:pt>
                <c:pt idx="5">
                  <c:v>37806.9</c:v>
                </c:pt>
                <c:pt idx="6">
                  <c:v>50935.3</c:v>
                </c:pt>
                <c:pt idx="7">
                  <c:v>35602.1</c:v>
                </c:pt>
                <c:pt idx="8">
                  <c:v>46176.800000000003</c:v>
                </c:pt>
                <c:pt idx="9">
                  <c:v>42053.2</c:v>
                </c:pt>
                <c:pt idx="10">
                  <c:v>36829.699999999997</c:v>
                </c:pt>
                <c:pt idx="11">
                  <c:v>33612.699999999997</c:v>
                </c:pt>
                <c:pt idx="12">
                  <c:v>21412.799999999999</c:v>
                </c:pt>
                <c:pt idx="13">
                  <c:v>20416.900000000001</c:v>
                </c:pt>
                <c:pt idx="14">
                  <c:v>36272</c:v>
                </c:pt>
                <c:pt idx="15">
                  <c:v>23093.3</c:v>
                </c:pt>
                <c:pt idx="16">
                  <c:v>26878.6</c:v>
                </c:pt>
                <c:pt idx="17">
                  <c:v>39572</c:v>
                </c:pt>
                <c:pt idx="18">
                  <c:v>51866.1</c:v>
                </c:pt>
                <c:pt idx="19">
                  <c:v>58749.8</c:v>
                </c:pt>
                <c:pt idx="20">
                  <c:v>23990.799999999999</c:v>
                </c:pt>
                <c:pt idx="21">
                  <c:v>25694.9</c:v>
                </c:pt>
                <c:pt idx="22">
                  <c:v>23736.3</c:v>
                </c:pt>
                <c:pt idx="23">
                  <c:v>34314.300000000003</c:v>
                </c:pt>
                <c:pt idx="24">
                  <c:v>22809.5</c:v>
                </c:pt>
              </c:numCache>
            </c:numRef>
          </c:xVal>
          <c:yVal>
            <c:numRef>
              <c:f>'rstudio forward select model'!$A$2:$A$26</c:f>
              <c:numCache>
                <c:formatCode>General</c:formatCode>
                <c:ptCount val="25"/>
                <c:pt idx="0">
                  <c:v>3669.88</c:v>
                </c:pt>
                <c:pt idx="1">
                  <c:v>3473.95</c:v>
                </c:pt>
                <c:pt idx="2">
                  <c:v>2295.1</c:v>
                </c:pt>
                <c:pt idx="3">
                  <c:v>4675.5600000000004</c:v>
                </c:pt>
                <c:pt idx="4">
                  <c:v>6125.96</c:v>
                </c:pt>
                <c:pt idx="5">
                  <c:v>2134.94</c:v>
                </c:pt>
                <c:pt idx="6">
                  <c:v>5031.66</c:v>
                </c:pt>
                <c:pt idx="7">
                  <c:v>3367.45</c:v>
                </c:pt>
                <c:pt idx="8">
                  <c:v>6519.45</c:v>
                </c:pt>
                <c:pt idx="9">
                  <c:v>4876.37</c:v>
                </c:pt>
                <c:pt idx="10">
                  <c:v>2468.27</c:v>
                </c:pt>
                <c:pt idx="11">
                  <c:v>2533.31</c:v>
                </c:pt>
                <c:pt idx="12">
                  <c:v>2408.11</c:v>
                </c:pt>
                <c:pt idx="13">
                  <c:v>2337.38</c:v>
                </c:pt>
                <c:pt idx="14">
                  <c:v>4586.95</c:v>
                </c:pt>
                <c:pt idx="15">
                  <c:v>2729.24</c:v>
                </c:pt>
                <c:pt idx="16">
                  <c:v>3289.4</c:v>
                </c:pt>
                <c:pt idx="17">
                  <c:v>2800.78</c:v>
                </c:pt>
                <c:pt idx="18">
                  <c:v>3264.2</c:v>
                </c:pt>
                <c:pt idx="19">
                  <c:v>3453.62</c:v>
                </c:pt>
                <c:pt idx="20">
                  <c:v>1741.45</c:v>
                </c:pt>
                <c:pt idx="21">
                  <c:v>2035.75</c:v>
                </c:pt>
                <c:pt idx="22">
                  <c:v>1578</c:v>
                </c:pt>
                <c:pt idx="23">
                  <c:v>4167.4399999999996</c:v>
                </c:pt>
                <c:pt idx="24">
                  <c:v>2799.97</c:v>
                </c:pt>
              </c:numCache>
            </c:numRef>
          </c:yVal>
          <c:smooth val="0"/>
          <c:extLst>
            <c:ext xmlns:c16="http://schemas.microsoft.com/office/drawing/2014/chart" uri="{C3380CC4-5D6E-409C-BE32-E72D297353CC}">
              <c16:uniqueId val="{00000001-3CCD-4CFC-87D2-F6789C489756}"/>
            </c:ext>
          </c:extLst>
        </c:ser>
        <c:ser>
          <c:idx val="1"/>
          <c:order val="1"/>
          <c:tx>
            <c:v>Predicted Sales</c:v>
          </c:tx>
          <c:spPr>
            <a:ln w="19050">
              <a:noFill/>
            </a:ln>
          </c:spPr>
          <c:xVal>
            <c:numRef>
              <c:f>'rstudio forward select model'!$D$2:$D$26</c:f>
              <c:numCache>
                <c:formatCode>General</c:formatCode>
                <c:ptCount val="25"/>
                <c:pt idx="0">
                  <c:v>74065.100000000006</c:v>
                </c:pt>
                <c:pt idx="1">
                  <c:v>58117.3</c:v>
                </c:pt>
                <c:pt idx="2">
                  <c:v>21118.5</c:v>
                </c:pt>
                <c:pt idx="3">
                  <c:v>68521.3</c:v>
                </c:pt>
                <c:pt idx="4">
                  <c:v>57805.1</c:v>
                </c:pt>
                <c:pt idx="5">
                  <c:v>37806.9</c:v>
                </c:pt>
                <c:pt idx="6">
                  <c:v>50935.3</c:v>
                </c:pt>
                <c:pt idx="7">
                  <c:v>35602.1</c:v>
                </c:pt>
                <c:pt idx="8">
                  <c:v>46176.800000000003</c:v>
                </c:pt>
                <c:pt idx="9">
                  <c:v>42053.2</c:v>
                </c:pt>
                <c:pt idx="10">
                  <c:v>36829.699999999997</c:v>
                </c:pt>
                <c:pt idx="11">
                  <c:v>33612.699999999997</c:v>
                </c:pt>
                <c:pt idx="12">
                  <c:v>21412.799999999999</c:v>
                </c:pt>
                <c:pt idx="13">
                  <c:v>20416.900000000001</c:v>
                </c:pt>
                <c:pt idx="14">
                  <c:v>36272</c:v>
                </c:pt>
                <c:pt idx="15">
                  <c:v>23093.3</c:v>
                </c:pt>
                <c:pt idx="16">
                  <c:v>26878.6</c:v>
                </c:pt>
                <c:pt idx="17">
                  <c:v>39572</c:v>
                </c:pt>
                <c:pt idx="18">
                  <c:v>51866.1</c:v>
                </c:pt>
                <c:pt idx="19">
                  <c:v>58749.8</c:v>
                </c:pt>
                <c:pt idx="20">
                  <c:v>23990.799999999999</c:v>
                </c:pt>
                <c:pt idx="21">
                  <c:v>25694.9</c:v>
                </c:pt>
                <c:pt idx="22">
                  <c:v>23736.3</c:v>
                </c:pt>
                <c:pt idx="23">
                  <c:v>34314.300000000003</c:v>
                </c:pt>
                <c:pt idx="24">
                  <c:v>22809.5</c:v>
                </c:pt>
              </c:numCache>
            </c:numRef>
          </c:xVal>
          <c:y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yVal>
          <c:smooth val="0"/>
          <c:extLst>
            <c:ext xmlns:c16="http://schemas.microsoft.com/office/drawing/2014/chart" uri="{C3380CC4-5D6E-409C-BE32-E72D297353CC}">
              <c16:uniqueId val="{00000002-3CCD-4CFC-87D2-F6789C489756}"/>
            </c:ext>
          </c:extLst>
        </c:ser>
        <c:dLbls>
          <c:showLegendKey val="0"/>
          <c:showVal val="0"/>
          <c:showCatName val="0"/>
          <c:showSerName val="0"/>
          <c:showPercent val="0"/>
          <c:showBubbleSize val="0"/>
        </c:dLbls>
        <c:axId val="723578831"/>
        <c:axId val="724757135"/>
      </c:scatterChart>
      <c:valAx>
        <c:axId val="723578831"/>
        <c:scaling>
          <c:orientation val="minMax"/>
        </c:scaling>
        <c:delete val="0"/>
        <c:axPos val="b"/>
        <c:title>
          <c:tx>
            <c:rich>
              <a:bodyPr/>
              <a:lstStyle/>
              <a:p>
                <a:pPr>
                  <a:defRPr/>
                </a:pPr>
                <a:r>
                  <a:rPr lang="en-US"/>
                  <a:t>Poten</a:t>
                </a:r>
              </a:p>
            </c:rich>
          </c:tx>
          <c:overlay val="0"/>
        </c:title>
        <c:numFmt formatCode="General" sourceLinked="1"/>
        <c:majorTickMark val="out"/>
        <c:minorTickMark val="none"/>
        <c:tickLblPos val="nextTo"/>
        <c:crossAx val="724757135"/>
        <c:crosses val="autoZero"/>
        <c:crossBetween val="midCat"/>
      </c:valAx>
      <c:valAx>
        <c:axId val="724757135"/>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7235788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Share Line Fit  Plot</a:t>
            </a:r>
          </a:p>
        </c:rich>
      </c:tx>
      <c:overlay val="0"/>
    </c:title>
    <c:autoTitleDeleted val="0"/>
    <c:plotArea>
      <c:layout/>
      <c:scatterChart>
        <c:scatterStyle val="lineMarker"/>
        <c:varyColors val="0"/>
        <c:ser>
          <c:idx val="0"/>
          <c:order val="0"/>
          <c:tx>
            <c:v>Sales</c:v>
          </c:tx>
          <c:spPr>
            <a:ln w="19050">
              <a:noFill/>
            </a:ln>
          </c:spPr>
          <c:xVal>
            <c:numRef>
              <c:f>'rstudio forward select model'!$E$2:$E$26</c:f>
              <c:numCache>
                <c:formatCode>General</c:formatCode>
                <c:ptCount val="25"/>
                <c:pt idx="0">
                  <c:v>2.5099999999999998</c:v>
                </c:pt>
                <c:pt idx="1">
                  <c:v>5.51</c:v>
                </c:pt>
                <c:pt idx="2">
                  <c:v>10.91</c:v>
                </c:pt>
                <c:pt idx="3">
                  <c:v>8.27</c:v>
                </c:pt>
                <c:pt idx="4">
                  <c:v>9.15</c:v>
                </c:pt>
                <c:pt idx="5">
                  <c:v>5.51</c:v>
                </c:pt>
                <c:pt idx="6">
                  <c:v>8.5399999999999991</c:v>
                </c:pt>
                <c:pt idx="7">
                  <c:v>7.07</c:v>
                </c:pt>
                <c:pt idx="8">
                  <c:v>12.54</c:v>
                </c:pt>
                <c:pt idx="9">
                  <c:v>8.85</c:v>
                </c:pt>
                <c:pt idx="10">
                  <c:v>5.38</c:v>
                </c:pt>
                <c:pt idx="11">
                  <c:v>5.43</c:v>
                </c:pt>
                <c:pt idx="12">
                  <c:v>8.48</c:v>
                </c:pt>
                <c:pt idx="13">
                  <c:v>7.8</c:v>
                </c:pt>
                <c:pt idx="14">
                  <c:v>10.34</c:v>
                </c:pt>
                <c:pt idx="15">
                  <c:v>5.15</c:v>
                </c:pt>
                <c:pt idx="16">
                  <c:v>6.64</c:v>
                </c:pt>
                <c:pt idx="17">
                  <c:v>5.45</c:v>
                </c:pt>
                <c:pt idx="18">
                  <c:v>6.31</c:v>
                </c:pt>
                <c:pt idx="19">
                  <c:v>6.35</c:v>
                </c:pt>
                <c:pt idx="20">
                  <c:v>7.37</c:v>
                </c:pt>
                <c:pt idx="21">
                  <c:v>8.39</c:v>
                </c:pt>
                <c:pt idx="22">
                  <c:v>5.15</c:v>
                </c:pt>
                <c:pt idx="23">
                  <c:v>12.88</c:v>
                </c:pt>
                <c:pt idx="24">
                  <c:v>9.14</c:v>
                </c:pt>
              </c:numCache>
            </c:numRef>
          </c:xVal>
          <c:yVal>
            <c:numRef>
              <c:f>'rstudio forward select model'!$A$2:$A$26</c:f>
              <c:numCache>
                <c:formatCode>General</c:formatCode>
                <c:ptCount val="25"/>
                <c:pt idx="0">
                  <c:v>3669.88</c:v>
                </c:pt>
                <c:pt idx="1">
                  <c:v>3473.95</c:v>
                </c:pt>
                <c:pt idx="2">
                  <c:v>2295.1</c:v>
                </c:pt>
                <c:pt idx="3">
                  <c:v>4675.5600000000004</c:v>
                </c:pt>
                <c:pt idx="4">
                  <c:v>6125.96</c:v>
                </c:pt>
                <c:pt idx="5">
                  <c:v>2134.94</c:v>
                </c:pt>
                <c:pt idx="6">
                  <c:v>5031.66</c:v>
                </c:pt>
                <c:pt idx="7">
                  <c:v>3367.45</c:v>
                </c:pt>
                <c:pt idx="8">
                  <c:v>6519.45</c:v>
                </c:pt>
                <c:pt idx="9">
                  <c:v>4876.37</c:v>
                </c:pt>
                <c:pt idx="10">
                  <c:v>2468.27</c:v>
                </c:pt>
                <c:pt idx="11">
                  <c:v>2533.31</c:v>
                </c:pt>
                <c:pt idx="12">
                  <c:v>2408.11</c:v>
                </c:pt>
                <c:pt idx="13">
                  <c:v>2337.38</c:v>
                </c:pt>
                <c:pt idx="14">
                  <c:v>4586.95</c:v>
                </c:pt>
                <c:pt idx="15">
                  <c:v>2729.24</c:v>
                </c:pt>
                <c:pt idx="16">
                  <c:v>3289.4</c:v>
                </c:pt>
                <c:pt idx="17">
                  <c:v>2800.78</c:v>
                </c:pt>
                <c:pt idx="18">
                  <c:v>3264.2</c:v>
                </c:pt>
                <c:pt idx="19">
                  <c:v>3453.62</c:v>
                </c:pt>
                <c:pt idx="20">
                  <c:v>1741.45</c:v>
                </c:pt>
                <c:pt idx="21">
                  <c:v>2035.75</c:v>
                </c:pt>
                <c:pt idx="22">
                  <c:v>1578</c:v>
                </c:pt>
                <c:pt idx="23">
                  <c:v>4167.4399999999996</c:v>
                </c:pt>
                <c:pt idx="24">
                  <c:v>2799.97</c:v>
                </c:pt>
              </c:numCache>
            </c:numRef>
          </c:yVal>
          <c:smooth val="0"/>
          <c:extLst>
            <c:ext xmlns:c16="http://schemas.microsoft.com/office/drawing/2014/chart" uri="{C3380CC4-5D6E-409C-BE32-E72D297353CC}">
              <c16:uniqueId val="{00000001-53E4-4BA1-AEBF-377147BE3C21}"/>
            </c:ext>
          </c:extLst>
        </c:ser>
        <c:ser>
          <c:idx val="1"/>
          <c:order val="1"/>
          <c:tx>
            <c:v>Predicted Sales</c:v>
          </c:tx>
          <c:spPr>
            <a:ln w="19050">
              <a:noFill/>
            </a:ln>
          </c:spPr>
          <c:xVal>
            <c:numRef>
              <c:f>'rstudio forward select model'!$E$2:$E$26</c:f>
              <c:numCache>
                <c:formatCode>General</c:formatCode>
                <c:ptCount val="25"/>
                <c:pt idx="0">
                  <c:v>2.5099999999999998</c:v>
                </c:pt>
                <c:pt idx="1">
                  <c:v>5.51</c:v>
                </c:pt>
                <c:pt idx="2">
                  <c:v>10.91</c:v>
                </c:pt>
                <c:pt idx="3">
                  <c:v>8.27</c:v>
                </c:pt>
                <c:pt idx="4">
                  <c:v>9.15</c:v>
                </c:pt>
                <c:pt idx="5">
                  <c:v>5.51</c:v>
                </c:pt>
                <c:pt idx="6">
                  <c:v>8.5399999999999991</c:v>
                </c:pt>
                <c:pt idx="7">
                  <c:v>7.07</c:v>
                </c:pt>
                <c:pt idx="8">
                  <c:v>12.54</c:v>
                </c:pt>
                <c:pt idx="9">
                  <c:v>8.85</c:v>
                </c:pt>
                <c:pt idx="10">
                  <c:v>5.38</c:v>
                </c:pt>
                <c:pt idx="11">
                  <c:v>5.43</c:v>
                </c:pt>
                <c:pt idx="12">
                  <c:v>8.48</c:v>
                </c:pt>
                <c:pt idx="13">
                  <c:v>7.8</c:v>
                </c:pt>
                <c:pt idx="14">
                  <c:v>10.34</c:v>
                </c:pt>
                <c:pt idx="15">
                  <c:v>5.15</c:v>
                </c:pt>
                <c:pt idx="16">
                  <c:v>6.64</c:v>
                </c:pt>
                <c:pt idx="17">
                  <c:v>5.45</c:v>
                </c:pt>
                <c:pt idx="18">
                  <c:v>6.31</c:v>
                </c:pt>
                <c:pt idx="19">
                  <c:v>6.35</c:v>
                </c:pt>
                <c:pt idx="20">
                  <c:v>7.37</c:v>
                </c:pt>
                <c:pt idx="21">
                  <c:v>8.39</c:v>
                </c:pt>
                <c:pt idx="22">
                  <c:v>5.15</c:v>
                </c:pt>
                <c:pt idx="23">
                  <c:v>12.88</c:v>
                </c:pt>
                <c:pt idx="24">
                  <c:v>9.14</c:v>
                </c:pt>
              </c:numCache>
            </c:numRef>
          </c:xVal>
          <c:y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yVal>
          <c:smooth val="0"/>
          <c:extLst>
            <c:ext xmlns:c16="http://schemas.microsoft.com/office/drawing/2014/chart" uri="{C3380CC4-5D6E-409C-BE32-E72D297353CC}">
              <c16:uniqueId val="{00000002-53E4-4BA1-AEBF-377147BE3C21}"/>
            </c:ext>
          </c:extLst>
        </c:ser>
        <c:dLbls>
          <c:showLegendKey val="0"/>
          <c:showVal val="0"/>
          <c:showCatName val="0"/>
          <c:showSerName val="0"/>
          <c:showPercent val="0"/>
          <c:showBubbleSize val="0"/>
        </c:dLbls>
        <c:axId val="725434575"/>
        <c:axId val="724753295"/>
      </c:scatterChart>
      <c:valAx>
        <c:axId val="725434575"/>
        <c:scaling>
          <c:orientation val="minMax"/>
        </c:scaling>
        <c:delete val="0"/>
        <c:axPos val="b"/>
        <c:title>
          <c:tx>
            <c:rich>
              <a:bodyPr/>
              <a:lstStyle/>
              <a:p>
                <a:pPr>
                  <a:defRPr/>
                </a:pPr>
                <a:r>
                  <a:rPr lang="en-US"/>
                  <a:t>Share</a:t>
                </a:r>
              </a:p>
            </c:rich>
          </c:tx>
          <c:overlay val="0"/>
        </c:title>
        <c:numFmt formatCode="General" sourceLinked="1"/>
        <c:majorTickMark val="out"/>
        <c:minorTickMark val="none"/>
        <c:tickLblPos val="nextTo"/>
        <c:crossAx val="724753295"/>
        <c:crosses val="autoZero"/>
        <c:crossBetween val="midCat"/>
      </c:valAx>
      <c:valAx>
        <c:axId val="724753295"/>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72543457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Time Line Fit  Plot</a:t>
            </a:r>
          </a:p>
        </c:rich>
      </c:tx>
      <c:overlay val="0"/>
    </c:title>
    <c:autoTitleDeleted val="0"/>
    <c:plotArea>
      <c:layout/>
      <c:scatterChart>
        <c:scatterStyle val="lineMarker"/>
        <c:varyColors val="0"/>
        <c:ser>
          <c:idx val="0"/>
          <c:order val="0"/>
          <c:tx>
            <c:v>Sales</c:v>
          </c:tx>
          <c:spPr>
            <a:ln w="19050">
              <a:noFill/>
            </a:ln>
          </c:spPr>
          <c:xVal>
            <c:numRef>
              <c:f>'rstudio forward select model'!$F$2:$F$26</c:f>
              <c:numCache>
                <c:formatCode>General</c:formatCode>
                <c:ptCount val="25"/>
                <c:pt idx="0">
                  <c:v>43.1</c:v>
                </c:pt>
                <c:pt idx="1">
                  <c:v>108.13</c:v>
                </c:pt>
                <c:pt idx="2">
                  <c:v>13.82</c:v>
                </c:pt>
                <c:pt idx="3">
                  <c:v>186.18</c:v>
                </c:pt>
                <c:pt idx="4">
                  <c:v>161.79</c:v>
                </c:pt>
                <c:pt idx="5">
                  <c:v>8.94</c:v>
                </c:pt>
                <c:pt idx="6">
                  <c:v>365.04</c:v>
                </c:pt>
                <c:pt idx="7">
                  <c:v>220.32</c:v>
                </c:pt>
                <c:pt idx="8">
                  <c:v>127.64</c:v>
                </c:pt>
                <c:pt idx="9">
                  <c:v>105.69</c:v>
                </c:pt>
                <c:pt idx="10">
                  <c:v>57.72</c:v>
                </c:pt>
                <c:pt idx="11">
                  <c:v>23.58</c:v>
                </c:pt>
                <c:pt idx="12">
                  <c:v>13.82</c:v>
                </c:pt>
                <c:pt idx="13">
                  <c:v>13.82</c:v>
                </c:pt>
                <c:pt idx="14">
                  <c:v>86.99</c:v>
                </c:pt>
                <c:pt idx="15">
                  <c:v>165.85</c:v>
                </c:pt>
                <c:pt idx="16">
                  <c:v>116.26</c:v>
                </c:pt>
                <c:pt idx="17">
                  <c:v>42.28</c:v>
                </c:pt>
                <c:pt idx="18">
                  <c:v>52.84</c:v>
                </c:pt>
                <c:pt idx="19">
                  <c:v>165.04</c:v>
                </c:pt>
                <c:pt idx="20">
                  <c:v>10.57</c:v>
                </c:pt>
                <c:pt idx="21">
                  <c:v>13.82</c:v>
                </c:pt>
                <c:pt idx="22">
                  <c:v>8.1300000000000008</c:v>
                </c:pt>
                <c:pt idx="23">
                  <c:v>58.44</c:v>
                </c:pt>
                <c:pt idx="24">
                  <c:v>21.14</c:v>
                </c:pt>
              </c:numCache>
            </c:numRef>
          </c:xVal>
          <c:yVal>
            <c:numRef>
              <c:f>'rstudio forward select model'!$A$2:$A$26</c:f>
              <c:numCache>
                <c:formatCode>General</c:formatCode>
                <c:ptCount val="25"/>
                <c:pt idx="0">
                  <c:v>3669.88</c:v>
                </c:pt>
                <c:pt idx="1">
                  <c:v>3473.95</c:v>
                </c:pt>
                <c:pt idx="2">
                  <c:v>2295.1</c:v>
                </c:pt>
                <c:pt idx="3">
                  <c:v>4675.5600000000004</c:v>
                </c:pt>
                <c:pt idx="4">
                  <c:v>6125.96</c:v>
                </c:pt>
                <c:pt idx="5">
                  <c:v>2134.94</c:v>
                </c:pt>
                <c:pt idx="6">
                  <c:v>5031.66</c:v>
                </c:pt>
                <c:pt idx="7">
                  <c:v>3367.45</c:v>
                </c:pt>
                <c:pt idx="8">
                  <c:v>6519.45</c:v>
                </c:pt>
                <c:pt idx="9">
                  <c:v>4876.37</c:v>
                </c:pt>
                <c:pt idx="10">
                  <c:v>2468.27</c:v>
                </c:pt>
                <c:pt idx="11">
                  <c:v>2533.31</c:v>
                </c:pt>
                <c:pt idx="12">
                  <c:v>2408.11</c:v>
                </c:pt>
                <c:pt idx="13">
                  <c:v>2337.38</c:v>
                </c:pt>
                <c:pt idx="14">
                  <c:v>4586.95</c:v>
                </c:pt>
                <c:pt idx="15">
                  <c:v>2729.24</c:v>
                </c:pt>
                <c:pt idx="16">
                  <c:v>3289.4</c:v>
                </c:pt>
                <c:pt idx="17">
                  <c:v>2800.78</c:v>
                </c:pt>
                <c:pt idx="18">
                  <c:v>3264.2</c:v>
                </c:pt>
                <c:pt idx="19">
                  <c:v>3453.62</c:v>
                </c:pt>
                <c:pt idx="20">
                  <c:v>1741.45</c:v>
                </c:pt>
                <c:pt idx="21">
                  <c:v>2035.75</c:v>
                </c:pt>
                <c:pt idx="22">
                  <c:v>1578</c:v>
                </c:pt>
                <c:pt idx="23">
                  <c:v>4167.4399999999996</c:v>
                </c:pt>
                <c:pt idx="24">
                  <c:v>2799.97</c:v>
                </c:pt>
              </c:numCache>
            </c:numRef>
          </c:yVal>
          <c:smooth val="0"/>
          <c:extLst>
            <c:ext xmlns:c16="http://schemas.microsoft.com/office/drawing/2014/chart" uri="{C3380CC4-5D6E-409C-BE32-E72D297353CC}">
              <c16:uniqueId val="{00000001-581D-452A-97ED-A9B7750B6016}"/>
            </c:ext>
          </c:extLst>
        </c:ser>
        <c:ser>
          <c:idx val="1"/>
          <c:order val="1"/>
          <c:tx>
            <c:v>Predicted Sales</c:v>
          </c:tx>
          <c:spPr>
            <a:ln w="19050">
              <a:noFill/>
            </a:ln>
          </c:spPr>
          <c:xVal>
            <c:numRef>
              <c:f>'rstudio forward select model'!$F$2:$F$26</c:f>
              <c:numCache>
                <c:formatCode>General</c:formatCode>
                <c:ptCount val="25"/>
                <c:pt idx="0">
                  <c:v>43.1</c:v>
                </c:pt>
                <c:pt idx="1">
                  <c:v>108.13</c:v>
                </c:pt>
                <c:pt idx="2">
                  <c:v>13.82</c:v>
                </c:pt>
                <c:pt idx="3">
                  <c:v>186.18</c:v>
                </c:pt>
                <c:pt idx="4">
                  <c:v>161.79</c:v>
                </c:pt>
                <c:pt idx="5">
                  <c:v>8.94</c:v>
                </c:pt>
                <c:pt idx="6">
                  <c:v>365.04</c:v>
                </c:pt>
                <c:pt idx="7">
                  <c:v>220.32</c:v>
                </c:pt>
                <c:pt idx="8">
                  <c:v>127.64</c:v>
                </c:pt>
                <c:pt idx="9">
                  <c:v>105.69</c:v>
                </c:pt>
                <c:pt idx="10">
                  <c:v>57.72</c:v>
                </c:pt>
                <c:pt idx="11">
                  <c:v>23.58</c:v>
                </c:pt>
                <c:pt idx="12">
                  <c:v>13.82</c:v>
                </c:pt>
                <c:pt idx="13">
                  <c:v>13.82</c:v>
                </c:pt>
                <c:pt idx="14">
                  <c:v>86.99</c:v>
                </c:pt>
                <c:pt idx="15">
                  <c:v>165.85</c:v>
                </c:pt>
                <c:pt idx="16">
                  <c:v>116.26</c:v>
                </c:pt>
                <c:pt idx="17">
                  <c:v>42.28</c:v>
                </c:pt>
                <c:pt idx="18">
                  <c:v>52.84</c:v>
                </c:pt>
                <c:pt idx="19">
                  <c:v>165.04</c:v>
                </c:pt>
                <c:pt idx="20">
                  <c:v>10.57</c:v>
                </c:pt>
                <c:pt idx="21">
                  <c:v>13.82</c:v>
                </c:pt>
                <c:pt idx="22">
                  <c:v>8.1300000000000008</c:v>
                </c:pt>
                <c:pt idx="23">
                  <c:v>58.44</c:v>
                </c:pt>
                <c:pt idx="24">
                  <c:v>21.14</c:v>
                </c:pt>
              </c:numCache>
            </c:numRef>
          </c:xVal>
          <c:y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yVal>
          <c:smooth val="0"/>
          <c:extLst>
            <c:ext xmlns:c16="http://schemas.microsoft.com/office/drawing/2014/chart" uri="{C3380CC4-5D6E-409C-BE32-E72D297353CC}">
              <c16:uniqueId val="{00000002-581D-452A-97ED-A9B7750B6016}"/>
            </c:ext>
          </c:extLst>
        </c:ser>
        <c:dLbls>
          <c:showLegendKey val="0"/>
          <c:showVal val="0"/>
          <c:showCatName val="0"/>
          <c:showSerName val="0"/>
          <c:showPercent val="0"/>
          <c:showBubbleSize val="0"/>
        </c:dLbls>
        <c:axId val="799386159"/>
        <c:axId val="724753775"/>
      </c:scatterChart>
      <c:valAx>
        <c:axId val="799386159"/>
        <c:scaling>
          <c:orientation val="minMax"/>
        </c:scaling>
        <c:delete val="0"/>
        <c:axPos val="b"/>
        <c:title>
          <c:tx>
            <c:rich>
              <a:bodyPr/>
              <a:lstStyle/>
              <a:p>
                <a:pPr>
                  <a:defRPr/>
                </a:pPr>
                <a:r>
                  <a:rPr lang="en-US"/>
                  <a:t>Time</a:t>
                </a:r>
              </a:p>
            </c:rich>
          </c:tx>
          <c:overlay val="0"/>
        </c:title>
        <c:numFmt formatCode="General" sourceLinked="1"/>
        <c:majorTickMark val="out"/>
        <c:minorTickMark val="none"/>
        <c:tickLblPos val="nextTo"/>
        <c:crossAx val="724753775"/>
        <c:crosses val="autoZero"/>
        <c:crossBetween val="midCat"/>
      </c:valAx>
      <c:valAx>
        <c:axId val="724753775"/>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79938615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 Line Fit  Plot</a:t>
            </a:r>
          </a:p>
        </c:rich>
      </c:tx>
      <c:overlay val="0"/>
    </c:title>
    <c:autoTitleDeleted val="0"/>
    <c:plotArea>
      <c:layout/>
      <c:scatterChart>
        <c:scatterStyle val="lineMarker"/>
        <c:varyColors val="0"/>
        <c:ser>
          <c:idx val="0"/>
          <c:order val="0"/>
          <c:tx>
            <c:v>Sales</c:v>
          </c:tx>
          <c:spPr>
            <a:ln w="19050">
              <a:noFill/>
            </a:ln>
          </c:spPr>
          <c:xVal>
            <c:numRef>
              <c:f>'rstudio forward select model'!$G$2:$G$26</c:f>
              <c:numCache>
                <c:formatCode>General</c:formatCode>
                <c:ptCount val="25"/>
                <c:pt idx="0">
                  <c:v>0.34</c:v>
                </c:pt>
                <c:pt idx="1">
                  <c:v>0.15</c:v>
                </c:pt>
                <c:pt idx="2">
                  <c:v>-0.72</c:v>
                </c:pt>
                <c:pt idx="3">
                  <c:v>0.17</c:v>
                </c:pt>
                <c:pt idx="4">
                  <c:v>0.5</c:v>
                </c:pt>
                <c:pt idx="5">
                  <c:v>0.15</c:v>
                </c:pt>
                <c:pt idx="6">
                  <c:v>0.55000000000000004</c:v>
                </c:pt>
                <c:pt idx="7">
                  <c:v>-0.49</c:v>
                </c:pt>
                <c:pt idx="8">
                  <c:v>1.24</c:v>
                </c:pt>
                <c:pt idx="9">
                  <c:v>0.31</c:v>
                </c:pt>
                <c:pt idx="10">
                  <c:v>0.37</c:v>
                </c:pt>
                <c:pt idx="11">
                  <c:v>-0.65</c:v>
                </c:pt>
                <c:pt idx="12">
                  <c:v>0.64</c:v>
                </c:pt>
                <c:pt idx="13">
                  <c:v>1.01</c:v>
                </c:pt>
                <c:pt idx="14">
                  <c:v>0.11</c:v>
                </c:pt>
                <c:pt idx="15">
                  <c:v>0.04</c:v>
                </c:pt>
                <c:pt idx="16">
                  <c:v>0.68</c:v>
                </c:pt>
                <c:pt idx="17">
                  <c:v>0.66</c:v>
                </c:pt>
                <c:pt idx="18">
                  <c:v>-0.1</c:v>
                </c:pt>
                <c:pt idx="19">
                  <c:v>-0.03</c:v>
                </c:pt>
                <c:pt idx="20">
                  <c:v>-1.63</c:v>
                </c:pt>
                <c:pt idx="21">
                  <c:v>-0.43</c:v>
                </c:pt>
                <c:pt idx="22">
                  <c:v>0.04</c:v>
                </c:pt>
                <c:pt idx="23">
                  <c:v>0.22</c:v>
                </c:pt>
                <c:pt idx="24">
                  <c:v>-0.74</c:v>
                </c:pt>
              </c:numCache>
            </c:numRef>
          </c:xVal>
          <c:yVal>
            <c:numRef>
              <c:f>'rstudio forward select model'!$A$2:$A$26</c:f>
              <c:numCache>
                <c:formatCode>General</c:formatCode>
                <c:ptCount val="25"/>
                <c:pt idx="0">
                  <c:v>3669.88</c:v>
                </c:pt>
                <c:pt idx="1">
                  <c:v>3473.95</c:v>
                </c:pt>
                <c:pt idx="2">
                  <c:v>2295.1</c:v>
                </c:pt>
                <c:pt idx="3">
                  <c:v>4675.5600000000004</c:v>
                </c:pt>
                <c:pt idx="4">
                  <c:v>6125.96</c:v>
                </c:pt>
                <c:pt idx="5">
                  <c:v>2134.94</c:v>
                </c:pt>
                <c:pt idx="6">
                  <c:v>5031.66</c:v>
                </c:pt>
                <c:pt idx="7">
                  <c:v>3367.45</c:v>
                </c:pt>
                <c:pt idx="8">
                  <c:v>6519.45</c:v>
                </c:pt>
                <c:pt idx="9">
                  <c:v>4876.37</c:v>
                </c:pt>
                <c:pt idx="10">
                  <c:v>2468.27</c:v>
                </c:pt>
                <c:pt idx="11">
                  <c:v>2533.31</c:v>
                </c:pt>
                <c:pt idx="12">
                  <c:v>2408.11</c:v>
                </c:pt>
                <c:pt idx="13">
                  <c:v>2337.38</c:v>
                </c:pt>
                <c:pt idx="14">
                  <c:v>4586.95</c:v>
                </c:pt>
                <c:pt idx="15">
                  <c:v>2729.24</c:v>
                </c:pt>
                <c:pt idx="16">
                  <c:v>3289.4</c:v>
                </c:pt>
                <c:pt idx="17">
                  <c:v>2800.78</c:v>
                </c:pt>
                <c:pt idx="18">
                  <c:v>3264.2</c:v>
                </c:pt>
                <c:pt idx="19">
                  <c:v>3453.62</c:v>
                </c:pt>
                <c:pt idx="20">
                  <c:v>1741.45</c:v>
                </c:pt>
                <c:pt idx="21">
                  <c:v>2035.75</c:v>
                </c:pt>
                <c:pt idx="22">
                  <c:v>1578</c:v>
                </c:pt>
                <c:pt idx="23">
                  <c:v>4167.4399999999996</c:v>
                </c:pt>
                <c:pt idx="24">
                  <c:v>2799.97</c:v>
                </c:pt>
              </c:numCache>
            </c:numRef>
          </c:yVal>
          <c:smooth val="0"/>
          <c:extLst>
            <c:ext xmlns:c16="http://schemas.microsoft.com/office/drawing/2014/chart" uri="{C3380CC4-5D6E-409C-BE32-E72D297353CC}">
              <c16:uniqueId val="{00000001-1DF8-4288-BCC5-CC36CBF6497A}"/>
            </c:ext>
          </c:extLst>
        </c:ser>
        <c:ser>
          <c:idx val="1"/>
          <c:order val="1"/>
          <c:tx>
            <c:v>Predicted Sales</c:v>
          </c:tx>
          <c:spPr>
            <a:ln w="19050">
              <a:noFill/>
            </a:ln>
          </c:spPr>
          <c:xVal>
            <c:numRef>
              <c:f>'rstudio forward select model'!$G$2:$G$26</c:f>
              <c:numCache>
                <c:formatCode>General</c:formatCode>
                <c:ptCount val="25"/>
                <c:pt idx="0">
                  <c:v>0.34</c:v>
                </c:pt>
                <c:pt idx="1">
                  <c:v>0.15</c:v>
                </c:pt>
                <c:pt idx="2">
                  <c:v>-0.72</c:v>
                </c:pt>
                <c:pt idx="3">
                  <c:v>0.17</c:v>
                </c:pt>
                <c:pt idx="4">
                  <c:v>0.5</c:v>
                </c:pt>
                <c:pt idx="5">
                  <c:v>0.15</c:v>
                </c:pt>
                <c:pt idx="6">
                  <c:v>0.55000000000000004</c:v>
                </c:pt>
                <c:pt idx="7">
                  <c:v>-0.49</c:v>
                </c:pt>
                <c:pt idx="8">
                  <c:v>1.24</c:v>
                </c:pt>
                <c:pt idx="9">
                  <c:v>0.31</c:v>
                </c:pt>
                <c:pt idx="10">
                  <c:v>0.37</c:v>
                </c:pt>
                <c:pt idx="11">
                  <c:v>-0.65</c:v>
                </c:pt>
                <c:pt idx="12">
                  <c:v>0.64</c:v>
                </c:pt>
                <c:pt idx="13">
                  <c:v>1.01</c:v>
                </c:pt>
                <c:pt idx="14">
                  <c:v>0.11</c:v>
                </c:pt>
                <c:pt idx="15">
                  <c:v>0.04</c:v>
                </c:pt>
                <c:pt idx="16">
                  <c:v>0.68</c:v>
                </c:pt>
                <c:pt idx="17">
                  <c:v>0.66</c:v>
                </c:pt>
                <c:pt idx="18">
                  <c:v>-0.1</c:v>
                </c:pt>
                <c:pt idx="19">
                  <c:v>-0.03</c:v>
                </c:pt>
                <c:pt idx="20">
                  <c:v>-1.63</c:v>
                </c:pt>
                <c:pt idx="21">
                  <c:v>-0.43</c:v>
                </c:pt>
                <c:pt idx="22">
                  <c:v>0.04</c:v>
                </c:pt>
                <c:pt idx="23">
                  <c:v>0.22</c:v>
                </c:pt>
                <c:pt idx="24">
                  <c:v>-0.74</c:v>
                </c:pt>
              </c:numCache>
            </c:numRef>
          </c:xVal>
          <c:y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yVal>
          <c:smooth val="0"/>
          <c:extLst>
            <c:ext xmlns:c16="http://schemas.microsoft.com/office/drawing/2014/chart" uri="{C3380CC4-5D6E-409C-BE32-E72D297353CC}">
              <c16:uniqueId val="{00000002-1DF8-4288-BCC5-CC36CBF6497A}"/>
            </c:ext>
          </c:extLst>
        </c:ser>
        <c:dLbls>
          <c:showLegendKey val="0"/>
          <c:showVal val="0"/>
          <c:showCatName val="0"/>
          <c:showSerName val="0"/>
          <c:showPercent val="0"/>
          <c:showBubbleSize val="0"/>
        </c:dLbls>
        <c:axId val="799387087"/>
        <c:axId val="725419535"/>
      </c:scatterChart>
      <c:valAx>
        <c:axId val="799387087"/>
        <c:scaling>
          <c:orientation val="minMax"/>
        </c:scaling>
        <c:delete val="0"/>
        <c:axPos val="b"/>
        <c:title>
          <c:tx>
            <c:rich>
              <a:bodyPr/>
              <a:lstStyle/>
              <a:p>
                <a:pPr>
                  <a:defRPr/>
                </a:pPr>
                <a:r>
                  <a:rPr lang="en-US"/>
                  <a:t>Change</a:t>
                </a:r>
              </a:p>
            </c:rich>
          </c:tx>
          <c:overlay val="0"/>
        </c:title>
        <c:numFmt formatCode="General" sourceLinked="1"/>
        <c:majorTickMark val="out"/>
        <c:minorTickMark val="none"/>
        <c:tickLblPos val="nextTo"/>
        <c:crossAx val="725419535"/>
        <c:crosses val="autoZero"/>
        <c:crossBetween val="midCat"/>
      </c:valAx>
      <c:valAx>
        <c:axId val="725419535"/>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799387087"/>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'rstudio forward select model'!$F$57:$F$81</c:f>
              <c:numCache>
                <c:formatCode>0.00</c:formatCode>
                <c:ptCount val="25"/>
                <c:pt idx="0">
                  <c:v>2</c:v>
                </c:pt>
                <c:pt idx="1">
                  <c:v>6</c:v>
                </c:pt>
                <c:pt idx="2">
                  <c:v>10</c:v>
                </c:pt>
                <c:pt idx="3">
                  <c:v>14</c:v>
                </c:pt>
                <c:pt idx="4">
                  <c:v>18</c:v>
                </c:pt>
                <c:pt idx="5">
                  <c:v>22</c:v>
                </c:pt>
                <c:pt idx="6">
                  <c:v>26</c:v>
                </c:pt>
                <c:pt idx="7">
                  <c:v>30</c:v>
                </c:pt>
                <c:pt idx="8">
                  <c:v>34</c:v>
                </c:pt>
                <c:pt idx="9">
                  <c:v>38</c:v>
                </c:pt>
                <c:pt idx="10">
                  <c:v>42</c:v>
                </c:pt>
                <c:pt idx="11">
                  <c:v>46</c:v>
                </c:pt>
                <c:pt idx="12">
                  <c:v>50</c:v>
                </c:pt>
                <c:pt idx="13">
                  <c:v>54</c:v>
                </c:pt>
                <c:pt idx="14">
                  <c:v>58</c:v>
                </c:pt>
                <c:pt idx="15">
                  <c:v>62</c:v>
                </c:pt>
                <c:pt idx="16">
                  <c:v>66</c:v>
                </c:pt>
                <c:pt idx="17">
                  <c:v>70</c:v>
                </c:pt>
                <c:pt idx="18">
                  <c:v>74</c:v>
                </c:pt>
                <c:pt idx="19">
                  <c:v>78</c:v>
                </c:pt>
                <c:pt idx="20">
                  <c:v>82</c:v>
                </c:pt>
                <c:pt idx="21">
                  <c:v>86</c:v>
                </c:pt>
                <c:pt idx="22">
                  <c:v>90</c:v>
                </c:pt>
                <c:pt idx="23">
                  <c:v>94</c:v>
                </c:pt>
                <c:pt idx="24">
                  <c:v>98</c:v>
                </c:pt>
              </c:numCache>
            </c:numRef>
          </c:xVal>
          <c:yVal>
            <c:numRef>
              <c:f>'rstudio forward select model'!$G$57:$G$81</c:f>
              <c:numCache>
                <c:formatCode>0.00</c:formatCode>
                <c:ptCount val="25"/>
                <c:pt idx="0">
                  <c:v>1578</c:v>
                </c:pt>
                <c:pt idx="1">
                  <c:v>1741.45</c:v>
                </c:pt>
                <c:pt idx="2">
                  <c:v>2035.75</c:v>
                </c:pt>
                <c:pt idx="3">
                  <c:v>2134.94</c:v>
                </c:pt>
                <c:pt idx="4">
                  <c:v>2295.1</c:v>
                </c:pt>
                <c:pt idx="5">
                  <c:v>2337.38</c:v>
                </c:pt>
                <c:pt idx="6">
                  <c:v>2408.11</c:v>
                </c:pt>
                <c:pt idx="7">
                  <c:v>2468.27</c:v>
                </c:pt>
                <c:pt idx="8">
                  <c:v>2533.31</c:v>
                </c:pt>
                <c:pt idx="9">
                  <c:v>2729.24</c:v>
                </c:pt>
                <c:pt idx="10">
                  <c:v>2799.97</c:v>
                </c:pt>
                <c:pt idx="11">
                  <c:v>2800.78</c:v>
                </c:pt>
                <c:pt idx="12">
                  <c:v>3264.2</c:v>
                </c:pt>
                <c:pt idx="13">
                  <c:v>3289.4</c:v>
                </c:pt>
                <c:pt idx="14">
                  <c:v>3367.45</c:v>
                </c:pt>
                <c:pt idx="15">
                  <c:v>3453.62</c:v>
                </c:pt>
                <c:pt idx="16">
                  <c:v>3473.95</c:v>
                </c:pt>
                <c:pt idx="17">
                  <c:v>3669.88</c:v>
                </c:pt>
                <c:pt idx="18">
                  <c:v>4167.4399999999996</c:v>
                </c:pt>
                <c:pt idx="19">
                  <c:v>4586.95</c:v>
                </c:pt>
                <c:pt idx="20">
                  <c:v>4675.5600000000004</c:v>
                </c:pt>
                <c:pt idx="21">
                  <c:v>4876.37</c:v>
                </c:pt>
                <c:pt idx="22">
                  <c:v>5031.66</c:v>
                </c:pt>
                <c:pt idx="23">
                  <c:v>6125.96</c:v>
                </c:pt>
                <c:pt idx="24">
                  <c:v>6519.45</c:v>
                </c:pt>
              </c:numCache>
            </c:numRef>
          </c:yVal>
          <c:smooth val="0"/>
          <c:extLst>
            <c:ext xmlns:c16="http://schemas.microsoft.com/office/drawing/2014/chart" uri="{C3380CC4-5D6E-409C-BE32-E72D297353CC}">
              <c16:uniqueId val="{00000001-3709-40D8-B33D-3E3EAFF46CE8}"/>
            </c:ext>
          </c:extLst>
        </c:ser>
        <c:dLbls>
          <c:showLegendKey val="0"/>
          <c:showVal val="0"/>
          <c:showCatName val="0"/>
          <c:showSerName val="0"/>
          <c:showPercent val="0"/>
          <c:showBubbleSize val="0"/>
        </c:dLbls>
        <c:axId val="729664111"/>
        <c:axId val="725417615"/>
      </c:scatterChart>
      <c:valAx>
        <c:axId val="729664111"/>
        <c:scaling>
          <c:orientation val="minMax"/>
        </c:scaling>
        <c:delete val="0"/>
        <c:axPos val="b"/>
        <c:title>
          <c:tx>
            <c:rich>
              <a:bodyPr/>
              <a:lstStyle/>
              <a:p>
                <a:pPr>
                  <a:defRPr/>
                </a:pPr>
                <a:r>
                  <a:rPr lang="en-US"/>
                  <a:t>Sample Percentile</a:t>
                </a:r>
              </a:p>
            </c:rich>
          </c:tx>
          <c:overlay val="0"/>
        </c:title>
        <c:numFmt formatCode="0.00" sourceLinked="1"/>
        <c:majorTickMark val="out"/>
        <c:minorTickMark val="none"/>
        <c:tickLblPos val="nextTo"/>
        <c:crossAx val="725417615"/>
        <c:crosses val="autoZero"/>
        <c:crossBetween val="midCat"/>
      </c:valAx>
      <c:valAx>
        <c:axId val="725417615"/>
        <c:scaling>
          <c:orientation val="minMax"/>
        </c:scaling>
        <c:delete val="0"/>
        <c:axPos val="l"/>
        <c:title>
          <c:tx>
            <c:rich>
              <a:bodyPr/>
              <a:lstStyle/>
              <a:p>
                <a:pPr>
                  <a:defRPr/>
                </a:pPr>
                <a:r>
                  <a:rPr lang="en-US"/>
                  <a:t>Sales</a:t>
                </a:r>
              </a:p>
            </c:rich>
          </c:tx>
          <c:overlay val="0"/>
        </c:title>
        <c:numFmt formatCode="0.00" sourceLinked="1"/>
        <c:majorTickMark val="out"/>
        <c:minorTickMark val="none"/>
        <c:tickLblPos val="nextTo"/>
        <c:crossAx val="72966411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Standardized Residual Plot</c:v>
          </c:tx>
          <c:spPr>
            <a:ln w="25400" cap="rnd">
              <a:noFill/>
              <a:round/>
            </a:ln>
            <a:effectLst/>
          </c:spPr>
          <c:marker>
            <c:symbol val="circle"/>
            <c:size val="5"/>
            <c:spPr>
              <a:solidFill>
                <a:schemeClr val="accent1"/>
              </a:solidFill>
              <a:ln w="9525">
                <a:solidFill>
                  <a:schemeClr val="accent1"/>
                </a:solidFill>
              </a:ln>
              <a:effectLst/>
            </c:spPr>
          </c:marker>
          <c:xVal>
            <c:numRef>
              <c:f>'rstudio forward select model'!$B$57:$B$81</c:f>
              <c:numCache>
                <c:formatCode>0.00</c:formatCode>
                <c:ptCount val="25"/>
                <c:pt idx="0">
                  <c:v>3392.9324646660789</c:v>
                </c:pt>
                <c:pt idx="1">
                  <c:v>3817.438728879652</c:v>
                </c:pt>
                <c:pt idx="2">
                  <c:v>2725.3072182034471</c:v>
                </c:pt>
                <c:pt idx="3">
                  <c:v>4930.7633771457004</c:v>
                </c:pt>
                <c:pt idx="4">
                  <c:v>5464.2891389720344</c:v>
                </c:pt>
                <c:pt idx="5">
                  <c:v>2081.5034465270833</c:v>
                </c:pt>
                <c:pt idx="6">
                  <c:v>5224.8939433493879</c:v>
                </c:pt>
                <c:pt idx="7">
                  <c:v>2973.0800183350616</c:v>
                </c:pt>
                <c:pt idx="8">
                  <c:v>6158.3791830618902</c:v>
                </c:pt>
                <c:pt idx="9">
                  <c:v>4054.9248529427305</c:v>
                </c:pt>
                <c:pt idx="10">
                  <c:v>2570.4273510024809</c:v>
                </c:pt>
                <c:pt idx="11">
                  <c:v>2095.6157127501629</c:v>
                </c:pt>
                <c:pt idx="12">
                  <c:v>2416.0615236865333</c:v>
                </c:pt>
                <c:pt idx="13">
                  <c:v>2278.4440492476469</c:v>
                </c:pt>
                <c:pt idx="14">
                  <c:v>4770.6678504720849</c:v>
                </c:pt>
                <c:pt idx="15">
                  <c:v>2812.2905465482063</c:v>
                </c:pt>
                <c:pt idx="16">
                  <c:v>3480.3226062195445</c:v>
                </c:pt>
                <c:pt idx="17">
                  <c:v>2828.6276043078733</c:v>
                </c:pt>
                <c:pt idx="18">
                  <c:v>3754.6529684942998</c:v>
                </c:pt>
                <c:pt idx="19">
                  <c:v>3985.0327540512922</c:v>
                </c:pt>
                <c:pt idx="20">
                  <c:v>1397.450317211551</c:v>
                </c:pt>
                <c:pt idx="21">
                  <c:v>2536.9530593670552</c:v>
                </c:pt>
                <c:pt idx="22">
                  <c:v>1649.015187246021</c:v>
                </c:pt>
                <c:pt idx="23">
                  <c:v>4507.3949026529872</c:v>
                </c:pt>
                <c:pt idx="24">
                  <c:v>2457.7211946591738</c:v>
                </c:pt>
              </c:numCache>
            </c:numRef>
          </c:xVal>
          <c:yVal>
            <c:numRef>
              <c:f>'rstudio forward select model'!$D$57:$D$81</c:f>
              <c:numCache>
                <c:formatCode>0.00</c:formatCode>
                <c:ptCount val="25"/>
                <c:pt idx="0">
                  <c:v>0.74718642614659148</c:v>
                </c:pt>
                <c:pt idx="1">
                  <c:v>-0.92671023572668587</c:v>
                </c:pt>
                <c:pt idx="2">
                  <c:v>-1.1606710761456238</c:v>
                </c:pt>
                <c:pt idx="3">
                  <c:v>-0.68852210249903156</c:v>
                </c:pt>
                <c:pt idx="4">
                  <c:v>1.7851449204656249</c:v>
                </c:pt>
                <c:pt idx="5">
                  <c:v>0.14416834353437757</c:v>
                </c:pt>
                <c:pt idx="6">
                  <c:v>-0.52133260318550279</c:v>
                </c:pt>
                <c:pt idx="7">
                  <c:v>1.0639845443088525</c:v>
                </c:pt>
                <c:pt idx="8">
                  <c:v>0.97414556503826044</c:v>
                </c:pt>
                <c:pt idx="9">
                  <c:v>2.2162055458090442</c:v>
                </c:pt>
                <c:pt idx="10">
                  <c:v>-0.27561388444245705</c:v>
                </c:pt>
                <c:pt idx="11">
                  <c:v>1.1808707011624697</c:v>
                </c:pt>
                <c:pt idx="12">
                  <c:v>-2.1452693408508493E-2</c:v>
                </c:pt>
                <c:pt idx="13">
                  <c:v>0.15900535948481007</c:v>
                </c:pt>
                <c:pt idx="14">
                  <c:v>-0.49565880392493877</c:v>
                </c:pt>
                <c:pt idx="15">
                  <c:v>-0.22406496952592669</c:v>
                </c:pt>
                <c:pt idx="16">
                  <c:v>-0.51509676603466659</c:v>
                </c:pt>
                <c:pt idx="17">
                  <c:v>-7.5131024056438275E-2</c:v>
                </c:pt>
                <c:pt idx="18">
                  <c:v>-1.3232101895414772</c:v>
                </c:pt>
                <c:pt idx="19">
                  <c:v>-1.4337170252465115</c:v>
                </c:pt>
                <c:pt idx="20">
                  <c:v>0.92808875611893005</c:v>
                </c:pt>
                <c:pt idx="21">
                  <c:v>-1.3522132350832268</c:v>
                </c:pt>
                <c:pt idx="22">
                  <c:v>-0.19159435340887951</c:v>
                </c:pt>
                <c:pt idx="23">
                  <c:v>-0.91717620255415389</c:v>
                </c:pt>
                <c:pt idx="24">
                  <c:v>0.92336500271512112</c:v>
                </c:pt>
              </c:numCache>
            </c:numRef>
          </c:yVal>
          <c:smooth val="0"/>
          <c:extLst>
            <c:ext xmlns:c16="http://schemas.microsoft.com/office/drawing/2014/chart" uri="{C3380CC4-5D6E-409C-BE32-E72D297353CC}">
              <c16:uniqueId val="{00000000-69D2-48EB-859B-209CBA489B19}"/>
            </c:ext>
          </c:extLst>
        </c:ser>
        <c:dLbls>
          <c:showLegendKey val="0"/>
          <c:showVal val="0"/>
          <c:showCatName val="0"/>
          <c:showSerName val="0"/>
          <c:showPercent val="0"/>
          <c:showBubbleSize val="0"/>
        </c:dLbls>
        <c:axId val="839252399"/>
        <c:axId val="725473023"/>
      </c:scatterChart>
      <c:valAx>
        <c:axId val="839252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73023"/>
        <c:crosses val="autoZero"/>
        <c:crossBetween val="midCat"/>
      </c:valAx>
      <c:valAx>
        <c:axId val="725473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523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Normal Probability Plot</c:v>
          </c:tx>
          <c:spPr>
            <a:ln w="25400" cap="rnd">
              <a:noFill/>
              <a:round/>
            </a:ln>
            <a:effectLst/>
          </c:spPr>
          <c:marker>
            <c:symbol val="circle"/>
            <c:size val="5"/>
            <c:spPr>
              <a:solidFill>
                <a:schemeClr val="accent1"/>
              </a:solidFill>
              <a:ln w="9525">
                <a:solidFill>
                  <a:schemeClr val="accent1"/>
                </a:solidFill>
              </a:ln>
              <a:effectLst/>
            </c:spPr>
          </c:marker>
          <c:xVal>
            <c:numRef>
              <c:f>'rstudio forward select model'!$I$83:$I$107</c:f>
              <c:numCache>
                <c:formatCode>General</c:formatCode>
                <c:ptCount val="25"/>
                <c:pt idx="0">
                  <c:v>-2.0539999999999998</c:v>
                </c:pt>
                <c:pt idx="1">
                  <c:v>-1.5549999999999999</c:v>
                </c:pt>
                <c:pt idx="2">
                  <c:v>-1.282</c:v>
                </c:pt>
                <c:pt idx="3">
                  <c:v>-1.08</c:v>
                </c:pt>
                <c:pt idx="4">
                  <c:v>-0.91500000000000004</c:v>
                </c:pt>
                <c:pt idx="5">
                  <c:v>-0.77200000000000002</c:v>
                </c:pt>
                <c:pt idx="6">
                  <c:v>-0.64300000000000002</c:v>
                </c:pt>
                <c:pt idx="7">
                  <c:v>-0.52400000000000002</c:v>
                </c:pt>
                <c:pt idx="8">
                  <c:v>-0.41199999999999998</c:v>
                </c:pt>
                <c:pt idx="9">
                  <c:v>-0.30499999999999999</c:v>
                </c:pt>
                <c:pt idx="10">
                  <c:v>-0.20200000000000001</c:v>
                </c:pt>
                <c:pt idx="11">
                  <c:v>-0.1</c:v>
                </c:pt>
                <c:pt idx="12">
                  <c:v>0</c:v>
                </c:pt>
                <c:pt idx="13">
                  <c:v>0.1</c:v>
                </c:pt>
                <c:pt idx="14">
                  <c:v>0.20200000000000001</c:v>
                </c:pt>
                <c:pt idx="15">
                  <c:v>0.30499999999999999</c:v>
                </c:pt>
                <c:pt idx="16">
                  <c:v>0.41199999999999998</c:v>
                </c:pt>
                <c:pt idx="17">
                  <c:v>0.52400000000000002</c:v>
                </c:pt>
                <c:pt idx="18">
                  <c:v>0.64300000000000002</c:v>
                </c:pt>
                <c:pt idx="19">
                  <c:v>0.77200000000000002</c:v>
                </c:pt>
                <c:pt idx="20">
                  <c:v>0.91500000000000004</c:v>
                </c:pt>
                <c:pt idx="21">
                  <c:v>1.08</c:v>
                </c:pt>
                <c:pt idx="22">
                  <c:v>1.282</c:v>
                </c:pt>
                <c:pt idx="23">
                  <c:v>1.5549999999999999</c:v>
                </c:pt>
                <c:pt idx="24">
                  <c:v>2.0453999999999999</c:v>
                </c:pt>
              </c:numCache>
            </c:numRef>
          </c:xVal>
          <c:yVal>
            <c:numRef>
              <c:f>'rstudio forward select model'!$J$83:$J$107</c:f>
              <c:numCache>
                <c:formatCode>0.00</c:formatCode>
                <c:ptCount val="25"/>
                <c:pt idx="0">
                  <c:v>-1.4337170252465115</c:v>
                </c:pt>
                <c:pt idx="1">
                  <c:v>-1.3522132350832268</c:v>
                </c:pt>
                <c:pt idx="2">
                  <c:v>-1.3232101895414772</c:v>
                </c:pt>
                <c:pt idx="3">
                  <c:v>-1.1606710761456238</c:v>
                </c:pt>
                <c:pt idx="4">
                  <c:v>-0.92671023572668587</c:v>
                </c:pt>
                <c:pt idx="5">
                  <c:v>-0.91717620255415389</c:v>
                </c:pt>
                <c:pt idx="6">
                  <c:v>-0.68852210249903156</c:v>
                </c:pt>
                <c:pt idx="7">
                  <c:v>-0.52133260318550279</c:v>
                </c:pt>
                <c:pt idx="8">
                  <c:v>-0.51509676603466659</c:v>
                </c:pt>
                <c:pt idx="9">
                  <c:v>-0.49565880392493877</c:v>
                </c:pt>
                <c:pt idx="10">
                  <c:v>-0.27561388444245705</c:v>
                </c:pt>
                <c:pt idx="11">
                  <c:v>-0.22406496952592669</c:v>
                </c:pt>
                <c:pt idx="12">
                  <c:v>-0.19159435340887951</c:v>
                </c:pt>
                <c:pt idx="13">
                  <c:v>-7.5131024056438275E-2</c:v>
                </c:pt>
                <c:pt idx="14">
                  <c:v>-2.1452693408508493E-2</c:v>
                </c:pt>
                <c:pt idx="15">
                  <c:v>0.14416834353437757</c:v>
                </c:pt>
                <c:pt idx="16">
                  <c:v>0.15900535948481007</c:v>
                </c:pt>
                <c:pt idx="17">
                  <c:v>0.74718642614659148</c:v>
                </c:pt>
                <c:pt idx="18">
                  <c:v>0.92336500271512112</c:v>
                </c:pt>
                <c:pt idx="19">
                  <c:v>0.92808875611893005</c:v>
                </c:pt>
                <c:pt idx="20">
                  <c:v>0.97414556503826044</c:v>
                </c:pt>
                <c:pt idx="21">
                  <c:v>1.0639845443088525</c:v>
                </c:pt>
                <c:pt idx="22">
                  <c:v>1.1808707011624697</c:v>
                </c:pt>
                <c:pt idx="23">
                  <c:v>1.7851449204656249</c:v>
                </c:pt>
                <c:pt idx="24">
                  <c:v>2.2162055458090442</c:v>
                </c:pt>
              </c:numCache>
            </c:numRef>
          </c:yVal>
          <c:smooth val="0"/>
          <c:extLst>
            <c:ext xmlns:c16="http://schemas.microsoft.com/office/drawing/2014/chart" uri="{C3380CC4-5D6E-409C-BE32-E72D297353CC}">
              <c16:uniqueId val="{00000000-0BC5-42AD-9298-39E0DD3348C6}"/>
            </c:ext>
          </c:extLst>
        </c:ser>
        <c:dLbls>
          <c:showLegendKey val="0"/>
          <c:showVal val="0"/>
          <c:showCatName val="0"/>
          <c:showSerName val="0"/>
          <c:showPercent val="0"/>
          <c:showBubbleSize val="0"/>
        </c:dLbls>
        <c:axId val="799985903"/>
        <c:axId val="329709055"/>
      </c:scatterChart>
      <c:valAx>
        <c:axId val="79998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709055"/>
        <c:crosses val="autoZero"/>
        <c:crossBetween val="midCat"/>
      </c:valAx>
      <c:valAx>
        <c:axId val="329709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859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Time  Residual Plot</a:t>
            </a:r>
          </a:p>
        </c:rich>
      </c:tx>
      <c:overlay val="0"/>
    </c:title>
    <c:autoTitleDeleted val="0"/>
    <c:plotArea>
      <c:layout/>
      <c:scatterChart>
        <c:scatterStyle val="lineMarker"/>
        <c:varyColors val="0"/>
        <c:ser>
          <c:idx val="0"/>
          <c:order val="0"/>
          <c:spPr>
            <a:ln w="19050">
              <a:noFill/>
            </a:ln>
          </c:spPr>
          <c:xVal>
            <c:numRef>
              <c:f>'backward elimination step 3'!$B$2:$B$26</c:f>
              <c:numCache>
                <c:formatCode>General</c:formatCode>
                <c:ptCount val="25"/>
                <c:pt idx="0">
                  <c:v>43.1</c:v>
                </c:pt>
                <c:pt idx="1">
                  <c:v>108.13</c:v>
                </c:pt>
                <c:pt idx="2">
                  <c:v>13.82</c:v>
                </c:pt>
                <c:pt idx="3">
                  <c:v>186.18</c:v>
                </c:pt>
                <c:pt idx="4">
                  <c:v>161.79</c:v>
                </c:pt>
                <c:pt idx="5">
                  <c:v>8.94</c:v>
                </c:pt>
                <c:pt idx="6">
                  <c:v>365.04</c:v>
                </c:pt>
                <c:pt idx="7">
                  <c:v>220.32</c:v>
                </c:pt>
                <c:pt idx="8">
                  <c:v>127.64</c:v>
                </c:pt>
                <c:pt idx="9">
                  <c:v>105.69</c:v>
                </c:pt>
                <c:pt idx="10">
                  <c:v>57.72</c:v>
                </c:pt>
                <c:pt idx="11">
                  <c:v>23.58</c:v>
                </c:pt>
                <c:pt idx="12">
                  <c:v>13.82</c:v>
                </c:pt>
                <c:pt idx="13">
                  <c:v>13.82</c:v>
                </c:pt>
                <c:pt idx="14">
                  <c:v>86.99</c:v>
                </c:pt>
                <c:pt idx="15">
                  <c:v>165.85</c:v>
                </c:pt>
                <c:pt idx="16">
                  <c:v>116.26</c:v>
                </c:pt>
                <c:pt idx="17">
                  <c:v>42.28</c:v>
                </c:pt>
                <c:pt idx="18">
                  <c:v>52.84</c:v>
                </c:pt>
                <c:pt idx="19">
                  <c:v>165.04</c:v>
                </c:pt>
                <c:pt idx="20">
                  <c:v>10.57</c:v>
                </c:pt>
                <c:pt idx="21">
                  <c:v>13.82</c:v>
                </c:pt>
                <c:pt idx="22">
                  <c:v>8.1300000000000008</c:v>
                </c:pt>
                <c:pt idx="23">
                  <c:v>58.44</c:v>
                </c:pt>
                <c:pt idx="24">
                  <c:v>21.14</c:v>
                </c:pt>
              </c:numCache>
            </c:numRef>
          </c:xVal>
          <c:yVal>
            <c:numRef>
              <c:f>'backward elimination step 3'!$C$56:$C$80</c:f>
              <c:numCache>
                <c:formatCode>General</c:formatCode>
                <c:ptCount val="25"/>
                <c:pt idx="0">
                  <c:v>164.95487192037172</c:v>
                </c:pt>
                <c:pt idx="1">
                  <c:v>-427.2150905607059</c:v>
                </c:pt>
                <c:pt idx="2">
                  <c:v>-479.82286895709649</c:v>
                </c:pt>
                <c:pt idx="3">
                  <c:v>-236.35805508626709</c:v>
                </c:pt>
                <c:pt idx="4">
                  <c:v>710.72820250775021</c:v>
                </c:pt>
                <c:pt idx="5">
                  <c:v>108.87000791033392</c:v>
                </c:pt>
                <c:pt idx="6">
                  <c:v>-94.538553223049348</c:v>
                </c:pt>
                <c:pt idx="7">
                  <c:v>260.48435854788841</c:v>
                </c:pt>
                <c:pt idx="8">
                  <c:v>464.08406012708474</c:v>
                </c:pt>
                <c:pt idx="9">
                  <c:v>732.74563136585857</c:v>
                </c:pt>
                <c:pt idx="10">
                  <c:v>-34.886441228680269</c:v>
                </c:pt>
                <c:pt idx="11">
                  <c:v>706.2677823259678</c:v>
                </c:pt>
                <c:pt idx="12">
                  <c:v>-69.99809652516069</c:v>
                </c:pt>
                <c:pt idx="13">
                  <c:v>-13.987275844103806</c:v>
                </c:pt>
                <c:pt idx="14">
                  <c:v>-210.76978970398523</c:v>
                </c:pt>
                <c:pt idx="15">
                  <c:v>-174.84289094402811</c:v>
                </c:pt>
                <c:pt idx="16">
                  <c:v>-73.260234533111088</c:v>
                </c:pt>
                <c:pt idx="17">
                  <c:v>-106.57595974872129</c:v>
                </c:pt>
                <c:pt idx="18">
                  <c:v>-360.8080383457791</c:v>
                </c:pt>
                <c:pt idx="19">
                  <c:v>-602.83071020813122</c:v>
                </c:pt>
                <c:pt idx="20">
                  <c:v>331.60176448484913</c:v>
                </c:pt>
                <c:pt idx="21">
                  <c:v>-458.36858493481122</c:v>
                </c:pt>
                <c:pt idx="22">
                  <c:v>-39.535869705722007</c:v>
                </c:pt>
                <c:pt idx="23">
                  <c:v>-407.18037775513767</c:v>
                </c:pt>
                <c:pt idx="24">
                  <c:v>311.24215811440854</c:v>
                </c:pt>
              </c:numCache>
            </c:numRef>
          </c:yVal>
          <c:smooth val="0"/>
          <c:extLst>
            <c:ext xmlns:c16="http://schemas.microsoft.com/office/drawing/2014/chart" uri="{C3380CC4-5D6E-409C-BE32-E72D297353CC}">
              <c16:uniqueId val="{00000001-66E5-473B-BA08-56935D42768A}"/>
            </c:ext>
          </c:extLst>
        </c:ser>
        <c:dLbls>
          <c:showLegendKey val="0"/>
          <c:showVal val="0"/>
          <c:showCatName val="0"/>
          <c:showSerName val="0"/>
          <c:showPercent val="0"/>
          <c:showBubbleSize val="0"/>
        </c:dLbls>
        <c:axId val="879494367"/>
        <c:axId val="752119951"/>
      </c:scatterChart>
      <c:valAx>
        <c:axId val="879494367"/>
        <c:scaling>
          <c:orientation val="minMax"/>
        </c:scaling>
        <c:delete val="0"/>
        <c:axPos val="b"/>
        <c:title>
          <c:tx>
            <c:rich>
              <a:bodyPr/>
              <a:lstStyle/>
              <a:p>
                <a:pPr>
                  <a:defRPr/>
                </a:pPr>
                <a:r>
                  <a:rPr lang="en-US"/>
                  <a:t>Time</a:t>
                </a:r>
              </a:p>
            </c:rich>
          </c:tx>
          <c:overlay val="0"/>
        </c:title>
        <c:numFmt formatCode="General" sourceLinked="1"/>
        <c:majorTickMark val="out"/>
        <c:minorTickMark val="none"/>
        <c:tickLblPos val="nextTo"/>
        <c:crossAx val="752119951"/>
        <c:crosses val="autoZero"/>
        <c:crossBetween val="midCat"/>
      </c:valAx>
      <c:valAx>
        <c:axId val="75211995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87949436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Poten  Residual Plot</a:t>
            </a:r>
          </a:p>
        </c:rich>
      </c:tx>
      <c:overlay val="0"/>
    </c:title>
    <c:autoTitleDeleted val="0"/>
    <c:plotArea>
      <c:layout/>
      <c:scatterChart>
        <c:scatterStyle val="lineMarker"/>
        <c:varyColors val="0"/>
        <c:ser>
          <c:idx val="0"/>
          <c:order val="0"/>
          <c:spPr>
            <a:ln w="19050">
              <a:noFill/>
            </a:ln>
          </c:spPr>
          <c:xVal>
            <c:numRef>
              <c:f>'backward elimination step 3'!$C$2:$C$26</c:f>
              <c:numCache>
                <c:formatCode>General</c:formatCode>
                <c:ptCount val="25"/>
                <c:pt idx="0">
                  <c:v>74065.100000000006</c:v>
                </c:pt>
                <c:pt idx="1">
                  <c:v>58117.3</c:v>
                </c:pt>
                <c:pt idx="2">
                  <c:v>21118.5</c:v>
                </c:pt>
                <c:pt idx="3">
                  <c:v>68521.3</c:v>
                </c:pt>
                <c:pt idx="4">
                  <c:v>57805.1</c:v>
                </c:pt>
                <c:pt idx="5">
                  <c:v>37806.9</c:v>
                </c:pt>
                <c:pt idx="6">
                  <c:v>50935.3</c:v>
                </c:pt>
                <c:pt idx="7">
                  <c:v>35602.1</c:v>
                </c:pt>
                <c:pt idx="8">
                  <c:v>46176.800000000003</c:v>
                </c:pt>
                <c:pt idx="9">
                  <c:v>42053.2</c:v>
                </c:pt>
                <c:pt idx="10">
                  <c:v>36829.699999999997</c:v>
                </c:pt>
                <c:pt idx="11">
                  <c:v>33612.699999999997</c:v>
                </c:pt>
                <c:pt idx="12">
                  <c:v>21412.799999999999</c:v>
                </c:pt>
                <c:pt idx="13">
                  <c:v>20416.900000000001</c:v>
                </c:pt>
                <c:pt idx="14">
                  <c:v>36272</c:v>
                </c:pt>
                <c:pt idx="15">
                  <c:v>23093.3</c:v>
                </c:pt>
                <c:pt idx="16">
                  <c:v>26878.6</c:v>
                </c:pt>
                <c:pt idx="17">
                  <c:v>39572</c:v>
                </c:pt>
                <c:pt idx="18">
                  <c:v>51866.1</c:v>
                </c:pt>
                <c:pt idx="19">
                  <c:v>58749.8</c:v>
                </c:pt>
                <c:pt idx="20">
                  <c:v>23990.799999999999</c:v>
                </c:pt>
                <c:pt idx="21">
                  <c:v>25694.9</c:v>
                </c:pt>
                <c:pt idx="22">
                  <c:v>23736.3</c:v>
                </c:pt>
                <c:pt idx="23">
                  <c:v>34314.300000000003</c:v>
                </c:pt>
                <c:pt idx="24">
                  <c:v>22809.5</c:v>
                </c:pt>
              </c:numCache>
            </c:numRef>
          </c:xVal>
          <c:yVal>
            <c:numRef>
              <c:f>'backward elimination step 3'!$C$56:$C$80</c:f>
              <c:numCache>
                <c:formatCode>General</c:formatCode>
                <c:ptCount val="25"/>
                <c:pt idx="0">
                  <c:v>164.95487192037172</c:v>
                </c:pt>
                <c:pt idx="1">
                  <c:v>-427.2150905607059</c:v>
                </c:pt>
                <c:pt idx="2">
                  <c:v>-479.82286895709649</c:v>
                </c:pt>
                <c:pt idx="3">
                  <c:v>-236.35805508626709</c:v>
                </c:pt>
                <c:pt idx="4">
                  <c:v>710.72820250775021</c:v>
                </c:pt>
                <c:pt idx="5">
                  <c:v>108.87000791033392</c:v>
                </c:pt>
                <c:pt idx="6">
                  <c:v>-94.538553223049348</c:v>
                </c:pt>
                <c:pt idx="7">
                  <c:v>260.48435854788841</c:v>
                </c:pt>
                <c:pt idx="8">
                  <c:v>464.08406012708474</c:v>
                </c:pt>
                <c:pt idx="9">
                  <c:v>732.74563136585857</c:v>
                </c:pt>
                <c:pt idx="10">
                  <c:v>-34.886441228680269</c:v>
                </c:pt>
                <c:pt idx="11">
                  <c:v>706.2677823259678</c:v>
                </c:pt>
                <c:pt idx="12">
                  <c:v>-69.99809652516069</c:v>
                </c:pt>
                <c:pt idx="13">
                  <c:v>-13.987275844103806</c:v>
                </c:pt>
                <c:pt idx="14">
                  <c:v>-210.76978970398523</c:v>
                </c:pt>
                <c:pt idx="15">
                  <c:v>-174.84289094402811</c:v>
                </c:pt>
                <c:pt idx="16">
                  <c:v>-73.260234533111088</c:v>
                </c:pt>
                <c:pt idx="17">
                  <c:v>-106.57595974872129</c:v>
                </c:pt>
                <c:pt idx="18">
                  <c:v>-360.8080383457791</c:v>
                </c:pt>
                <c:pt idx="19">
                  <c:v>-602.83071020813122</c:v>
                </c:pt>
                <c:pt idx="20">
                  <c:v>331.60176448484913</c:v>
                </c:pt>
                <c:pt idx="21">
                  <c:v>-458.36858493481122</c:v>
                </c:pt>
                <c:pt idx="22">
                  <c:v>-39.535869705722007</c:v>
                </c:pt>
                <c:pt idx="23">
                  <c:v>-407.18037775513767</c:v>
                </c:pt>
                <c:pt idx="24">
                  <c:v>311.24215811440854</c:v>
                </c:pt>
              </c:numCache>
            </c:numRef>
          </c:yVal>
          <c:smooth val="0"/>
          <c:extLst>
            <c:ext xmlns:c16="http://schemas.microsoft.com/office/drawing/2014/chart" uri="{C3380CC4-5D6E-409C-BE32-E72D297353CC}">
              <c16:uniqueId val="{00000001-000E-4995-B0B1-BFAA975412EF}"/>
            </c:ext>
          </c:extLst>
        </c:ser>
        <c:dLbls>
          <c:showLegendKey val="0"/>
          <c:showVal val="0"/>
          <c:showCatName val="0"/>
          <c:showSerName val="0"/>
          <c:showPercent val="0"/>
          <c:showBubbleSize val="0"/>
        </c:dLbls>
        <c:axId val="793130223"/>
        <c:axId val="611246655"/>
      </c:scatterChart>
      <c:valAx>
        <c:axId val="793130223"/>
        <c:scaling>
          <c:orientation val="minMax"/>
        </c:scaling>
        <c:delete val="0"/>
        <c:axPos val="b"/>
        <c:title>
          <c:tx>
            <c:rich>
              <a:bodyPr/>
              <a:lstStyle/>
              <a:p>
                <a:pPr>
                  <a:defRPr/>
                </a:pPr>
                <a:r>
                  <a:rPr lang="en-US"/>
                  <a:t>Poten</a:t>
                </a:r>
              </a:p>
            </c:rich>
          </c:tx>
          <c:overlay val="0"/>
        </c:title>
        <c:numFmt formatCode="General" sourceLinked="1"/>
        <c:majorTickMark val="out"/>
        <c:minorTickMark val="none"/>
        <c:tickLblPos val="nextTo"/>
        <c:crossAx val="611246655"/>
        <c:crosses val="autoZero"/>
        <c:crossBetween val="midCat"/>
      </c:valAx>
      <c:valAx>
        <c:axId val="61124665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931302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AdvExp  Residual Plot</a:t>
            </a:r>
          </a:p>
        </c:rich>
      </c:tx>
      <c:overlay val="0"/>
    </c:title>
    <c:autoTitleDeleted val="0"/>
    <c:plotArea>
      <c:layout/>
      <c:scatterChart>
        <c:scatterStyle val="lineMarker"/>
        <c:varyColors val="0"/>
        <c:ser>
          <c:idx val="0"/>
          <c:order val="0"/>
          <c:spPr>
            <a:ln w="19050">
              <a:noFill/>
            </a:ln>
          </c:spPr>
          <c:xVal>
            <c:numRef>
              <c:f>'backward elimination step 3'!$D$2:$D$26</c:f>
              <c:numCache>
                <c:formatCode>General</c:formatCode>
                <c:ptCount val="25"/>
                <c:pt idx="0">
                  <c:v>4582.8999999999996</c:v>
                </c:pt>
                <c:pt idx="1">
                  <c:v>5539.8</c:v>
                </c:pt>
                <c:pt idx="2">
                  <c:v>2950.4</c:v>
                </c:pt>
                <c:pt idx="3">
                  <c:v>2243.1</c:v>
                </c:pt>
                <c:pt idx="4">
                  <c:v>7747.1</c:v>
                </c:pt>
                <c:pt idx="5">
                  <c:v>402.4</c:v>
                </c:pt>
                <c:pt idx="6">
                  <c:v>3140.6</c:v>
                </c:pt>
                <c:pt idx="7">
                  <c:v>2086.1999999999998</c:v>
                </c:pt>
                <c:pt idx="8">
                  <c:v>8846.2000000000007</c:v>
                </c:pt>
                <c:pt idx="9">
                  <c:v>5673.1</c:v>
                </c:pt>
                <c:pt idx="10">
                  <c:v>2761.8</c:v>
                </c:pt>
                <c:pt idx="11">
                  <c:v>1991.8</c:v>
                </c:pt>
                <c:pt idx="12">
                  <c:v>1971.5</c:v>
                </c:pt>
                <c:pt idx="13">
                  <c:v>1737.4</c:v>
                </c:pt>
                <c:pt idx="14">
                  <c:v>10694.2</c:v>
                </c:pt>
                <c:pt idx="15">
                  <c:v>8618.6</c:v>
                </c:pt>
                <c:pt idx="16">
                  <c:v>7747.9</c:v>
                </c:pt>
                <c:pt idx="17">
                  <c:v>4565.8</c:v>
                </c:pt>
                <c:pt idx="18">
                  <c:v>6022.7</c:v>
                </c:pt>
                <c:pt idx="19">
                  <c:v>3721.1</c:v>
                </c:pt>
                <c:pt idx="20">
                  <c:v>861</c:v>
                </c:pt>
                <c:pt idx="21">
                  <c:v>3571.5</c:v>
                </c:pt>
                <c:pt idx="22">
                  <c:v>2845.5</c:v>
                </c:pt>
                <c:pt idx="23">
                  <c:v>5060.1000000000004</c:v>
                </c:pt>
                <c:pt idx="24">
                  <c:v>3552</c:v>
                </c:pt>
              </c:numCache>
            </c:numRef>
          </c:xVal>
          <c:yVal>
            <c:numRef>
              <c:f>'backward elimination step 3'!$C$56:$C$80</c:f>
              <c:numCache>
                <c:formatCode>General</c:formatCode>
                <c:ptCount val="25"/>
                <c:pt idx="0">
                  <c:v>164.95487192037172</c:v>
                </c:pt>
                <c:pt idx="1">
                  <c:v>-427.2150905607059</c:v>
                </c:pt>
                <c:pt idx="2">
                  <c:v>-479.82286895709649</c:v>
                </c:pt>
                <c:pt idx="3">
                  <c:v>-236.35805508626709</c:v>
                </c:pt>
                <c:pt idx="4">
                  <c:v>710.72820250775021</c:v>
                </c:pt>
                <c:pt idx="5">
                  <c:v>108.87000791033392</c:v>
                </c:pt>
                <c:pt idx="6">
                  <c:v>-94.538553223049348</c:v>
                </c:pt>
                <c:pt idx="7">
                  <c:v>260.48435854788841</c:v>
                </c:pt>
                <c:pt idx="8">
                  <c:v>464.08406012708474</c:v>
                </c:pt>
                <c:pt idx="9">
                  <c:v>732.74563136585857</c:v>
                </c:pt>
                <c:pt idx="10">
                  <c:v>-34.886441228680269</c:v>
                </c:pt>
                <c:pt idx="11">
                  <c:v>706.2677823259678</c:v>
                </c:pt>
                <c:pt idx="12">
                  <c:v>-69.99809652516069</c:v>
                </c:pt>
                <c:pt idx="13">
                  <c:v>-13.987275844103806</c:v>
                </c:pt>
                <c:pt idx="14">
                  <c:v>-210.76978970398523</c:v>
                </c:pt>
                <c:pt idx="15">
                  <c:v>-174.84289094402811</c:v>
                </c:pt>
                <c:pt idx="16">
                  <c:v>-73.260234533111088</c:v>
                </c:pt>
                <c:pt idx="17">
                  <c:v>-106.57595974872129</c:v>
                </c:pt>
                <c:pt idx="18">
                  <c:v>-360.8080383457791</c:v>
                </c:pt>
                <c:pt idx="19">
                  <c:v>-602.83071020813122</c:v>
                </c:pt>
                <c:pt idx="20">
                  <c:v>331.60176448484913</c:v>
                </c:pt>
                <c:pt idx="21">
                  <c:v>-458.36858493481122</c:v>
                </c:pt>
                <c:pt idx="22">
                  <c:v>-39.535869705722007</c:v>
                </c:pt>
                <c:pt idx="23">
                  <c:v>-407.18037775513767</c:v>
                </c:pt>
                <c:pt idx="24">
                  <c:v>311.24215811440854</c:v>
                </c:pt>
              </c:numCache>
            </c:numRef>
          </c:yVal>
          <c:smooth val="0"/>
          <c:extLst>
            <c:ext xmlns:c16="http://schemas.microsoft.com/office/drawing/2014/chart" uri="{C3380CC4-5D6E-409C-BE32-E72D297353CC}">
              <c16:uniqueId val="{00000001-8B6D-40CC-8DB4-22C096B8F385}"/>
            </c:ext>
          </c:extLst>
        </c:ser>
        <c:dLbls>
          <c:showLegendKey val="0"/>
          <c:showVal val="0"/>
          <c:showCatName val="0"/>
          <c:showSerName val="0"/>
          <c:showPercent val="0"/>
          <c:showBubbleSize val="0"/>
        </c:dLbls>
        <c:axId val="793130687"/>
        <c:axId val="611247615"/>
      </c:scatterChart>
      <c:valAx>
        <c:axId val="793130687"/>
        <c:scaling>
          <c:orientation val="minMax"/>
        </c:scaling>
        <c:delete val="0"/>
        <c:axPos val="b"/>
        <c:title>
          <c:tx>
            <c:rich>
              <a:bodyPr/>
              <a:lstStyle/>
              <a:p>
                <a:pPr>
                  <a:defRPr/>
                </a:pPr>
                <a:r>
                  <a:rPr lang="en-US"/>
                  <a:t>AdvExp</a:t>
                </a:r>
              </a:p>
            </c:rich>
          </c:tx>
          <c:overlay val="0"/>
        </c:title>
        <c:numFmt formatCode="General" sourceLinked="1"/>
        <c:majorTickMark val="out"/>
        <c:minorTickMark val="none"/>
        <c:tickLblPos val="nextTo"/>
        <c:crossAx val="611247615"/>
        <c:crosses val="autoZero"/>
        <c:crossBetween val="midCat"/>
      </c:valAx>
      <c:valAx>
        <c:axId val="61124761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9313068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Share  Residual Plot</a:t>
            </a:r>
          </a:p>
        </c:rich>
      </c:tx>
      <c:overlay val="0"/>
    </c:title>
    <c:autoTitleDeleted val="0"/>
    <c:plotArea>
      <c:layout/>
      <c:scatterChart>
        <c:scatterStyle val="lineMarker"/>
        <c:varyColors val="0"/>
        <c:ser>
          <c:idx val="0"/>
          <c:order val="0"/>
          <c:spPr>
            <a:ln w="19050">
              <a:noFill/>
            </a:ln>
          </c:spPr>
          <c:xVal>
            <c:numRef>
              <c:f>'backward elimination step 3'!$E$2:$E$26</c:f>
              <c:numCache>
                <c:formatCode>General</c:formatCode>
                <c:ptCount val="25"/>
                <c:pt idx="0">
                  <c:v>2.5099999999999998</c:v>
                </c:pt>
                <c:pt idx="1">
                  <c:v>5.51</c:v>
                </c:pt>
                <c:pt idx="2">
                  <c:v>10.91</c:v>
                </c:pt>
                <c:pt idx="3">
                  <c:v>8.27</c:v>
                </c:pt>
                <c:pt idx="4">
                  <c:v>9.15</c:v>
                </c:pt>
                <c:pt idx="5">
                  <c:v>5.51</c:v>
                </c:pt>
                <c:pt idx="6">
                  <c:v>8.5399999999999991</c:v>
                </c:pt>
                <c:pt idx="7">
                  <c:v>7.07</c:v>
                </c:pt>
                <c:pt idx="8">
                  <c:v>12.54</c:v>
                </c:pt>
                <c:pt idx="9">
                  <c:v>8.85</c:v>
                </c:pt>
                <c:pt idx="10">
                  <c:v>5.38</c:v>
                </c:pt>
                <c:pt idx="11">
                  <c:v>5.43</c:v>
                </c:pt>
                <c:pt idx="12">
                  <c:v>8.48</c:v>
                </c:pt>
                <c:pt idx="13">
                  <c:v>7.8</c:v>
                </c:pt>
                <c:pt idx="14">
                  <c:v>10.34</c:v>
                </c:pt>
                <c:pt idx="15">
                  <c:v>5.15</c:v>
                </c:pt>
                <c:pt idx="16">
                  <c:v>6.64</c:v>
                </c:pt>
                <c:pt idx="17">
                  <c:v>5.45</c:v>
                </c:pt>
                <c:pt idx="18">
                  <c:v>6.31</c:v>
                </c:pt>
                <c:pt idx="19">
                  <c:v>6.35</c:v>
                </c:pt>
                <c:pt idx="20">
                  <c:v>7.37</c:v>
                </c:pt>
                <c:pt idx="21">
                  <c:v>8.39</c:v>
                </c:pt>
                <c:pt idx="22">
                  <c:v>5.15</c:v>
                </c:pt>
                <c:pt idx="23">
                  <c:v>12.88</c:v>
                </c:pt>
                <c:pt idx="24">
                  <c:v>9.14</c:v>
                </c:pt>
              </c:numCache>
            </c:numRef>
          </c:xVal>
          <c:yVal>
            <c:numRef>
              <c:f>'backward elimination step 3'!$C$56:$C$80</c:f>
              <c:numCache>
                <c:formatCode>General</c:formatCode>
                <c:ptCount val="25"/>
                <c:pt idx="0">
                  <c:v>164.95487192037172</c:v>
                </c:pt>
                <c:pt idx="1">
                  <c:v>-427.2150905607059</c:v>
                </c:pt>
                <c:pt idx="2">
                  <c:v>-479.82286895709649</c:v>
                </c:pt>
                <c:pt idx="3">
                  <c:v>-236.35805508626709</c:v>
                </c:pt>
                <c:pt idx="4">
                  <c:v>710.72820250775021</c:v>
                </c:pt>
                <c:pt idx="5">
                  <c:v>108.87000791033392</c:v>
                </c:pt>
                <c:pt idx="6">
                  <c:v>-94.538553223049348</c:v>
                </c:pt>
                <c:pt idx="7">
                  <c:v>260.48435854788841</c:v>
                </c:pt>
                <c:pt idx="8">
                  <c:v>464.08406012708474</c:v>
                </c:pt>
                <c:pt idx="9">
                  <c:v>732.74563136585857</c:v>
                </c:pt>
                <c:pt idx="10">
                  <c:v>-34.886441228680269</c:v>
                </c:pt>
                <c:pt idx="11">
                  <c:v>706.2677823259678</c:v>
                </c:pt>
                <c:pt idx="12">
                  <c:v>-69.99809652516069</c:v>
                </c:pt>
                <c:pt idx="13">
                  <c:v>-13.987275844103806</c:v>
                </c:pt>
                <c:pt idx="14">
                  <c:v>-210.76978970398523</c:v>
                </c:pt>
                <c:pt idx="15">
                  <c:v>-174.84289094402811</c:v>
                </c:pt>
                <c:pt idx="16">
                  <c:v>-73.260234533111088</c:v>
                </c:pt>
                <c:pt idx="17">
                  <c:v>-106.57595974872129</c:v>
                </c:pt>
                <c:pt idx="18">
                  <c:v>-360.8080383457791</c:v>
                </c:pt>
                <c:pt idx="19">
                  <c:v>-602.83071020813122</c:v>
                </c:pt>
                <c:pt idx="20">
                  <c:v>331.60176448484913</c:v>
                </c:pt>
                <c:pt idx="21">
                  <c:v>-458.36858493481122</c:v>
                </c:pt>
                <c:pt idx="22">
                  <c:v>-39.535869705722007</c:v>
                </c:pt>
                <c:pt idx="23">
                  <c:v>-407.18037775513767</c:v>
                </c:pt>
                <c:pt idx="24">
                  <c:v>311.24215811440854</c:v>
                </c:pt>
              </c:numCache>
            </c:numRef>
          </c:yVal>
          <c:smooth val="0"/>
          <c:extLst>
            <c:ext xmlns:c16="http://schemas.microsoft.com/office/drawing/2014/chart" uri="{C3380CC4-5D6E-409C-BE32-E72D297353CC}">
              <c16:uniqueId val="{00000001-637D-4264-9070-250434EC05BA}"/>
            </c:ext>
          </c:extLst>
        </c:ser>
        <c:dLbls>
          <c:showLegendKey val="0"/>
          <c:showVal val="0"/>
          <c:showCatName val="0"/>
          <c:showSerName val="0"/>
          <c:showPercent val="0"/>
          <c:showBubbleSize val="0"/>
        </c:dLbls>
        <c:axId val="793125119"/>
        <c:axId val="838611599"/>
      </c:scatterChart>
      <c:valAx>
        <c:axId val="793125119"/>
        <c:scaling>
          <c:orientation val="minMax"/>
        </c:scaling>
        <c:delete val="0"/>
        <c:axPos val="b"/>
        <c:title>
          <c:tx>
            <c:rich>
              <a:bodyPr/>
              <a:lstStyle/>
              <a:p>
                <a:pPr>
                  <a:defRPr/>
                </a:pPr>
                <a:r>
                  <a:rPr lang="en-US"/>
                  <a:t>Share</a:t>
                </a:r>
              </a:p>
            </c:rich>
          </c:tx>
          <c:overlay val="0"/>
        </c:title>
        <c:numFmt formatCode="General" sourceLinked="1"/>
        <c:majorTickMark val="out"/>
        <c:minorTickMark val="none"/>
        <c:tickLblPos val="nextTo"/>
        <c:crossAx val="838611599"/>
        <c:crosses val="autoZero"/>
        <c:crossBetween val="midCat"/>
      </c:valAx>
      <c:valAx>
        <c:axId val="83861159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9312511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Change  Residual Plot</a:t>
            </a:r>
          </a:p>
        </c:rich>
      </c:tx>
      <c:overlay val="0"/>
    </c:title>
    <c:autoTitleDeleted val="0"/>
    <c:plotArea>
      <c:layout/>
      <c:scatterChart>
        <c:scatterStyle val="lineMarker"/>
        <c:varyColors val="0"/>
        <c:ser>
          <c:idx val="0"/>
          <c:order val="0"/>
          <c:spPr>
            <a:ln w="19050">
              <a:noFill/>
            </a:ln>
          </c:spPr>
          <c:xVal>
            <c:numRef>
              <c:f>'backward elimination step 3'!$F$2:$F$26</c:f>
              <c:numCache>
                <c:formatCode>General</c:formatCode>
                <c:ptCount val="25"/>
                <c:pt idx="0">
                  <c:v>0.34</c:v>
                </c:pt>
                <c:pt idx="1">
                  <c:v>0.15</c:v>
                </c:pt>
                <c:pt idx="2">
                  <c:v>-0.72</c:v>
                </c:pt>
                <c:pt idx="3">
                  <c:v>0.17</c:v>
                </c:pt>
                <c:pt idx="4">
                  <c:v>0.5</c:v>
                </c:pt>
                <c:pt idx="5">
                  <c:v>0.15</c:v>
                </c:pt>
                <c:pt idx="6">
                  <c:v>0.55000000000000004</c:v>
                </c:pt>
                <c:pt idx="7">
                  <c:v>-0.49</c:v>
                </c:pt>
                <c:pt idx="8">
                  <c:v>1.24</c:v>
                </c:pt>
                <c:pt idx="9">
                  <c:v>0.31</c:v>
                </c:pt>
                <c:pt idx="10">
                  <c:v>0.37</c:v>
                </c:pt>
                <c:pt idx="11">
                  <c:v>-0.65</c:v>
                </c:pt>
                <c:pt idx="12">
                  <c:v>0.64</c:v>
                </c:pt>
                <c:pt idx="13">
                  <c:v>1.01</c:v>
                </c:pt>
                <c:pt idx="14">
                  <c:v>0.11</c:v>
                </c:pt>
                <c:pt idx="15">
                  <c:v>0.04</c:v>
                </c:pt>
                <c:pt idx="16">
                  <c:v>0.68</c:v>
                </c:pt>
                <c:pt idx="17">
                  <c:v>0.66</c:v>
                </c:pt>
                <c:pt idx="18">
                  <c:v>-0.1</c:v>
                </c:pt>
                <c:pt idx="19">
                  <c:v>-0.03</c:v>
                </c:pt>
                <c:pt idx="20">
                  <c:v>-1.63</c:v>
                </c:pt>
                <c:pt idx="21">
                  <c:v>-0.43</c:v>
                </c:pt>
                <c:pt idx="22">
                  <c:v>0.04</c:v>
                </c:pt>
                <c:pt idx="23">
                  <c:v>0.22</c:v>
                </c:pt>
                <c:pt idx="24">
                  <c:v>-0.74</c:v>
                </c:pt>
              </c:numCache>
            </c:numRef>
          </c:xVal>
          <c:yVal>
            <c:numRef>
              <c:f>'backward elimination step 3'!$C$56:$C$80</c:f>
              <c:numCache>
                <c:formatCode>General</c:formatCode>
                <c:ptCount val="25"/>
                <c:pt idx="0">
                  <c:v>164.95487192037172</c:v>
                </c:pt>
                <c:pt idx="1">
                  <c:v>-427.2150905607059</c:v>
                </c:pt>
                <c:pt idx="2">
                  <c:v>-479.82286895709649</c:v>
                </c:pt>
                <c:pt idx="3">
                  <c:v>-236.35805508626709</c:v>
                </c:pt>
                <c:pt idx="4">
                  <c:v>710.72820250775021</c:v>
                </c:pt>
                <c:pt idx="5">
                  <c:v>108.87000791033392</c:v>
                </c:pt>
                <c:pt idx="6">
                  <c:v>-94.538553223049348</c:v>
                </c:pt>
                <c:pt idx="7">
                  <c:v>260.48435854788841</c:v>
                </c:pt>
                <c:pt idx="8">
                  <c:v>464.08406012708474</c:v>
                </c:pt>
                <c:pt idx="9">
                  <c:v>732.74563136585857</c:v>
                </c:pt>
                <c:pt idx="10">
                  <c:v>-34.886441228680269</c:v>
                </c:pt>
                <c:pt idx="11">
                  <c:v>706.2677823259678</c:v>
                </c:pt>
                <c:pt idx="12">
                  <c:v>-69.99809652516069</c:v>
                </c:pt>
                <c:pt idx="13">
                  <c:v>-13.987275844103806</c:v>
                </c:pt>
                <c:pt idx="14">
                  <c:v>-210.76978970398523</c:v>
                </c:pt>
                <c:pt idx="15">
                  <c:v>-174.84289094402811</c:v>
                </c:pt>
                <c:pt idx="16">
                  <c:v>-73.260234533111088</c:v>
                </c:pt>
                <c:pt idx="17">
                  <c:v>-106.57595974872129</c:v>
                </c:pt>
                <c:pt idx="18">
                  <c:v>-360.8080383457791</c:v>
                </c:pt>
                <c:pt idx="19">
                  <c:v>-602.83071020813122</c:v>
                </c:pt>
                <c:pt idx="20">
                  <c:v>331.60176448484913</c:v>
                </c:pt>
                <c:pt idx="21">
                  <c:v>-458.36858493481122</c:v>
                </c:pt>
                <c:pt idx="22">
                  <c:v>-39.535869705722007</c:v>
                </c:pt>
                <c:pt idx="23">
                  <c:v>-407.18037775513767</c:v>
                </c:pt>
                <c:pt idx="24">
                  <c:v>311.24215811440854</c:v>
                </c:pt>
              </c:numCache>
            </c:numRef>
          </c:yVal>
          <c:smooth val="0"/>
          <c:extLst>
            <c:ext xmlns:c16="http://schemas.microsoft.com/office/drawing/2014/chart" uri="{C3380CC4-5D6E-409C-BE32-E72D297353CC}">
              <c16:uniqueId val="{00000001-BDD4-4F65-AF6E-FD537718BF74}"/>
            </c:ext>
          </c:extLst>
        </c:ser>
        <c:dLbls>
          <c:showLegendKey val="0"/>
          <c:showVal val="0"/>
          <c:showCatName val="0"/>
          <c:showSerName val="0"/>
          <c:showPercent val="0"/>
          <c:showBubbleSize val="0"/>
        </c:dLbls>
        <c:axId val="793125119"/>
        <c:axId val="838608719"/>
      </c:scatterChart>
      <c:valAx>
        <c:axId val="793125119"/>
        <c:scaling>
          <c:orientation val="minMax"/>
        </c:scaling>
        <c:delete val="0"/>
        <c:axPos val="b"/>
        <c:title>
          <c:tx>
            <c:rich>
              <a:bodyPr/>
              <a:lstStyle/>
              <a:p>
                <a:pPr>
                  <a:defRPr/>
                </a:pPr>
                <a:r>
                  <a:rPr lang="en-US"/>
                  <a:t>Change</a:t>
                </a:r>
              </a:p>
            </c:rich>
          </c:tx>
          <c:overlay val="0"/>
        </c:title>
        <c:numFmt formatCode="General" sourceLinked="1"/>
        <c:majorTickMark val="out"/>
        <c:minorTickMark val="none"/>
        <c:tickLblPos val="nextTo"/>
        <c:crossAx val="838608719"/>
        <c:crosses val="autoZero"/>
        <c:crossBetween val="midCat"/>
      </c:valAx>
      <c:valAx>
        <c:axId val="83860871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9312511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FFC000"/>
              </a:solidFill>
              <a:round/>
            </a:ln>
            <a:effectLst/>
          </c:spPr>
          <c:marker>
            <c:symbol val="circle"/>
            <c:size val="5"/>
            <c:spPr>
              <a:solidFill>
                <a:schemeClr val="accent1"/>
              </a:solidFill>
              <a:ln w="9525">
                <a:solidFill>
                  <a:schemeClr val="accent1"/>
                </a:solidFill>
              </a:ln>
              <a:effectLst/>
            </c:spPr>
          </c:marker>
          <c:xVal>
            <c:numRef>
              <c:f>'16.6 Durbin Watson'!$A$58:$A$82</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xVal>
          <c:yVal>
            <c:numRef>
              <c:f>'16.6 Durbin Watson'!$C$58:$C$82</c:f>
              <c:numCache>
                <c:formatCode>0.00</c:formatCode>
                <c:ptCount val="25"/>
                <c:pt idx="0">
                  <c:v>276.94753533392122</c:v>
                </c:pt>
                <c:pt idx="1">
                  <c:v>-343.48872887965217</c:v>
                </c:pt>
                <c:pt idx="2">
                  <c:v>-430.20721820344716</c:v>
                </c:pt>
                <c:pt idx="3">
                  <c:v>-255.20337714569996</c:v>
                </c:pt>
                <c:pt idx="4">
                  <c:v>661.67086102796566</c:v>
                </c:pt>
                <c:pt idx="5">
                  <c:v>53.436553472916785</c:v>
                </c:pt>
                <c:pt idx="6">
                  <c:v>-193.23394334938803</c:v>
                </c:pt>
                <c:pt idx="7">
                  <c:v>394.36998166493822</c:v>
                </c:pt>
                <c:pt idx="8">
                  <c:v>361.0708169381096</c:v>
                </c:pt>
                <c:pt idx="9">
                  <c:v>821.44514705726942</c:v>
                </c:pt>
                <c:pt idx="10">
                  <c:v>-102.15735100248094</c:v>
                </c:pt>
                <c:pt idx="11">
                  <c:v>437.69428724983709</c:v>
                </c:pt>
                <c:pt idx="12">
                  <c:v>-7.9515236865331644</c:v>
                </c:pt>
                <c:pt idx="13">
                  <c:v>58.935950752353165</c:v>
                </c:pt>
                <c:pt idx="14">
                  <c:v>-183.71785047208505</c:v>
                </c:pt>
                <c:pt idx="15">
                  <c:v>-83.050546548206512</c:v>
                </c:pt>
                <c:pt idx="16">
                  <c:v>-190.92260621954438</c:v>
                </c:pt>
                <c:pt idx="17">
                  <c:v>-27.847604307873098</c:v>
                </c:pt>
                <c:pt idx="18">
                  <c:v>-490.45296849429997</c:v>
                </c:pt>
                <c:pt idx="19">
                  <c:v>-531.41275405129227</c:v>
                </c:pt>
                <c:pt idx="20">
                  <c:v>343.99968278844904</c:v>
                </c:pt>
                <c:pt idx="21">
                  <c:v>-501.20305936705518</c:v>
                </c:pt>
                <c:pt idx="22">
                  <c:v>-71.015187246021014</c:v>
                </c:pt>
                <c:pt idx="23">
                  <c:v>-339.95490265298758</c:v>
                </c:pt>
                <c:pt idx="24">
                  <c:v>342.24880534082604</c:v>
                </c:pt>
              </c:numCache>
            </c:numRef>
          </c:yVal>
          <c:smooth val="0"/>
          <c:extLst>
            <c:ext xmlns:c16="http://schemas.microsoft.com/office/drawing/2014/chart" uri="{C3380CC4-5D6E-409C-BE32-E72D297353CC}">
              <c16:uniqueId val="{00000000-FAB2-4343-A8BB-81D427FD75F9}"/>
            </c:ext>
          </c:extLst>
        </c:ser>
        <c:dLbls>
          <c:showLegendKey val="0"/>
          <c:showVal val="0"/>
          <c:showCatName val="0"/>
          <c:showSerName val="0"/>
          <c:showPercent val="0"/>
          <c:showBubbleSize val="0"/>
        </c:dLbls>
        <c:axId val="1400809360"/>
        <c:axId val="1018469584"/>
      </c:scatterChart>
      <c:valAx>
        <c:axId val="14008093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Observations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69584"/>
        <c:crosses val="autoZero"/>
        <c:crossBetween val="midCat"/>
      </c:valAx>
      <c:valAx>
        <c:axId val="101846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809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hyperlink" Target="https://www.statology.org/durbin-watson-table/" TargetMode="External"/><Relationship Id="rId2" Type="http://schemas.openxmlformats.org/officeDocument/2006/relationships/image" Target="../media/image3.png"/><Relationship Id="rId1" Type="http://schemas.openxmlformats.org/officeDocument/2006/relationships/chart" Target="../charts/chart21.xml"/><Relationship Id="rId6" Type="http://schemas.openxmlformats.org/officeDocument/2006/relationships/image" Target="../media/image6.png"/><Relationship Id="rId5" Type="http://schemas.openxmlformats.org/officeDocument/2006/relationships/customXml" Target="../ink/ink1.xml"/><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171450</xdr:colOff>
      <xdr:row>0</xdr:row>
      <xdr:rowOff>142875</xdr:rowOff>
    </xdr:from>
    <xdr:to>
      <xdr:col>19</xdr:col>
      <xdr:colOff>76200</xdr:colOff>
      <xdr:row>31</xdr:row>
      <xdr:rowOff>171450</xdr:rowOff>
    </xdr:to>
    <xdr:sp macro="" textlink="">
      <xdr:nvSpPr>
        <xdr:cNvPr id="2" name="TextBox 1">
          <a:extLst>
            <a:ext uri="{FF2B5EF4-FFF2-40B4-BE49-F238E27FC236}">
              <a16:creationId xmlns:a16="http://schemas.microsoft.com/office/drawing/2014/main" id="{2630E7EE-3821-810D-44E6-2F2C8FF551B8}"/>
            </a:ext>
          </a:extLst>
        </xdr:cNvPr>
        <xdr:cNvSpPr txBox="1"/>
      </xdr:nvSpPr>
      <xdr:spPr>
        <a:xfrm>
          <a:off x="4762500" y="142875"/>
          <a:ext cx="7829550" cy="674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rPr>
            <a:t>For the linear model  yˆ =1.27 + 0.0678x1 , with only the miles traveled time as x1, the error sum of squares for this model was SSE 8.029.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rPr>
            <a:t>When x2, the number of deliveries, was added as a second independent variable, we obtained the following estimated regression equation yˆ =869 + 0.0611x1 +0.923x2  The error sum of squares for this model was SSE 2.299. Clearly, adding x2 resulted in a reduction of SSE. The question we want to answer is: Does adding the variable x2 lead to a significant reduction in SSE?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rPr>
            <a:t>We use the notation SSE(x1) to denote the error sum of squares when x1 is the only independent variable in the model, SSE(x1, x2) to denote the error sum of squares when x1 and x2 are both in the model, and so on. Hence, the reduction in SSE resulting from adding x2 to the model involving just x1 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rPr>
            <a:t>SSE(x1) - SSE(x1, x2) = 8.029 - 2.299 = 5.730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rPr>
            <a:t>An F test is conducted to determine whether this reduction is significant. </a:t>
          </a:r>
          <a:r>
            <a:rPr kumimoji="0" lang="en-US" sz="1100" b="0" i="0" u="none" strike="noStrike" kern="0" cap="none" spc="0" normalizeH="0" baseline="0" noProof="0">
              <a:ln>
                <a:noFill/>
              </a:ln>
              <a:solidFill>
                <a:srgbClr val="00B050"/>
              </a:solidFill>
              <a:effectLst/>
              <a:uLnTx/>
              <a:uFillTx/>
              <a:latin typeface="Arial" panose="020B0604020202020204" pitchFamily="34" charset="0"/>
              <a:cs typeface="Arial" panose="020B0604020202020204" pitchFamily="34" charset="0"/>
            </a:rPr>
            <a:t>The numerator is the reduction in SSE divided by the number of independent variables added to the original variable</a:t>
          </a:r>
          <a:r>
            <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rPr>
            <a:t>. Here only one variable, x2 has been added so the numberator of the  F statistic 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(SSE(x1) - SSE(x1, x2) ) / 1 = 5.730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and the denominator is the Mean square error of the model that includes all of the independent variables (0.3284)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So F= 5.730 / 0.3284 = 17.448239</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Ho: x2 is not statistically significant.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Arial" panose="020B0604020202020204" pitchFamily="34" charset="0"/>
              <a:ea typeface="+mn-ea"/>
              <a:cs typeface="Arial" panose="020B0604020202020204" pitchFamily="34" charset="0"/>
            </a:rPr>
            <a:t>Reject Ho when p value of F is &lt;= 0.05.</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Arial" panose="020B0604020202020204" pitchFamily="34" charset="0"/>
              <a:ea typeface="+mn-ea"/>
              <a:cs typeface="Arial" panose="020B0604020202020204" pitchFamily="34" charset="0"/>
            </a:rPr>
            <a:t>With p value 0.004152 we reject Ho, so adding x2 to the model involving onyly x1 results in a significant reduction in the error sum of squares.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That is the square of 4.17625125072583 (the t test value) for the x2 so this is the same result as the t test of the individual parameter x2. </a:t>
          </a:r>
          <a:r>
            <a:rPr kumimoji="0" lang="en-US" sz="1100" b="0" i="0" u="none" strike="noStrike" kern="0" cap="none" spc="0" normalizeH="0" baseline="0" noProof="0">
              <a:ln>
                <a:noFill/>
              </a:ln>
              <a:solidFill>
                <a:srgbClr val="00B050"/>
              </a:solidFill>
              <a:effectLst/>
              <a:uLnTx/>
              <a:uFillTx/>
              <a:latin typeface="Arial" panose="020B0604020202020204" pitchFamily="34" charset="0"/>
              <a:ea typeface="+mn-ea"/>
              <a:cs typeface="Arial" panose="020B0604020202020204" pitchFamily="34" charset="0"/>
            </a:rPr>
            <a:t>However if only one t test shows the parameter is not significant, then you can drop it, if more then one is shown to not be significant, you can only drop one and retest as dropping one might make the other/s significant.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76200</xdr:colOff>
      <xdr:row>5</xdr:row>
      <xdr:rowOff>152400</xdr:rowOff>
    </xdr:from>
    <xdr:to>
      <xdr:col>13</xdr:col>
      <xdr:colOff>190500</xdr:colOff>
      <xdr:row>17</xdr:row>
      <xdr:rowOff>142875</xdr:rowOff>
    </xdr:to>
    <xdr:sp macro="" textlink="">
      <xdr:nvSpPr>
        <xdr:cNvPr id="2" name="TextBox 1">
          <a:extLst>
            <a:ext uri="{FF2B5EF4-FFF2-40B4-BE49-F238E27FC236}">
              <a16:creationId xmlns:a16="http://schemas.microsoft.com/office/drawing/2014/main" id="{035DE3F3-812A-078A-0E4E-73090FFE35E7}"/>
            </a:ext>
          </a:extLst>
        </xdr:cNvPr>
        <xdr:cNvSpPr txBox="1"/>
      </xdr:nvSpPr>
      <xdr:spPr>
        <a:xfrm>
          <a:off x="4343400" y="1104900"/>
          <a:ext cx="3771900"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View textbook</a:t>
          </a:r>
          <a:r>
            <a:rPr lang="en-US" sz="1600" baseline="0"/>
            <a:t> ch 16.2 general case to view how to test if adding multiple independent variables at once to a model is significant.</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415736</xdr:colOff>
      <xdr:row>10</xdr:row>
      <xdr:rowOff>168085</xdr:rowOff>
    </xdr:from>
    <xdr:to>
      <xdr:col>17</xdr:col>
      <xdr:colOff>33618</xdr:colOff>
      <xdr:row>25</xdr:row>
      <xdr:rowOff>78441</xdr:rowOff>
    </xdr:to>
    <xdr:sp macro="" textlink="">
      <xdr:nvSpPr>
        <xdr:cNvPr id="2" name="TextBox 1">
          <a:extLst>
            <a:ext uri="{FF2B5EF4-FFF2-40B4-BE49-F238E27FC236}">
              <a16:creationId xmlns:a16="http://schemas.microsoft.com/office/drawing/2014/main" id="{B4544DD2-8B85-83BD-8B65-2DBCA734CEC0}"/>
            </a:ext>
          </a:extLst>
        </xdr:cNvPr>
        <xdr:cNvSpPr txBox="1"/>
      </xdr:nvSpPr>
      <xdr:spPr>
        <a:xfrm>
          <a:off x="9257177" y="2073085"/>
          <a:ext cx="3248588" cy="2767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accounts</a:t>
          </a:r>
          <a:r>
            <a:rPr lang="en-US" sz="1100" baseline="0"/>
            <a:t> were used as an independent variable, time would not add much more explanatory power to the model.</a:t>
          </a:r>
        </a:p>
        <a:p>
          <a:r>
            <a:rPr lang="en-US" sz="1100" baseline="0"/>
            <a:t>Multicollinearity can cause problems if the absolute value of the sample correlation coefficient exceeds 0.7 for any 2 independent variables.</a:t>
          </a:r>
        </a:p>
        <a:p>
          <a:r>
            <a:rPr lang="en-US" sz="1100" baseline="0"/>
            <a:t>Looking at the sample correlation coefficient between the dependend variable sales and the each of the independent variables can give us a quick indication of which independent variables are by themselves, good predictors.</a:t>
          </a:r>
        </a:p>
        <a:p>
          <a:r>
            <a:rPr lang="en-US" sz="1100"/>
            <a:t>The square of sample correlation coefficeint is the</a:t>
          </a:r>
          <a:r>
            <a:rPr lang="en-US" sz="1100" baseline="0"/>
            <a:t> coefficient of determinitation, so accounts 0.7539^2 * 100 can explain 66.85% of the variablility in sales.</a:t>
          </a:r>
          <a:endParaRPr lang="en-US" sz="1100"/>
        </a:p>
      </xdr:txBody>
    </xdr:sp>
    <xdr:clientData/>
  </xdr:twoCellAnchor>
  <xdr:twoCellAnchor>
    <xdr:from>
      <xdr:col>11</xdr:col>
      <xdr:colOff>0</xdr:colOff>
      <xdr:row>45</xdr:row>
      <xdr:rowOff>156883</xdr:rowOff>
    </xdr:from>
    <xdr:to>
      <xdr:col>14</xdr:col>
      <xdr:colOff>190500</xdr:colOff>
      <xdr:row>53</xdr:row>
      <xdr:rowOff>11206</xdr:rowOff>
    </xdr:to>
    <xdr:sp macro="" textlink="">
      <xdr:nvSpPr>
        <xdr:cNvPr id="3" name="TextBox 2">
          <a:extLst>
            <a:ext uri="{FF2B5EF4-FFF2-40B4-BE49-F238E27FC236}">
              <a16:creationId xmlns:a16="http://schemas.microsoft.com/office/drawing/2014/main" id="{44121959-17FA-90E2-93E0-7296F7E410B5}"/>
            </a:ext>
          </a:extLst>
        </xdr:cNvPr>
        <xdr:cNvSpPr txBox="1"/>
      </xdr:nvSpPr>
      <xdr:spPr>
        <a:xfrm>
          <a:off x="8841441" y="8785412"/>
          <a:ext cx="2005853" cy="1389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 value &lt;0.05 shows a significant contribution to </a:t>
          </a:r>
          <a:r>
            <a:rPr lang="en-US" sz="1100" baseline="0"/>
            <a:t>the model for the independent variables.</a:t>
          </a:r>
          <a:endParaRPr lang="en-US" sz="1100"/>
        </a:p>
      </xdr:txBody>
    </xdr:sp>
    <xdr:clientData/>
  </xdr:twoCellAnchor>
  <xdr:twoCellAnchor>
    <xdr:from>
      <xdr:col>9</xdr:col>
      <xdr:colOff>414617</xdr:colOff>
      <xdr:row>28</xdr:row>
      <xdr:rowOff>22411</xdr:rowOff>
    </xdr:from>
    <xdr:to>
      <xdr:col>17</xdr:col>
      <xdr:colOff>347382</xdr:colOff>
      <xdr:row>43</xdr:row>
      <xdr:rowOff>44823</xdr:rowOff>
    </xdr:to>
    <xdr:sp macro="" textlink="">
      <xdr:nvSpPr>
        <xdr:cNvPr id="4" name="TextBox 3">
          <a:extLst>
            <a:ext uri="{FF2B5EF4-FFF2-40B4-BE49-F238E27FC236}">
              <a16:creationId xmlns:a16="http://schemas.microsoft.com/office/drawing/2014/main" id="{5AE12775-6E0F-3F3E-E5D8-DDA5B3D8C86C}"/>
            </a:ext>
          </a:extLst>
        </xdr:cNvPr>
        <xdr:cNvSpPr txBox="1"/>
      </xdr:nvSpPr>
      <xdr:spPr>
        <a:xfrm>
          <a:off x="8045823" y="5356411"/>
          <a:ext cx="4773706" cy="2935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Four variable selection procedures</a:t>
          </a:r>
          <a:r>
            <a:rPr lang="en-US" sz="1100" baseline="0"/>
            <a:t> discussed in chapter 16: </a:t>
          </a:r>
        </a:p>
        <a:p>
          <a:r>
            <a:rPr lang="en-US" sz="1100" baseline="0"/>
            <a:t>1: stepwise regression </a:t>
          </a:r>
        </a:p>
        <a:p>
          <a:r>
            <a:rPr lang="en-US" sz="1100" baseline="0"/>
            <a:t>2: forward selection,</a:t>
          </a:r>
        </a:p>
        <a:p>
          <a:r>
            <a:rPr lang="en-US" sz="1100" baseline="0"/>
            <a:t>3: backward elimination</a:t>
          </a:r>
        </a:p>
        <a:p>
          <a:r>
            <a:rPr lang="en-US" sz="1100" baseline="0"/>
            <a:t>4: best-subsets regression.</a:t>
          </a:r>
        </a:p>
        <a:p>
          <a:r>
            <a:rPr lang="en-US" sz="1100" baseline="0"/>
            <a:t>Stepwse regression includes backward eleminitation and forward selection together.</a:t>
          </a:r>
        </a:p>
        <a:p>
          <a:r>
            <a:rPr lang="en-US" sz="1100" baseline="0"/>
            <a:t>The  first 3 procedures are iterative: at each step of the procedure a signle independent variable is added or deleted &amp; the new model is evaluated. The process continues until a stopping criterion indicates that the procedure cannot find a better model. These each use the F statistic to determine with variable to add or delete from the model at each step. </a:t>
          </a:r>
        </a:p>
        <a:p>
          <a:r>
            <a:rPr lang="en-US" sz="1100" baseline="0"/>
            <a:t>The 4 procedure (Best subsets) is not a one variable at a time procedure, it evaluates regression models involving different subsets of independent variables. </a:t>
          </a:r>
          <a:endParaRPr lang="en-US" sz="1100"/>
        </a:p>
      </xdr:txBody>
    </xdr:sp>
    <xdr:clientData/>
  </xdr:twoCellAnchor>
  <xdr:twoCellAnchor editAs="oneCell">
    <xdr:from>
      <xdr:col>20</xdr:col>
      <xdr:colOff>425824</xdr:colOff>
      <xdr:row>4</xdr:row>
      <xdr:rowOff>100853</xdr:rowOff>
    </xdr:from>
    <xdr:to>
      <xdr:col>27</xdr:col>
      <xdr:colOff>392205</xdr:colOff>
      <xdr:row>19</xdr:row>
      <xdr:rowOff>74136</xdr:rowOff>
    </xdr:to>
    <xdr:pic>
      <xdr:nvPicPr>
        <xdr:cNvPr id="6" name="Picture 5">
          <a:extLst>
            <a:ext uri="{FF2B5EF4-FFF2-40B4-BE49-F238E27FC236}">
              <a16:creationId xmlns:a16="http://schemas.microsoft.com/office/drawing/2014/main" id="{0C8BB272-7AAA-3A12-43A6-462C03F011C3}"/>
            </a:ext>
          </a:extLst>
        </xdr:cNvPr>
        <xdr:cNvPicPr>
          <a:picLocks noChangeAspect="1"/>
        </xdr:cNvPicPr>
      </xdr:nvPicPr>
      <xdr:blipFill>
        <a:blip xmlns:r="http://schemas.openxmlformats.org/officeDocument/2006/relationships" r:embed="rId1"/>
        <a:stretch>
          <a:fillRect/>
        </a:stretch>
      </xdr:blipFill>
      <xdr:spPr>
        <a:xfrm>
          <a:off x="14713324" y="862853"/>
          <a:ext cx="4202205" cy="2830783"/>
        </a:xfrm>
        <a:prstGeom prst="rect">
          <a:avLst/>
        </a:prstGeom>
      </xdr:spPr>
    </xdr:pic>
    <xdr:clientData/>
  </xdr:twoCellAnchor>
  <xdr:twoCellAnchor editAs="oneCell">
    <xdr:from>
      <xdr:col>20</xdr:col>
      <xdr:colOff>414618</xdr:colOff>
      <xdr:row>19</xdr:row>
      <xdr:rowOff>89647</xdr:rowOff>
    </xdr:from>
    <xdr:to>
      <xdr:col>27</xdr:col>
      <xdr:colOff>448235</xdr:colOff>
      <xdr:row>34</xdr:row>
      <xdr:rowOff>168088</xdr:rowOff>
    </xdr:to>
    <xdr:pic>
      <xdr:nvPicPr>
        <xdr:cNvPr id="7" name="Picture 6">
          <a:extLst>
            <a:ext uri="{FF2B5EF4-FFF2-40B4-BE49-F238E27FC236}">
              <a16:creationId xmlns:a16="http://schemas.microsoft.com/office/drawing/2014/main" id="{873374B7-9885-4366-EF75-0E0E287BE7D7}"/>
            </a:ext>
          </a:extLst>
        </xdr:cNvPr>
        <xdr:cNvPicPr>
          <a:picLocks noChangeAspect="1"/>
        </xdr:cNvPicPr>
      </xdr:nvPicPr>
      <xdr:blipFill>
        <a:blip xmlns:r="http://schemas.openxmlformats.org/officeDocument/2006/relationships" r:embed="rId2"/>
        <a:stretch>
          <a:fillRect/>
        </a:stretch>
      </xdr:blipFill>
      <xdr:spPr>
        <a:xfrm>
          <a:off x="14702118" y="3709147"/>
          <a:ext cx="4269441" cy="29471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549089</xdr:colOff>
      <xdr:row>7</xdr:row>
      <xdr:rowOff>78441</xdr:rowOff>
    </xdr:from>
    <xdr:to>
      <xdr:col>16</xdr:col>
      <xdr:colOff>369794</xdr:colOff>
      <xdr:row>20</xdr:row>
      <xdr:rowOff>122904</xdr:rowOff>
    </xdr:to>
    <xdr:sp macro="" textlink="">
      <xdr:nvSpPr>
        <xdr:cNvPr id="2" name="TextBox 1">
          <a:extLst>
            <a:ext uri="{FF2B5EF4-FFF2-40B4-BE49-F238E27FC236}">
              <a16:creationId xmlns:a16="http://schemas.microsoft.com/office/drawing/2014/main" id="{BE127D3B-6089-2E02-C7C5-7948E57CA4F5}"/>
            </a:ext>
          </a:extLst>
        </xdr:cNvPr>
        <xdr:cNvSpPr txBox="1"/>
      </xdr:nvSpPr>
      <xdr:spPr>
        <a:xfrm>
          <a:off x="7247315" y="1440618"/>
          <a:ext cx="3968689" cy="2574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baseline="0">
              <a:solidFill>
                <a:schemeClr val="dk1"/>
              </a:solidFill>
              <a:effectLst/>
              <a:latin typeface="+mn-lt"/>
              <a:ea typeface="+mn-ea"/>
              <a:cs typeface="+mn-cs"/>
            </a:rPr>
            <a:t>Ho: Bq+1=Bq+2.... Bp=0</a:t>
          </a:r>
        </a:p>
        <a:p>
          <a:r>
            <a:rPr lang="en-US" sz="1100" b="0" i="0" baseline="0">
              <a:solidFill>
                <a:schemeClr val="dk1"/>
              </a:solidFill>
              <a:effectLst/>
              <a:latin typeface="+mn-lt"/>
              <a:ea typeface="+mn-ea"/>
              <a:cs typeface="+mn-cs"/>
            </a:rPr>
            <a:t>Ha: one or more of the parameters is not equal to zero.</a:t>
          </a:r>
        </a:p>
        <a:p>
          <a:endParaRPr lang="en-US" sz="1100" b="0" i="0" baseline="0">
            <a:solidFill>
              <a:schemeClr val="dk1"/>
            </a:solidFill>
            <a:effectLst/>
            <a:latin typeface="+mn-lt"/>
            <a:ea typeface="+mn-ea"/>
            <a:cs typeface="+mn-cs"/>
          </a:endParaRPr>
        </a:p>
        <a:p>
          <a:r>
            <a:rPr lang="en-US" sz="1100" b="0" i="0">
              <a:solidFill>
                <a:schemeClr val="dk1"/>
              </a:solidFill>
              <a:effectLst/>
              <a:latin typeface="+mn-lt"/>
              <a:ea typeface="+mn-ea"/>
              <a:cs typeface="+mn-cs"/>
            </a:rPr>
            <a:t>If the p-value is less than or equal to </a:t>
          </a:r>
          <a:r>
            <a:rPr lang="el-GR" sz="1100" b="0" i="0">
              <a:solidFill>
                <a:schemeClr val="dk1"/>
              </a:solidFill>
              <a:effectLst/>
              <a:latin typeface="+mn-lt"/>
              <a:ea typeface="+mn-ea"/>
              <a:cs typeface="+mn-cs"/>
            </a:rPr>
            <a:t>α, </a:t>
          </a:r>
          <a:r>
            <a:rPr lang="en-US" sz="1100" b="0" i="0">
              <a:solidFill>
                <a:schemeClr val="dk1"/>
              </a:solidFill>
              <a:effectLst/>
              <a:latin typeface="+mn-lt"/>
              <a:ea typeface="+mn-ea"/>
              <a:cs typeface="+mn-cs"/>
            </a:rPr>
            <a:t>you reject the null hypothesis (H0) and conclude that adding the variables to xq</a:t>
          </a:r>
          <a:r>
            <a:rPr lang="en-US" sz="1100" b="0" i="0" baseline="0">
              <a:solidFill>
                <a:schemeClr val="dk1"/>
              </a:solidFill>
              <a:effectLst/>
              <a:latin typeface="+mn-lt"/>
              <a:ea typeface="+mn-ea"/>
              <a:cs typeface="+mn-cs"/>
            </a:rPr>
            <a:t> (xall)</a:t>
          </a:r>
          <a:r>
            <a:rPr lang="en-US" sz="1100" b="0" i="0">
              <a:solidFill>
                <a:schemeClr val="dk1"/>
              </a:solidFill>
              <a:effectLst/>
              <a:latin typeface="+mn-lt"/>
              <a:ea typeface="+mn-ea"/>
              <a:cs typeface="+mn-cs"/>
            </a:rPr>
            <a:t> has a significant effect on the model. Otherwise, you fail to reject H0.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So since the p value is 0.94998 which is not</a:t>
          </a:r>
          <a:r>
            <a:rPr lang="en-US" sz="1100" b="0" i="0" baseline="0">
              <a:solidFill>
                <a:schemeClr val="dk1"/>
              </a:solidFill>
              <a:effectLst/>
              <a:latin typeface="+mn-lt"/>
              <a:ea typeface="+mn-ea"/>
              <a:cs typeface="+mn-cs"/>
            </a:rPr>
            <a:t> less than or equal to 0.05, you do not reject Ho. So you conclude that </a:t>
          </a:r>
          <a:r>
            <a:rPr lang="en-US" sz="1100" b="0" i="0">
              <a:solidFill>
                <a:schemeClr val="dk1"/>
              </a:solidFill>
              <a:effectLst/>
              <a:latin typeface="+mn-lt"/>
              <a:ea typeface="+mn-ea"/>
              <a:cs typeface="+mn-cs"/>
            </a:rPr>
            <a:t>Ratings</a:t>
          </a:r>
          <a:r>
            <a:rPr lang="en-US" sz="1100" b="0" i="0" baseline="0">
              <a:solidFill>
                <a:schemeClr val="dk1"/>
              </a:solidFill>
              <a:effectLst/>
              <a:latin typeface="+mn-lt"/>
              <a:ea typeface="+mn-ea"/>
              <a:cs typeface="+mn-cs"/>
            </a:rPr>
            <a:t> independent variable should not be added to the model xq or therefore that it should be removed from the model xall.</a:t>
          </a:r>
          <a:endParaRPr lang="en-US">
            <a:effectLst/>
          </a:endParaRP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Backward elimination removed Rating since it had the highest p value</a:t>
          </a:r>
          <a:r>
            <a:rPr lang="en-US" sz="1100" b="0" i="0" baseline="0">
              <a:solidFill>
                <a:schemeClr val="dk1"/>
              </a:solidFill>
              <a:effectLst/>
              <a:latin typeface="+mn-lt"/>
              <a:ea typeface="+mn-ea"/>
              <a:cs typeface="+mn-cs"/>
            </a:rPr>
            <a:t> (0.9499), and then here  it checked that that was the case.</a:t>
          </a:r>
          <a:endParaRPr lang="en-US" sz="1100" b="0" i="0">
            <a:solidFill>
              <a:schemeClr val="dk1"/>
            </a:solidFill>
            <a:effectLst/>
            <a:latin typeface="+mn-lt"/>
            <a:ea typeface="+mn-ea"/>
            <a:cs typeface="+mn-cs"/>
          </a:endParaRPr>
        </a:p>
      </xdr:txBody>
    </xdr:sp>
    <xdr:clientData/>
  </xdr:twoCellAnchor>
  <xdr:twoCellAnchor>
    <xdr:from>
      <xdr:col>17</xdr:col>
      <xdr:colOff>430161</xdr:colOff>
      <xdr:row>8</xdr:row>
      <xdr:rowOff>0</xdr:rowOff>
    </xdr:from>
    <xdr:to>
      <xdr:col>25</xdr:col>
      <xdr:colOff>204839</xdr:colOff>
      <xdr:row>19</xdr:row>
      <xdr:rowOff>163870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3473367-A35A-9398-786A-9577E1E4357C}"/>
                </a:ext>
              </a:extLst>
            </xdr:cNvPr>
            <xdr:cNvSpPr txBox="1"/>
          </xdr:nvSpPr>
          <xdr:spPr>
            <a:xfrm>
              <a:off x="11972822" y="1556774"/>
              <a:ext cx="4690807" cy="2304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0">
                  <a:solidFill>
                    <a:schemeClr val="dk1"/>
                  </a:solidFill>
                  <a:effectLst/>
                  <a:latin typeface="+mn-lt"/>
                  <a:ea typeface="+mn-ea"/>
                  <a:cs typeface="+mn-cs"/>
                </a:rPr>
                <a:t>F= </a:t>
              </a:r>
              <a14:m>
                <m:oMath xmlns:m="http://schemas.openxmlformats.org/officeDocument/2006/math">
                  <m:f>
                    <m:fPr>
                      <m:ctrlPr>
                        <a:rPr lang="en-US" sz="3200" b="0" i="1">
                          <a:solidFill>
                            <a:schemeClr val="dk1"/>
                          </a:solidFill>
                          <a:effectLst/>
                          <a:latin typeface="Cambria Math" panose="02040503050406030204" pitchFamily="18" charset="0"/>
                          <a:ea typeface="+mn-ea"/>
                          <a:cs typeface="+mn-cs"/>
                        </a:rPr>
                      </m:ctrlPr>
                    </m:fPr>
                    <m:num>
                      <m:f>
                        <m:fPr>
                          <m:ctrlPr>
                            <a:rPr lang="en-US" sz="3200" b="0" i="1">
                              <a:solidFill>
                                <a:schemeClr val="dk1"/>
                              </a:solidFill>
                              <a:effectLst/>
                              <a:latin typeface="Cambria Math" panose="02040503050406030204" pitchFamily="18" charset="0"/>
                              <a:ea typeface="+mn-ea"/>
                              <a:cs typeface="+mn-cs"/>
                            </a:rPr>
                          </m:ctrlPr>
                        </m:fPr>
                        <m:num>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𝑥𝑞</m:t>
                              </m:r>
                            </m:e>
                          </m:d>
                          <m:r>
                            <a:rPr lang="en-US" sz="3200" b="0" i="1">
                              <a:solidFill>
                                <a:schemeClr val="dk1"/>
                              </a:solidFill>
                              <a:effectLst/>
                              <a:latin typeface="Cambria Math" panose="02040503050406030204" pitchFamily="18" charset="0"/>
                              <a:ea typeface="+mn-ea"/>
                              <a:cs typeface="+mn-cs"/>
                            </a:rPr>
                            <m:t>−</m:t>
                          </m:r>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𝑥𝑞</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𝑥𝑝</m:t>
                              </m:r>
                            </m:e>
                          </m:d>
                        </m:num>
                        <m:den>
                          <m:r>
                            <a:rPr lang="en-US" sz="3200" b="0" i="1">
                              <a:solidFill>
                                <a:schemeClr val="dk1"/>
                              </a:solidFill>
                              <a:effectLst/>
                              <a:latin typeface="Cambria Math" panose="02040503050406030204" pitchFamily="18" charset="0"/>
                              <a:ea typeface="+mn-ea"/>
                              <a:cs typeface="+mn-cs"/>
                            </a:rPr>
                            <m:t>1</m:t>
                          </m:r>
                        </m:den>
                      </m:f>
                    </m:num>
                    <m:den>
                      <m:f>
                        <m:fPr>
                          <m:ctrlPr>
                            <a:rPr lang="en-US" sz="3200" b="0" i="1">
                              <a:solidFill>
                                <a:schemeClr val="dk1"/>
                              </a:solidFill>
                              <a:effectLst/>
                              <a:latin typeface="Cambria Math" panose="02040503050406030204" pitchFamily="18" charset="0"/>
                              <a:ea typeface="+mn-ea"/>
                              <a:cs typeface="+mn-cs"/>
                            </a:rPr>
                          </m:ctrlPr>
                        </m:fPr>
                        <m:num>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𝑥𝑝</m:t>
                              </m:r>
                            </m:e>
                          </m:d>
                        </m:num>
                        <m:den>
                          <m:r>
                            <a:rPr lang="en-US" sz="3200" b="0" i="1">
                              <a:solidFill>
                                <a:schemeClr val="dk1"/>
                              </a:solidFill>
                              <a:effectLst/>
                              <a:latin typeface="Cambria Math" panose="02040503050406030204" pitchFamily="18" charset="0"/>
                              <a:ea typeface="+mn-ea"/>
                              <a:cs typeface="+mn-cs"/>
                            </a:rPr>
                            <m:t>𝑛</m:t>
                          </m:r>
                          <m:r>
                            <a:rPr lang="en-US" sz="3200" b="0" i="1">
                              <a:solidFill>
                                <a:schemeClr val="dk1"/>
                              </a:solidFill>
                              <a:effectLst/>
                              <a:latin typeface="Cambria Math" panose="02040503050406030204" pitchFamily="18" charset="0"/>
                              <a:ea typeface="+mn-ea"/>
                              <a:cs typeface="+mn-cs"/>
                            </a:rPr>
                            <m:t>−</m:t>
                          </m:r>
                          <m:r>
                            <a:rPr lang="en-US" sz="3200" b="0" i="1">
                              <a:solidFill>
                                <a:schemeClr val="dk1"/>
                              </a:solidFill>
                              <a:effectLst/>
                              <a:latin typeface="Cambria Math" panose="02040503050406030204" pitchFamily="18" charset="0"/>
                              <a:ea typeface="+mn-ea"/>
                              <a:cs typeface="+mn-cs"/>
                            </a:rPr>
                            <m:t>𝑝</m:t>
                          </m:r>
                          <m:r>
                            <a:rPr lang="en-US" sz="3200" b="0" i="1">
                              <a:solidFill>
                                <a:schemeClr val="dk1"/>
                              </a:solidFill>
                              <a:effectLst/>
                              <a:latin typeface="Cambria Math" panose="02040503050406030204" pitchFamily="18" charset="0"/>
                              <a:ea typeface="+mn-ea"/>
                              <a:cs typeface="+mn-cs"/>
                            </a:rPr>
                            <m:t>−1</m:t>
                          </m:r>
                        </m:den>
                      </m:f>
                    </m:den>
                  </m:f>
                </m:oMath>
              </a14:m>
              <a:endParaRPr lang="en-US" sz="3200">
                <a:effectLst/>
              </a:endParaRPr>
            </a:p>
            <a:p>
              <a:endParaRPr lang="en-US" sz="1100"/>
            </a:p>
          </xdr:txBody>
        </xdr:sp>
      </mc:Choice>
      <mc:Fallback xmlns="">
        <xdr:sp macro="" textlink="">
          <xdr:nvSpPr>
            <xdr:cNvPr id="3" name="TextBox 2">
              <a:extLst>
                <a:ext uri="{FF2B5EF4-FFF2-40B4-BE49-F238E27FC236}">
                  <a16:creationId xmlns:a16="http://schemas.microsoft.com/office/drawing/2014/main" id="{C3473367-A35A-9398-786A-9577E1E4357C}"/>
                </a:ext>
              </a:extLst>
            </xdr:cNvPr>
            <xdr:cNvSpPr txBox="1"/>
          </xdr:nvSpPr>
          <xdr:spPr>
            <a:xfrm>
              <a:off x="11972822" y="1556774"/>
              <a:ext cx="4690807" cy="2304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0">
                  <a:solidFill>
                    <a:schemeClr val="dk1"/>
                  </a:solidFill>
                  <a:effectLst/>
                  <a:latin typeface="+mn-lt"/>
                  <a:ea typeface="+mn-ea"/>
                  <a:cs typeface="+mn-cs"/>
                </a:rPr>
                <a:t>F= </a:t>
              </a:r>
              <a:r>
                <a:rPr lang="en-US" sz="3200" b="0" i="0">
                  <a:solidFill>
                    <a:schemeClr val="dk1"/>
                  </a:solidFill>
                  <a:effectLst/>
                  <a:latin typeface="Cambria Math" panose="02040503050406030204" pitchFamily="18" charset="0"/>
                  <a:ea typeface="+mn-ea"/>
                  <a:cs typeface="+mn-cs"/>
                </a:rPr>
                <a:t>((𝑆𝑆𝐸(𝑥1,…,𝑥𝑞)−𝑆𝑆𝐸(𝑥1,...,𝑥𝑞+1,….𝑥𝑝))/1)/(𝑆𝑆𝐸(𝑥𝑝)/(𝑛−𝑝−1))</a:t>
              </a:r>
              <a:endParaRPr lang="en-US" sz="3200">
                <a:effectLst/>
              </a:endParaRPr>
            </a:p>
            <a:p>
              <a:endParaRPr lang="en-US"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571500</xdr:colOff>
      <xdr:row>8</xdr:row>
      <xdr:rowOff>85725</xdr:rowOff>
    </xdr:from>
    <xdr:to>
      <xdr:col>14</xdr:col>
      <xdr:colOff>561975</xdr:colOff>
      <xdr:row>15</xdr:row>
      <xdr:rowOff>85725</xdr:rowOff>
    </xdr:to>
    <xdr:sp macro="" textlink="">
      <xdr:nvSpPr>
        <xdr:cNvPr id="2" name="TextBox 1">
          <a:extLst>
            <a:ext uri="{FF2B5EF4-FFF2-40B4-BE49-F238E27FC236}">
              <a16:creationId xmlns:a16="http://schemas.microsoft.com/office/drawing/2014/main" id="{08682274-F289-1104-E45F-9B83F1621DBB}"/>
            </a:ext>
          </a:extLst>
        </xdr:cNvPr>
        <xdr:cNvSpPr txBox="1"/>
      </xdr:nvSpPr>
      <xdr:spPr>
        <a:xfrm>
          <a:off x="6667500" y="1609725"/>
          <a:ext cx="242887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So work independent should be removed</a:t>
          </a:r>
          <a:r>
            <a:rPr lang="en-US" sz="1100" baseline="0"/>
            <a:t> from the model that has it/ this model is better than the one that had it.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409575</xdr:colOff>
      <xdr:row>35</xdr:row>
      <xdr:rowOff>161925</xdr:rowOff>
    </xdr:from>
    <xdr:to>
      <xdr:col>13</xdr:col>
      <xdr:colOff>600075</xdr:colOff>
      <xdr:row>43</xdr:row>
      <xdr:rowOff>19050</xdr:rowOff>
    </xdr:to>
    <xdr:sp macro="" textlink="">
      <xdr:nvSpPr>
        <xdr:cNvPr id="2" name="TextBox 1">
          <a:extLst>
            <a:ext uri="{FF2B5EF4-FFF2-40B4-BE49-F238E27FC236}">
              <a16:creationId xmlns:a16="http://schemas.microsoft.com/office/drawing/2014/main" id="{4643A867-7557-22DF-1DC6-8905389DE7D5}"/>
            </a:ext>
          </a:extLst>
        </xdr:cNvPr>
        <xdr:cNvSpPr txBox="1"/>
      </xdr:nvSpPr>
      <xdr:spPr>
        <a:xfrm>
          <a:off x="7372350" y="6848475"/>
          <a:ext cx="201930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r>
            <a:rPr lang="en-US" sz="1100" baseline="0"/>
            <a:t> that the SSE is higher for this model after removing account and the adjustes R square is worse, but lets see if it is better after removing Change also.</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257174</xdr:colOff>
      <xdr:row>27</xdr:row>
      <xdr:rowOff>161924</xdr:rowOff>
    </xdr:from>
    <xdr:to>
      <xdr:col>14</xdr:col>
      <xdr:colOff>361949</xdr:colOff>
      <xdr:row>44</xdr:row>
      <xdr:rowOff>180975</xdr:rowOff>
    </xdr:to>
    <xdr:sp macro="" textlink="">
      <xdr:nvSpPr>
        <xdr:cNvPr id="2" name="TextBox 1">
          <a:extLst>
            <a:ext uri="{FF2B5EF4-FFF2-40B4-BE49-F238E27FC236}">
              <a16:creationId xmlns:a16="http://schemas.microsoft.com/office/drawing/2014/main" id="{F40678DE-5514-01A0-8093-74B2552EC87D}"/>
            </a:ext>
          </a:extLst>
        </xdr:cNvPr>
        <xdr:cNvSpPr txBox="1"/>
      </xdr:nvSpPr>
      <xdr:spPr>
        <a:xfrm>
          <a:off x="7219949" y="5305424"/>
          <a:ext cx="2543175" cy="3305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a:t>
          </a:r>
          <a:r>
            <a:rPr lang="en-US" sz="1100" baseline="0"/>
            <a:t> are now no more independent values with a p value over 0.05, so this would be the supposed best backward elimination model but note that it is worse in SSE and adjusted R square than the one that had just removed work (</a:t>
          </a:r>
          <a:r>
            <a:rPr lang="en-US" sz="1100" b="0" i="0" u="none" strike="noStrike">
              <a:solidFill>
                <a:schemeClr val="dk1"/>
              </a:solidFill>
              <a:effectLst/>
              <a:latin typeface="+mn-lt"/>
              <a:ea typeface="+mn-ea"/>
              <a:cs typeface="+mn-cs"/>
            </a:rPr>
            <a:t>Intercept</a:t>
          </a:r>
          <a:r>
            <a:rPr lang="en-US"/>
            <a:t> </a:t>
          </a:r>
          <a:r>
            <a:rPr lang="en-US" sz="1100" b="0" i="0" u="none" strike="noStrike">
              <a:solidFill>
                <a:schemeClr val="dk1"/>
              </a:solidFill>
              <a:effectLst/>
              <a:latin typeface="+mn-lt"/>
              <a:ea typeface="+mn-ea"/>
              <a:cs typeface="+mn-cs"/>
            </a:rPr>
            <a:t>Time</a:t>
          </a:r>
          <a:r>
            <a:rPr lang="en-US"/>
            <a:t> </a:t>
          </a:r>
          <a:r>
            <a:rPr lang="en-US" sz="1100" b="0" i="0" u="none" strike="noStrike">
              <a:solidFill>
                <a:schemeClr val="dk1"/>
              </a:solidFill>
              <a:effectLst/>
              <a:latin typeface="+mn-lt"/>
              <a:ea typeface="+mn-ea"/>
              <a:cs typeface="+mn-cs"/>
            </a:rPr>
            <a:t>Poten</a:t>
          </a:r>
          <a:r>
            <a:rPr lang="en-US"/>
            <a:t> </a:t>
          </a:r>
          <a:r>
            <a:rPr lang="en-US" sz="1100" b="0" i="0" u="none" strike="noStrike">
              <a:solidFill>
                <a:schemeClr val="dk1"/>
              </a:solidFill>
              <a:effectLst/>
              <a:latin typeface="+mn-lt"/>
              <a:ea typeface="+mn-ea"/>
              <a:cs typeface="+mn-cs"/>
            </a:rPr>
            <a:t>AdvExp</a:t>
          </a:r>
          <a:r>
            <a:rPr lang="en-US"/>
            <a:t> </a:t>
          </a:r>
          <a:r>
            <a:rPr lang="en-US" sz="1100" b="0" i="0" u="none" strike="noStrike">
              <a:solidFill>
                <a:schemeClr val="dk1"/>
              </a:solidFill>
              <a:effectLst/>
              <a:latin typeface="+mn-lt"/>
              <a:ea typeface="+mn-ea"/>
              <a:cs typeface="+mn-cs"/>
            </a:rPr>
            <a:t>Share</a:t>
          </a:r>
          <a:r>
            <a:rPr lang="en-US"/>
            <a:t> </a:t>
          </a:r>
          <a:r>
            <a:rPr lang="en-US" sz="1100" b="0" i="0" u="none" strike="noStrike">
              <a:solidFill>
                <a:schemeClr val="dk1"/>
              </a:solidFill>
              <a:effectLst/>
              <a:latin typeface="+mn-lt"/>
              <a:ea typeface="+mn-ea"/>
              <a:cs typeface="+mn-cs"/>
            </a:rPr>
            <a:t>Change</a:t>
          </a:r>
          <a:r>
            <a:rPr lang="en-US"/>
            <a:t> </a:t>
          </a:r>
          <a:r>
            <a:rPr lang="en-US" sz="1100" b="0" i="0" u="none" strike="noStrike">
              <a:solidFill>
                <a:schemeClr val="dk1"/>
              </a:solidFill>
              <a:effectLst/>
              <a:latin typeface="+mn-lt"/>
              <a:ea typeface="+mn-ea"/>
              <a:cs typeface="+mn-cs"/>
            </a:rPr>
            <a:t>Accounts)</a:t>
          </a:r>
          <a:r>
            <a:rPr lang="en-US" sz="1100" b="0" i="0" u="none" strike="noStrike" baseline="0">
              <a:solidFill>
                <a:schemeClr val="dk1"/>
              </a:solidFill>
              <a:effectLst/>
              <a:latin typeface="+mn-lt"/>
              <a:ea typeface="+mn-ea"/>
              <a:cs typeface="+mn-cs"/>
            </a:rPr>
            <a:t>. This is why the textbook states that the best subsets variable selection guarantees the best model for a given number of independent variables. But that requires Python or Rstudio.</a:t>
          </a:r>
        </a:p>
        <a:p>
          <a:r>
            <a:rPr lang="en-US" sz="1100"/>
            <a:t>The backwards</a:t>
          </a:r>
          <a:r>
            <a:rPr lang="en-US" sz="1100" baseline="0"/>
            <a:t> elimination is better than just selecting those with the p value less than 0.05 from running the regression model with all variables.</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542925</xdr:colOff>
      <xdr:row>9</xdr:row>
      <xdr:rowOff>76200</xdr:rowOff>
    </xdr:from>
    <xdr:to>
      <xdr:col>12</xdr:col>
      <xdr:colOff>523875</xdr:colOff>
      <xdr:row>14</xdr:row>
      <xdr:rowOff>114300</xdr:rowOff>
    </xdr:to>
    <xdr:sp macro="" textlink="">
      <xdr:nvSpPr>
        <xdr:cNvPr id="2" name="TextBox 1">
          <a:extLst>
            <a:ext uri="{FF2B5EF4-FFF2-40B4-BE49-F238E27FC236}">
              <a16:creationId xmlns:a16="http://schemas.microsoft.com/office/drawing/2014/main" id="{841415DD-6FCC-F85F-F381-956D5DD444ED}"/>
            </a:ext>
          </a:extLst>
        </xdr:cNvPr>
        <xdr:cNvSpPr txBox="1"/>
      </xdr:nvSpPr>
      <xdr:spPr>
        <a:xfrm>
          <a:off x="5419725" y="1790700"/>
          <a:ext cx="241935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So accounts  independent variable</a:t>
          </a:r>
          <a:r>
            <a:rPr lang="en-US" sz="1100" baseline="0"/>
            <a:t> </a:t>
          </a:r>
          <a:r>
            <a:rPr lang="en-US" sz="1100"/>
            <a:t>should be added to </a:t>
          </a:r>
          <a:r>
            <a:rPr lang="en-US" sz="1100" baseline="0"/>
            <a:t> </a:t>
          </a:r>
          <a:r>
            <a:rPr lang="en-US" sz="1100"/>
            <a:t>the model with</a:t>
          </a:r>
          <a:r>
            <a:rPr lang="en-US" sz="1100" baseline="0"/>
            <a:t> just (Poten, Advexp, Share)/ it should not be removed from this model that has it in it.</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66675</xdr:colOff>
      <xdr:row>1</xdr:row>
      <xdr:rowOff>28575</xdr:rowOff>
    </xdr:from>
    <xdr:to>
      <xdr:col>14</xdr:col>
      <xdr:colOff>447675</xdr:colOff>
      <xdr:row>8</xdr:row>
      <xdr:rowOff>104775</xdr:rowOff>
    </xdr:to>
    <xdr:sp macro="" textlink="">
      <xdr:nvSpPr>
        <xdr:cNvPr id="2" name="TextBox 1">
          <a:extLst>
            <a:ext uri="{FF2B5EF4-FFF2-40B4-BE49-F238E27FC236}">
              <a16:creationId xmlns:a16="http://schemas.microsoft.com/office/drawing/2014/main" id="{F4C0C30B-2D59-FB43-1698-D11438072458}"/>
            </a:ext>
          </a:extLst>
        </xdr:cNvPr>
        <xdr:cNvSpPr txBox="1"/>
      </xdr:nvSpPr>
      <xdr:spPr>
        <a:xfrm>
          <a:off x="8115300" y="219075"/>
          <a:ext cx="220980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Supposedly Accounts was chosen</a:t>
          </a:r>
          <a:r>
            <a:rPr lang="en-US" sz="1100" baseline="0"/>
            <a:t> to start with</a:t>
          </a:r>
          <a:r>
            <a:rPr lang="en-US" sz="1100"/>
            <a:t> as it is</a:t>
          </a:r>
          <a:r>
            <a:rPr lang="en-US" sz="1100" baseline="0"/>
            <a:t> the best one variable model with a Standard error of 881. f value: </a:t>
          </a:r>
          <a:r>
            <a:rPr lang="en-US" sz="1100" b="0" i="0" u="none" strike="noStrike">
              <a:solidFill>
                <a:schemeClr val="dk1"/>
              </a:solidFill>
              <a:effectLst/>
              <a:latin typeface="+mn-lt"/>
              <a:ea typeface="+mn-ea"/>
              <a:cs typeface="+mn-cs"/>
            </a:rPr>
            <a:t>0.0000135</a:t>
          </a:r>
          <a:r>
            <a:rPr lang="en-US"/>
            <a:t> ,</a:t>
          </a:r>
          <a:r>
            <a:rPr lang="en-US" baseline="0"/>
            <a:t> p value 0.0000135</a:t>
          </a:r>
          <a:endParaRPr lang="en-US" sz="1100"/>
        </a:p>
      </xdr:txBody>
    </xdr:sp>
    <xdr:clientData/>
  </xdr:twoCellAnchor>
  <xdr:twoCellAnchor>
    <xdr:from>
      <xdr:col>13</xdr:col>
      <xdr:colOff>295275</xdr:colOff>
      <xdr:row>11</xdr:row>
      <xdr:rowOff>0</xdr:rowOff>
    </xdr:from>
    <xdr:to>
      <xdr:col>17</xdr:col>
      <xdr:colOff>409575</xdr:colOff>
      <xdr:row>30</xdr:row>
      <xdr:rowOff>142875</xdr:rowOff>
    </xdr:to>
    <xdr:sp macro="" textlink="">
      <xdr:nvSpPr>
        <xdr:cNvPr id="3" name="TextBox 2">
          <a:extLst>
            <a:ext uri="{FF2B5EF4-FFF2-40B4-BE49-F238E27FC236}">
              <a16:creationId xmlns:a16="http://schemas.microsoft.com/office/drawing/2014/main" id="{AA4F5CFE-14E6-7FA2-98C7-9354ED72BC4C}"/>
            </a:ext>
          </a:extLst>
        </xdr:cNvPr>
        <xdr:cNvSpPr txBox="1"/>
      </xdr:nvSpPr>
      <xdr:spPr>
        <a:xfrm>
          <a:off x="9563100" y="2124075"/>
          <a:ext cx="2552700" cy="3790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effectLst/>
          </a:endParaRPr>
        </a:p>
        <a:p>
          <a:r>
            <a:rPr lang="en-US" sz="1100">
              <a:solidFill>
                <a:schemeClr val="dk1"/>
              </a:solidFill>
              <a:effectLst/>
              <a:latin typeface="+mn-lt"/>
              <a:ea typeface="+mn-ea"/>
              <a:cs typeface="+mn-cs"/>
            </a:rPr>
            <a:t>The alpha to</a:t>
          </a:r>
          <a:r>
            <a:rPr lang="en-US" sz="1100" baseline="0">
              <a:solidFill>
                <a:schemeClr val="dk1"/>
              </a:solidFill>
              <a:effectLst/>
              <a:latin typeface="+mn-lt"/>
              <a:ea typeface="+mn-ea"/>
              <a:cs typeface="+mn-cs"/>
            </a:rPr>
            <a:t> remove is 0.05 and alpha to add is 0.049. If any p value for an independent variable is greater than 0.05, you remove the one with the greatest p value from the model and run it again. </a:t>
          </a:r>
          <a:endParaRPr lang="en-US">
            <a:effectLst/>
          </a:endParaRPr>
        </a:p>
        <a:p>
          <a:r>
            <a:rPr lang="en-US" sz="1100" baseline="0">
              <a:solidFill>
                <a:schemeClr val="dk1"/>
              </a:solidFill>
              <a:effectLst/>
              <a:latin typeface="+mn-lt"/>
              <a:ea typeface="+mn-ea"/>
              <a:cs typeface="+mn-cs"/>
            </a:rPr>
            <a:t>It does not really make sense since in the textbook it starts with a linear model. But if no independent variable can be removed you then add an independent variable to the model. </a:t>
          </a:r>
          <a:endParaRPr lang="en-US">
            <a:effectLst/>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If the independent variables p value is less than or equal to 0.05 you add it to the model. </a:t>
          </a:r>
          <a:endParaRPr lang="en-US">
            <a:effectLst/>
          </a:endParaRPr>
        </a:p>
        <a:p>
          <a:r>
            <a:rPr lang="en-US" sz="1100" baseline="0">
              <a:solidFill>
                <a:schemeClr val="dk1"/>
              </a:solidFill>
              <a:effectLst/>
              <a:latin typeface="+mn-lt"/>
              <a:ea typeface="+mn-ea"/>
              <a:cs typeface="+mn-cs"/>
            </a:rPr>
            <a:t>The procedure continues until no independent variables can be added or deleted from or to the model.</a:t>
          </a:r>
          <a:endParaRPr lang="en-US">
            <a:effectLst/>
          </a:endParaRPr>
        </a:p>
        <a:p>
          <a:r>
            <a:rPr lang="en-US" sz="1100"/>
            <a:t>The alpha to remove must be greater than alpha to enter</a:t>
          </a:r>
          <a:r>
            <a:rPr lang="en-US" sz="1100" baseline="0"/>
            <a:t> to avoid it being removed and reentered in the same step.</a:t>
          </a:r>
          <a:endParaRPr lang="en-US" sz="1100"/>
        </a:p>
      </xdr:txBody>
    </xdr:sp>
    <xdr:clientData/>
  </xdr:twoCellAnchor>
  <xdr:twoCellAnchor>
    <xdr:from>
      <xdr:col>7</xdr:col>
      <xdr:colOff>285750</xdr:colOff>
      <xdr:row>22</xdr:row>
      <xdr:rowOff>38100</xdr:rowOff>
    </xdr:from>
    <xdr:to>
      <xdr:col>12</xdr:col>
      <xdr:colOff>533400</xdr:colOff>
      <xdr:row>36</xdr:row>
      <xdr:rowOff>171450</xdr:rowOff>
    </xdr:to>
    <xdr:sp macro="" textlink="">
      <xdr:nvSpPr>
        <xdr:cNvPr id="4" name="TextBox 3">
          <a:extLst>
            <a:ext uri="{FF2B5EF4-FFF2-40B4-BE49-F238E27FC236}">
              <a16:creationId xmlns:a16="http://schemas.microsoft.com/office/drawing/2014/main" id="{B6FA8E84-513E-278C-AEDF-8C8B1BDE72F6}"/>
            </a:ext>
          </a:extLst>
        </xdr:cNvPr>
        <xdr:cNvSpPr txBox="1"/>
      </xdr:nvSpPr>
      <xdr:spPr>
        <a:xfrm>
          <a:off x="5705475" y="4286250"/>
          <a:ext cx="3486150" cy="280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According</a:t>
          </a:r>
          <a:r>
            <a:rPr lang="en-US" b="1" baseline="0"/>
            <a:t> to chat gpt:</a:t>
          </a:r>
          <a:endParaRPr lang="en-US" b="1"/>
        </a:p>
        <a:p>
          <a:r>
            <a:rPr lang="en-US" b="1"/>
            <a:t>Start:</a:t>
          </a:r>
          <a:r>
            <a:rPr lang="en-US"/>
            <a:t> usually also with no predictors (or sometimes all </a:t>
          </a:r>
        </a:p>
        <a:p>
          <a:r>
            <a:rPr lang="en-US"/>
            <a:t>predictors).</a:t>
          </a:r>
        </a:p>
        <a:p>
          <a:r>
            <a:rPr lang="en-US" b="1"/>
            <a:t>Process:</a:t>
          </a:r>
          <a:endParaRPr lang="en-US"/>
        </a:p>
        <a:p>
          <a:r>
            <a:rPr lang="en-US"/>
            <a:t>Same as forward selection — add variables one at a time.</a:t>
          </a:r>
        </a:p>
        <a:p>
          <a:r>
            <a:rPr lang="en-US" b="1"/>
            <a:t>But after each addition</a:t>
          </a:r>
          <a:r>
            <a:rPr lang="en-US"/>
            <a:t>, re-check the variables already in the model.</a:t>
          </a:r>
        </a:p>
        <a:p>
          <a:r>
            <a:rPr lang="en-US"/>
            <a:t>If any become </a:t>
          </a:r>
          <a:r>
            <a:rPr lang="en-US" b="1"/>
            <a:t>non-significant</a:t>
          </a:r>
          <a:r>
            <a:rPr lang="en-US"/>
            <a:t> after adding new predictors, remove them.</a:t>
          </a:r>
        </a:p>
        <a:p>
          <a:r>
            <a:rPr lang="en-US"/>
            <a:t>Continue until no predictors can be added or removed.</a:t>
          </a:r>
        </a:p>
        <a:p>
          <a:r>
            <a:rPr lang="en-US" b="1"/>
            <a:t>Key point:</a:t>
          </a:r>
          <a:r>
            <a:rPr lang="en-US"/>
            <a:t> Unlike forward selection, stepwise can </a:t>
          </a:r>
          <a:r>
            <a:rPr lang="en-US" b="1"/>
            <a:t>add and remove variables</a:t>
          </a:r>
          <a:r>
            <a:rPr lang="en-US"/>
            <a:t> as the model evolves.</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152399</xdr:colOff>
      <xdr:row>1</xdr:row>
      <xdr:rowOff>76200</xdr:rowOff>
    </xdr:from>
    <xdr:to>
      <xdr:col>21</xdr:col>
      <xdr:colOff>504824</xdr:colOff>
      <xdr:row>7</xdr:row>
      <xdr:rowOff>152401</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4E63D3A-BF21-AF13-B431-2C4DAB79772E}"/>
                </a:ext>
              </a:extLst>
            </xdr:cNvPr>
            <xdr:cNvSpPr txBox="1"/>
          </xdr:nvSpPr>
          <xdr:spPr>
            <a:xfrm>
              <a:off x="10363199" y="266700"/>
              <a:ext cx="3400425" cy="1228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t>F= </a:t>
              </a:r>
              <a14:m>
                <m:oMath xmlns:m="http://schemas.openxmlformats.org/officeDocument/2006/math">
                  <m:f>
                    <m:fPr>
                      <m:ctrlPr>
                        <a:rPr lang="en-US" sz="2800" b="0" i="1">
                          <a:latin typeface="Cambria Math" panose="02040503050406030204" pitchFamily="18" charset="0"/>
                        </a:rPr>
                      </m:ctrlPr>
                    </m:fPr>
                    <m:num>
                      <m:f>
                        <m:fPr>
                          <m:ctrlPr>
                            <a:rPr lang="en-US" sz="2800" b="0" i="1">
                              <a:latin typeface="Cambria Math" panose="02040503050406030204" pitchFamily="18" charset="0"/>
                            </a:rPr>
                          </m:ctrlPr>
                        </m:fPr>
                        <m:num>
                          <m:r>
                            <a:rPr lang="en-US" sz="2800" b="0" i="1">
                              <a:latin typeface="Cambria Math" panose="02040503050406030204" pitchFamily="18" charset="0"/>
                            </a:rPr>
                            <m:t>𝑆𝑆𝐸</m:t>
                          </m:r>
                          <m:d>
                            <m:dPr>
                              <m:ctrlPr>
                                <a:rPr lang="en-US" sz="2800" b="0" i="1">
                                  <a:latin typeface="Cambria Math" panose="02040503050406030204" pitchFamily="18" charset="0"/>
                                </a:rPr>
                              </m:ctrlPr>
                            </m:dPr>
                            <m:e>
                              <m:r>
                                <a:rPr lang="en-US" sz="2800" b="0" i="1">
                                  <a:latin typeface="Cambria Math" panose="02040503050406030204" pitchFamily="18" charset="0"/>
                                </a:rPr>
                                <m:t>𝑥</m:t>
                              </m:r>
                              <m:r>
                                <a:rPr lang="en-US" sz="2800" b="0" i="1">
                                  <a:latin typeface="Cambria Math" panose="02040503050406030204" pitchFamily="18" charset="0"/>
                                </a:rPr>
                                <m:t>1</m:t>
                              </m:r>
                            </m:e>
                          </m:d>
                          <m:r>
                            <a:rPr lang="en-US" sz="2800" b="0" i="1">
                              <a:latin typeface="Cambria Math" panose="02040503050406030204" pitchFamily="18" charset="0"/>
                            </a:rPr>
                            <m:t>−</m:t>
                          </m:r>
                          <m:r>
                            <a:rPr lang="en-US" sz="2800" b="0" i="1">
                              <a:latin typeface="Cambria Math" panose="02040503050406030204" pitchFamily="18" charset="0"/>
                            </a:rPr>
                            <m:t>𝑆𝑆𝐸</m:t>
                          </m:r>
                          <m:d>
                            <m:dPr>
                              <m:ctrlPr>
                                <a:rPr lang="en-US" sz="2800" b="0" i="1">
                                  <a:latin typeface="Cambria Math" panose="02040503050406030204" pitchFamily="18" charset="0"/>
                                </a:rPr>
                              </m:ctrlPr>
                            </m:dPr>
                            <m:e>
                              <m:r>
                                <a:rPr lang="en-US" sz="2800" b="0" i="1">
                                  <a:latin typeface="Cambria Math" panose="02040503050406030204" pitchFamily="18" charset="0"/>
                                </a:rPr>
                                <m:t>𝑥</m:t>
                              </m:r>
                              <m:r>
                                <a:rPr lang="en-US" sz="2800" b="0" i="1">
                                  <a:latin typeface="Cambria Math" panose="02040503050406030204" pitchFamily="18" charset="0"/>
                                </a:rPr>
                                <m:t>1,</m:t>
                              </m:r>
                              <m:r>
                                <a:rPr lang="en-US" sz="2800" b="0" i="1">
                                  <a:latin typeface="Cambria Math" panose="02040503050406030204" pitchFamily="18" charset="0"/>
                                </a:rPr>
                                <m:t>𝑥</m:t>
                              </m:r>
                              <m:r>
                                <a:rPr lang="en-US" sz="2800" b="0" i="1">
                                  <a:latin typeface="Cambria Math" panose="02040503050406030204" pitchFamily="18" charset="0"/>
                                </a:rPr>
                                <m:t>2</m:t>
                              </m:r>
                            </m:e>
                          </m:d>
                        </m:num>
                        <m:den>
                          <m:r>
                            <a:rPr lang="en-US" sz="2800" b="0" i="1">
                              <a:latin typeface="Cambria Math" panose="02040503050406030204" pitchFamily="18" charset="0"/>
                            </a:rPr>
                            <m:t>1</m:t>
                          </m:r>
                        </m:den>
                      </m:f>
                    </m:num>
                    <m:den>
                      <m:f>
                        <m:fPr>
                          <m:ctrlPr>
                            <a:rPr lang="en-US" sz="2800" b="0" i="1">
                              <a:latin typeface="Cambria Math" panose="02040503050406030204" pitchFamily="18" charset="0"/>
                            </a:rPr>
                          </m:ctrlPr>
                        </m:fPr>
                        <m:num>
                          <m:r>
                            <a:rPr lang="en-US" sz="2800" b="0" i="1">
                              <a:latin typeface="Cambria Math" panose="02040503050406030204" pitchFamily="18" charset="0"/>
                            </a:rPr>
                            <m:t>𝑆𝑆𝐸</m:t>
                          </m:r>
                          <m:d>
                            <m:dPr>
                              <m:ctrlPr>
                                <a:rPr lang="en-US" sz="2800" b="0" i="1">
                                  <a:latin typeface="Cambria Math" panose="02040503050406030204" pitchFamily="18" charset="0"/>
                                </a:rPr>
                              </m:ctrlPr>
                            </m:dPr>
                            <m:e>
                              <m:r>
                                <a:rPr lang="en-US" sz="2800" b="0" i="1">
                                  <a:latin typeface="Cambria Math" panose="02040503050406030204" pitchFamily="18" charset="0"/>
                                </a:rPr>
                                <m:t>𝑥</m:t>
                              </m:r>
                              <m:r>
                                <a:rPr lang="en-US" sz="2800" b="0" i="1">
                                  <a:latin typeface="Cambria Math" panose="02040503050406030204" pitchFamily="18" charset="0"/>
                                </a:rPr>
                                <m:t>1,</m:t>
                              </m:r>
                              <m:r>
                                <a:rPr lang="en-US" sz="2800" b="0" i="1">
                                  <a:latin typeface="Cambria Math" panose="02040503050406030204" pitchFamily="18" charset="0"/>
                                </a:rPr>
                                <m:t>𝑥</m:t>
                              </m:r>
                              <m:r>
                                <a:rPr lang="en-US" sz="2800" b="0" i="1">
                                  <a:latin typeface="Cambria Math" panose="02040503050406030204" pitchFamily="18" charset="0"/>
                                </a:rPr>
                                <m:t>2</m:t>
                              </m:r>
                            </m:e>
                          </m:d>
                        </m:num>
                        <m:den>
                          <m:r>
                            <a:rPr lang="en-US" sz="2800" b="0" i="1">
                              <a:latin typeface="Cambria Math" panose="02040503050406030204" pitchFamily="18" charset="0"/>
                            </a:rPr>
                            <m:t>𝑛</m:t>
                          </m:r>
                          <m:r>
                            <a:rPr lang="en-US" sz="2800" b="0" i="1">
                              <a:latin typeface="Cambria Math" panose="02040503050406030204" pitchFamily="18" charset="0"/>
                            </a:rPr>
                            <m:t>−</m:t>
                          </m:r>
                          <m:r>
                            <a:rPr lang="en-US" sz="2800" b="0" i="1">
                              <a:latin typeface="Cambria Math" panose="02040503050406030204" pitchFamily="18" charset="0"/>
                            </a:rPr>
                            <m:t>𝑝</m:t>
                          </m:r>
                          <m:r>
                            <a:rPr lang="en-US" sz="2800" b="0" i="1">
                              <a:latin typeface="Cambria Math" panose="02040503050406030204" pitchFamily="18" charset="0"/>
                            </a:rPr>
                            <m:t>−1</m:t>
                          </m:r>
                        </m:den>
                      </m:f>
                    </m:den>
                  </m:f>
                </m:oMath>
              </a14:m>
              <a:r>
                <a:rPr lang="en-US" sz="2800"/>
                <a:t> </a:t>
              </a:r>
            </a:p>
          </xdr:txBody>
        </xdr:sp>
      </mc:Choice>
      <mc:Fallback xmlns="">
        <xdr:sp macro="" textlink="">
          <xdr:nvSpPr>
            <xdr:cNvPr id="2" name="TextBox 1">
              <a:extLst>
                <a:ext uri="{FF2B5EF4-FFF2-40B4-BE49-F238E27FC236}">
                  <a16:creationId xmlns:a16="http://schemas.microsoft.com/office/drawing/2014/main" id="{F4E63D3A-BF21-AF13-B431-2C4DAB79772E}"/>
                </a:ext>
              </a:extLst>
            </xdr:cNvPr>
            <xdr:cNvSpPr txBox="1"/>
          </xdr:nvSpPr>
          <xdr:spPr>
            <a:xfrm>
              <a:off x="10363199" y="266700"/>
              <a:ext cx="3400425" cy="1228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t>F= </a:t>
              </a:r>
              <a:r>
                <a:rPr lang="en-US" sz="2800" b="0" i="0">
                  <a:latin typeface="Cambria Math" panose="02040503050406030204" pitchFamily="18" charset="0"/>
                </a:rPr>
                <a:t>((𝑆𝑆𝐸(𝑥1)−𝑆𝑆𝐸(𝑥1,𝑥2))/1)/(𝑆𝑆𝐸(𝑥1,𝑥2)/(𝑛−𝑝−1))</a:t>
              </a:r>
              <a:r>
                <a:rPr lang="en-US" sz="2800"/>
                <a:t> </a:t>
              </a:r>
            </a:p>
          </xdr:txBody>
        </xdr:sp>
      </mc:Fallback>
    </mc:AlternateContent>
    <xdr:clientData/>
  </xdr:twoCellAnchor>
  <xdr:twoCellAnchor>
    <xdr:from>
      <xdr:col>13</xdr:col>
      <xdr:colOff>581025</xdr:colOff>
      <xdr:row>9</xdr:row>
      <xdr:rowOff>24606</xdr:rowOff>
    </xdr:from>
    <xdr:to>
      <xdr:col>18</xdr:col>
      <xdr:colOff>535782</xdr:colOff>
      <xdr:row>28</xdr:row>
      <xdr:rowOff>49609</xdr:rowOff>
    </xdr:to>
    <xdr:sp macro="" textlink="">
      <xdr:nvSpPr>
        <xdr:cNvPr id="3" name="TextBox 2">
          <a:extLst>
            <a:ext uri="{FF2B5EF4-FFF2-40B4-BE49-F238E27FC236}">
              <a16:creationId xmlns:a16="http://schemas.microsoft.com/office/drawing/2014/main" id="{B475943B-F5ED-FF9C-B179-6327ED79665A}"/>
            </a:ext>
          </a:extLst>
        </xdr:cNvPr>
        <xdr:cNvSpPr txBox="1"/>
      </xdr:nvSpPr>
      <xdr:spPr>
        <a:xfrm>
          <a:off x="8915400" y="1741090"/>
          <a:ext cx="3179366" cy="36464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 add Adv</a:t>
          </a:r>
          <a:r>
            <a:rPr lang="en-US" sz="1100" baseline="0"/>
            <a:t> Exp </a:t>
          </a:r>
          <a:r>
            <a:rPr lang="en-US" sz="1100"/>
            <a:t>to the model. </a:t>
          </a:r>
        </a:p>
        <a:p>
          <a:endParaRPr lang="en-US" sz="1100"/>
        </a:p>
        <a:p>
          <a:endParaRPr lang="en-US" sz="1100"/>
        </a:p>
        <a:p>
          <a:r>
            <a:rPr lang="en-US" sz="1100">
              <a:solidFill>
                <a:schemeClr val="dk1"/>
              </a:solidFill>
              <a:effectLst/>
              <a:latin typeface="+mn-lt"/>
              <a:ea typeface="+mn-ea"/>
              <a:cs typeface="+mn-cs"/>
            </a:rPr>
            <a:t>The alpha to</a:t>
          </a:r>
          <a:r>
            <a:rPr lang="en-US" sz="1100" baseline="0">
              <a:solidFill>
                <a:schemeClr val="dk1"/>
              </a:solidFill>
              <a:effectLst/>
              <a:latin typeface="+mn-lt"/>
              <a:ea typeface="+mn-ea"/>
              <a:cs typeface="+mn-cs"/>
            </a:rPr>
            <a:t> remove is 0.05 and alpha to add is 0.049. If any p value for an independent variable is greater than 0.05, you remove the one with the greatest p value from the model and run it again. </a:t>
          </a:r>
          <a:endParaRPr lang="en-US">
            <a:effectLst/>
          </a:endParaRPr>
        </a:p>
        <a:p>
          <a:r>
            <a:rPr lang="en-US" sz="1100" baseline="0">
              <a:solidFill>
                <a:schemeClr val="dk1"/>
              </a:solidFill>
              <a:effectLst/>
              <a:latin typeface="+mn-lt"/>
              <a:ea typeface="+mn-ea"/>
              <a:cs typeface="+mn-cs"/>
            </a:rPr>
            <a:t>It does not really make sense since in the textbook it starts with a linear model. But if no independent variable can be removed you then add an independent variable to the model. </a:t>
          </a:r>
          <a:endParaRPr lang="en-US">
            <a:effectLst/>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If the independent variables p value is less than or equal to 0.05 you add it to the model. </a:t>
          </a:r>
          <a:endParaRPr lang="en-US">
            <a:effectLst/>
          </a:endParaRPr>
        </a:p>
        <a:p>
          <a:r>
            <a:rPr lang="en-US" sz="1100" baseline="0">
              <a:solidFill>
                <a:schemeClr val="dk1"/>
              </a:solidFill>
              <a:effectLst/>
              <a:latin typeface="+mn-lt"/>
              <a:ea typeface="+mn-ea"/>
              <a:cs typeface="+mn-cs"/>
            </a:rPr>
            <a:t>The procedure continues until no independent variables can be added or deleted from or to the model.</a:t>
          </a:r>
          <a:endParaRPr lang="en-US">
            <a:effectLst/>
          </a:endParaRPr>
        </a:p>
        <a:p>
          <a:r>
            <a:rPr lang="en-US" sz="1100">
              <a:solidFill>
                <a:schemeClr val="dk1"/>
              </a:solidFill>
              <a:effectLst/>
              <a:latin typeface="+mn-lt"/>
              <a:ea typeface="+mn-ea"/>
              <a:cs typeface="+mn-cs"/>
            </a:rPr>
            <a:t>The alpha to remove must be greater than alpha to enter</a:t>
          </a:r>
          <a:r>
            <a:rPr lang="en-US" sz="1100" baseline="0">
              <a:solidFill>
                <a:schemeClr val="dk1"/>
              </a:solidFill>
              <a:effectLst/>
              <a:latin typeface="+mn-lt"/>
              <a:ea typeface="+mn-ea"/>
              <a:cs typeface="+mn-cs"/>
            </a:rPr>
            <a:t> to avoid it being removed and reentered in the same step.</a:t>
          </a:r>
          <a:endParaRPr lang="en-US">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257175</xdr:colOff>
      <xdr:row>0</xdr:row>
      <xdr:rowOff>152400</xdr:rowOff>
    </xdr:from>
    <xdr:to>
      <xdr:col>24</xdr:col>
      <xdr:colOff>228600</xdr:colOff>
      <xdr:row>7</xdr:row>
      <xdr:rowOff>152400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7A3FA9D-01C8-A814-F0CF-BB1CAA8015E2}"/>
                </a:ext>
              </a:extLst>
            </xdr:cNvPr>
            <xdr:cNvSpPr txBox="1"/>
          </xdr:nvSpPr>
          <xdr:spPr>
            <a:xfrm>
              <a:off x="10753725" y="152400"/>
              <a:ext cx="4848225"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a:solidFill>
                    <a:schemeClr val="dk1"/>
                  </a:solidFill>
                  <a:effectLst/>
                  <a:latin typeface="+mn-lt"/>
                  <a:ea typeface="+mn-ea"/>
                  <a:cs typeface="+mn-cs"/>
                </a:rPr>
                <a:t>F= </a:t>
              </a:r>
              <a14:m>
                <m:oMath xmlns:m="http://schemas.openxmlformats.org/officeDocument/2006/math">
                  <m:f>
                    <m:fPr>
                      <m:ctrlPr>
                        <a:rPr lang="en-US" sz="3200" b="0" i="1">
                          <a:solidFill>
                            <a:schemeClr val="dk1"/>
                          </a:solidFill>
                          <a:effectLst/>
                          <a:latin typeface="Cambria Math" panose="02040503050406030204" pitchFamily="18" charset="0"/>
                          <a:ea typeface="+mn-ea"/>
                          <a:cs typeface="+mn-cs"/>
                        </a:rPr>
                      </m:ctrlPr>
                    </m:fPr>
                    <m:num>
                      <m:f>
                        <m:fPr>
                          <m:ctrlPr>
                            <a:rPr lang="en-US" sz="3200" b="0" i="1">
                              <a:solidFill>
                                <a:schemeClr val="dk1"/>
                              </a:solidFill>
                              <a:effectLst/>
                              <a:latin typeface="Cambria Math" panose="02040503050406030204" pitchFamily="18" charset="0"/>
                              <a:ea typeface="+mn-ea"/>
                              <a:cs typeface="+mn-cs"/>
                            </a:rPr>
                          </m:ctrlPr>
                        </m:fPr>
                        <m:num>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2</m:t>
                              </m:r>
                            </m:e>
                          </m:d>
                          <m:r>
                            <a:rPr lang="en-US" sz="3200" b="0" i="1">
                              <a:solidFill>
                                <a:schemeClr val="dk1"/>
                              </a:solidFill>
                              <a:effectLst/>
                              <a:latin typeface="Cambria Math" panose="02040503050406030204" pitchFamily="18" charset="0"/>
                              <a:ea typeface="+mn-ea"/>
                              <a:cs typeface="+mn-cs"/>
                            </a:rPr>
                            <m:t>−</m:t>
                          </m:r>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2,</m:t>
                              </m:r>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3</m:t>
                              </m:r>
                            </m:e>
                          </m:d>
                        </m:num>
                        <m:den>
                          <m:r>
                            <a:rPr lang="en-US" sz="3200" b="0" i="1">
                              <a:solidFill>
                                <a:schemeClr val="dk1"/>
                              </a:solidFill>
                              <a:effectLst/>
                              <a:latin typeface="Cambria Math" panose="02040503050406030204" pitchFamily="18" charset="0"/>
                              <a:ea typeface="+mn-ea"/>
                              <a:cs typeface="+mn-cs"/>
                            </a:rPr>
                            <m:t>1</m:t>
                          </m:r>
                        </m:den>
                      </m:f>
                    </m:num>
                    <m:den>
                      <m:f>
                        <m:fPr>
                          <m:ctrlPr>
                            <a:rPr lang="en-US" sz="3200" b="0" i="1">
                              <a:solidFill>
                                <a:schemeClr val="dk1"/>
                              </a:solidFill>
                              <a:effectLst/>
                              <a:latin typeface="Cambria Math" panose="02040503050406030204" pitchFamily="18" charset="0"/>
                              <a:ea typeface="+mn-ea"/>
                              <a:cs typeface="+mn-cs"/>
                            </a:rPr>
                          </m:ctrlPr>
                        </m:fPr>
                        <m:num>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2,</m:t>
                              </m:r>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3</m:t>
                              </m:r>
                            </m:e>
                          </m:d>
                        </m:num>
                        <m:den>
                          <m:r>
                            <a:rPr lang="en-US" sz="3200" b="0" i="1">
                              <a:solidFill>
                                <a:schemeClr val="dk1"/>
                              </a:solidFill>
                              <a:effectLst/>
                              <a:latin typeface="Cambria Math" panose="02040503050406030204" pitchFamily="18" charset="0"/>
                              <a:ea typeface="+mn-ea"/>
                              <a:cs typeface="+mn-cs"/>
                            </a:rPr>
                            <m:t>𝑛</m:t>
                          </m:r>
                          <m:r>
                            <a:rPr lang="en-US" sz="3200" b="0" i="1">
                              <a:solidFill>
                                <a:schemeClr val="dk1"/>
                              </a:solidFill>
                              <a:effectLst/>
                              <a:latin typeface="Cambria Math" panose="02040503050406030204" pitchFamily="18" charset="0"/>
                              <a:ea typeface="+mn-ea"/>
                              <a:cs typeface="+mn-cs"/>
                            </a:rPr>
                            <m:t>−</m:t>
                          </m:r>
                          <m:r>
                            <a:rPr lang="en-US" sz="3200" b="0" i="1">
                              <a:solidFill>
                                <a:schemeClr val="dk1"/>
                              </a:solidFill>
                              <a:effectLst/>
                              <a:latin typeface="Cambria Math" panose="02040503050406030204" pitchFamily="18" charset="0"/>
                              <a:ea typeface="+mn-ea"/>
                              <a:cs typeface="+mn-cs"/>
                            </a:rPr>
                            <m:t>𝑝</m:t>
                          </m:r>
                          <m:r>
                            <a:rPr lang="en-US" sz="3200" b="0" i="1">
                              <a:solidFill>
                                <a:schemeClr val="dk1"/>
                              </a:solidFill>
                              <a:effectLst/>
                              <a:latin typeface="Cambria Math" panose="02040503050406030204" pitchFamily="18" charset="0"/>
                              <a:ea typeface="+mn-ea"/>
                              <a:cs typeface="+mn-cs"/>
                            </a:rPr>
                            <m:t>−1</m:t>
                          </m:r>
                        </m:den>
                      </m:f>
                    </m:den>
                  </m:f>
                </m:oMath>
              </a14:m>
              <a:endParaRPr lang="en-US" sz="3200"/>
            </a:p>
          </xdr:txBody>
        </xdr:sp>
      </mc:Choice>
      <mc:Fallback xmlns="">
        <xdr:sp macro="" textlink="">
          <xdr:nvSpPr>
            <xdr:cNvPr id="2" name="TextBox 1">
              <a:extLst>
                <a:ext uri="{FF2B5EF4-FFF2-40B4-BE49-F238E27FC236}">
                  <a16:creationId xmlns:a16="http://schemas.microsoft.com/office/drawing/2014/main" id="{B7A3FA9D-01C8-A814-F0CF-BB1CAA8015E2}"/>
                </a:ext>
              </a:extLst>
            </xdr:cNvPr>
            <xdr:cNvSpPr txBox="1"/>
          </xdr:nvSpPr>
          <xdr:spPr>
            <a:xfrm>
              <a:off x="10753725" y="152400"/>
              <a:ext cx="4848225"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a:solidFill>
                    <a:schemeClr val="dk1"/>
                  </a:solidFill>
                  <a:effectLst/>
                  <a:latin typeface="+mn-lt"/>
                  <a:ea typeface="+mn-ea"/>
                  <a:cs typeface="+mn-cs"/>
                </a:rPr>
                <a:t>F= </a:t>
              </a:r>
              <a:r>
                <a:rPr lang="en-US" sz="3200" b="0" i="0">
                  <a:solidFill>
                    <a:schemeClr val="dk1"/>
                  </a:solidFill>
                  <a:effectLst/>
                  <a:latin typeface="+mn-lt"/>
                  <a:ea typeface="+mn-ea"/>
                  <a:cs typeface="+mn-cs"/>
                </a:rPr>
                <a:t>((𝑆𝑆𝐸(𝑥1</a:t>
              </a:r>
              <a:r>
                <a:rPr lang="en-US" sz="3200" b="0" i="0">
                  <a:solidFill>
                    <a:schemeClr val="dk1"/>
                  </a:solidFill>
                  <a:effectLst/>
                  <a:latin typeface="Cambria Math" panose="02040503050406030204" pitchFamily="18" charset="0"/>
                  <a:ea typeface="+mn-ea"/>
                  <a:cs typeface="+mn-cs"/>
                </a:rPr>
                <a:t>,𝑥2</a:t>
              </a:r>
              <a:r>
                <a:rPr lang="en-US" sz="3200" b="0" i="0">
                  <a:solidFill>
                    <a:schemeClr val="dk1"/>
                  </a:solidFill>
                  <a:effectLst/>
                  <a:latin typeface="+mn-lt"/>
                  <a:ea typeface="+mn-ea"/>
                  <a:cs typeface="+mn-cs"/>
                </a:rPr>
                <a:t>)−𝑆𝑆𝐸(𝑥1,𝑥2</a:t>
              </a:r>
              <a:r>
                <a:rPr lang="en-US" sz="3200" b="0" i="0">
                  <a:solidFill>
                    <a:schemeClr val="dk1"/>
                  </a:solidFill>
                  <a:effectLst/>
                  <a:latin typeface="Cambria Math" panose="02040503050406030204" pitchFamily="18" charset="0"/>
                  <a:ea typeface="+mn-ea"/>
                  <a:cs typeface="+mn-cs"/>
                </a:rPr>
                <a:t>,𝑥3</a:t>
              </a:r>
              <a:r>
                <a:rPr lang="en-US" sz="3200" b="0" i="0">
                  <a:solidFill>
                    <a:schemeClr val="dk1"/>
                  </a:solidFill>
                  <a:effectLst/>
                  <a:latin typeface="+mn-lt"/>
                  <a:ea typeface="+mn-ea"/>
                  <a:cs typeface="+mn-cs"/>
                </a:rPr>
                <a:t>))/1)/(𝑆𝑆𝐸(𝑥1,𝑥2</a:t>
              </a:r>
              <a:r>
                <a:rPr lang="en-US" sz="3200" b="0" i="0">
                  <a:solidFill>
                    <a:schemeClr val="dk1"/>
                  </a:solidFill>
                  <a:effectLst/>
                  <a:latin typeface="Cambria Math" panose="02040503050406030204" pitchFamily="18" charset="0"/>
                  <a:ea typeface="+mn-ea"/>
                  <a:cs typeface="+mn-cs"/>
                </a:rPr>
                <a:t>,𝑥3</a:t>
              </a:r>
              <a:r>
                <a:rPr lang="en-US" sz="3200" b="0" i="0">
                  <a:solidFill>
                    <a:schemeClr val="dk1"/>
                  </a:solidFill>
                  <a:effectLst/>
                  <a:latin typeface="+mn-lt"/>
                  <a:ea typeface="+mn-ea"/>
                  <a:cs typeface="+mn-cs"/>
                </a:rPr>
                <a:t>)/(𝑛−𝑝−1))</a:t>
              </a:r>
              <a:endParaRPr lang="en-US" sz="3200"/>
            </a:p>
          </xdr:txBody>
        </xdr:sp>
      </mc:Fallback>
    </mc:AlternateContent>
    <xdr:clientData/>
  </xdr:twoCellAnchor>
  <xdr:twoCellAnchor>
    <xdr:from>
      <xdr:col>13</xdr:col>
      <xdr:colOff>179295</xdr:colOff>
      <xdr:row>6</xdr:row>
      <xdr:rowOff>123264</xdr:rowOff>
    </xdr:from>
    <xdr:to>
      <xdr:col>15</xdr:col>
      <xdr:colOff>515472</xdr:colOff>
      <xdr:row>14</xdr:row>
      <xdr:rowOff>33617</xdr:rowOff>
    </xdr:to>
    <xdr:sp macro="" textlink="">
      <xdr:nvSpPr>
        <xdr:cNvPr id="3" name="TextBox 2">
          <a:extLst>
            <a:ext uri="{FF2B5EF4-FFF2-40B4-BE49-F238E27FC236}">
              <a16:creationId xmlns:a16="http://schemas.microsoft.com/office/drawing/2014/main" id="{E8183BB4-D6D0-C43A-F4B4-0824E73F2F20}"/>
            </a:ext>
          </a:extLst>
        </xdr:cNvPr>
        <xdr:cNvSpPr txBox="1"/>
      </xdr:nvSpPr>
      <xdr:spPr>
        <a:xfrm>
          <a:off x="9020736" y="1277470"/>
          <a:ext cx="1546412" cy="1467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 add</a:t>
          </a:r>
          <a:r>
            <a:rPr lang="en-US" sz="1100" baseline="0"/>
            <a:t> Poten it to the model.</a:t>
          </a:r>
        </a:p>
        <a:p>
          <a:endParaRPr lang="en-US" sz="1100"/>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If the independent variables p value is less than or equal to 0.05 you add it to the model. </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505944</xdr:colOff>
      <xdr:row>1</xdr:row>
      <xdr:rowOff>69477</xdr:rowOff>
    </xdr:from>
    <xdr:to>
      <xdr:col>26</xdr:col>
      <xdr:colOff>235324</xdr:colOff>
      <xdr:row>9</xdr:row>
      <xdr:rowOff>123264</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DF3853-CFCC-5026-D55C-49106F113829}"/>
                </a:ext>
              </a:extLst>
            </xdr:cNvPr>
            <xdr:cNvSpPr txBox="1"/>
          </xdr:nvSpPr>
          <xdr:spPr>
            <a:xfrm>
              <a:off x="10826562" y="259977"/>
              <a:ext cx="578055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a:solidFill>
                    <a:schemeClr val="dk1"/>
                  </a:solidFill>
                  <a:effectLst/>
                  <a:latin typeface="+mn-lt"/>
                  <a:ea typeface="+mn-ea"/>
                  <a:cs typeface="+mn-cs"/>
                </a:rPr>
                <a:t>F= </a:t>
              </a:r>
              <a14:m>
                <m:oMath xmlns:m="http://schemas.openxmlformats.org/officeDocument/2006/math">
                  <m:f>
                    <m:fPr>
                      <m:ctrlPr>
                        <a:rPr lang="en-US" sz="3600" b="0" i="1">
                          <a:solidFill>
                            <a:schemeClr val="dk1"/>
                          </a:solidFill>
                          <a:effectLst/>
                          <a:latin typeface="Cambria Math" panose="02040503050406030204" pitchFamily="18" charset="0"/>
                          <a:ea typeface="+mn-ea"/>
                          <a:cs typeface="+mn-cs"/>
                        </a:rPr>
                      </m:ctrlPr>
                    </m:fPr>
                    <m:num>
                      <m:f>
                        <m:fPr>
                          <m:ctrlPr>
                            <a:rPr lang="en-US" sz="3600" b="0" i="1">
                              <a:solidFill>
                                <a:schemeClr val="dk1"/>
                              </a:solidFill>
                              <a:effectLst/>
                              <a:latin typeface="Cambria Math" panose="02040503050406030204" pitchFamily="18" charset="0"/>
                              <a:ea typeface="+mn-ea"/>
                              <a:cs typeface="+mn-cs"/>
                            </a:rPr>
                          </m:ctrlPr>
                        </m:fPr>
                        <m:num>
                          <m:r>
                            <a:rPr lang="en-US" sz="3600" b="0" i="1">
                              <a:solidFill>
                                <a:schemeClr val="dk1"/>
                              </a:solidFill>
                              <a:effectLst/>
                              <a:latin typeface="Cambria Math" panose="02040503050406030204" pitchFamily="18" charset="0"/>
                              <a:ea typeface="+mn-ea"/>
                              <a:cs typeface="+mn-cs"/>
                            </a:rPr>
                            <m:t>𝑆𝑆𝐸</m:t>
                          </m:r>
                          <m:d>
                            <m:dPr>
                              <m:ctrlPr>
                                <a:rPr lang="en-US" sz="3600" b="0" i="1">
                                  <a:solidFill>
                                    <a:schemeClr val="dk1"/>
                                  </a:solidFill>
                                  <a:effectLst/>
                                  <a:latin typeface="Cambria Math" panose="02040503050406030204" pitchFamily="18" charset="0"/>
                                  <a:ea typeface="+mn-ea"/>
                                  <a:cs typeface="+mn-cs"/>
                                </a:rPr>
                              </m:ctrlPr>
                            </m:dPr>
                            <m:e>
                              <m:r>
                                <a:rPr lang="en-US" sz="3600" b="0" i="1">
                                  <a:solidFill>
                                    <a:schemeClr val="dk1"/>
                                  </a:solidFill>
                                  <a:effectLst/>
                                  <a:latin typeface="Cambria Math" panose="02040503050406030204" pitchFamily="18" charset="0"/>
                                  <a:ea typeface="+mn-ea"/>
                                  <a:cs typeface="+mn-cs"/>
                                </a:rPr>
                                <m:t>𝑥</m:t>
                              </m:r>
                              <m:r>
                                <a:rPr lang="en-US" sz="3600" b="0" i="1">
                                  <a:solidFill>
                                    <a:schemeClr val="dk1"/>
                                  </a:solidFill>
                                  <a:effectLst/>
                                  <a:latin typeface="Cambria Math" panose="02040503050406030204" pitchFamily="18" charset="0"/>
                                  <a:ea typeface="+mn-ea"/>
                                  <a:cs typeface="+mn-cs"/>
                                </a:rPr>
                                <m:t>1,…,</m:t>
                              </m:r>
                              <m:r>
                                <a:rPr lang="en-US" sz="3600" b="0" i="1">
                                  <a:solidFill>
                                    <a:schemeClr val="dk1"/>
                                  </a:solidFill>
                                  <a:effectLst/>
                                  <a:latin typeface="Cambria Math" panose="02040503050406030204" pitchFamily="18" charset="0"/>
                                  <a:ea typeface="+mn-ea"/>
                                  <a:cs typeface="+mn-cs"/>
                                </a:rPr>
                                <m:t>𝑥𝑞</m:t>
                              </m:r>
                            </m:e>
                          </m:d>
                          <m:r>
                            <a:rPr lang="en-US" sz="3600" b="0" i="1">
                              <a:solidFill>
                                <a:schemeClr val="dk1"/>
                              </a:solidFill>
                              <a:effectLst/>
                              <a:latin typeface="Cambria Math" panose="02040503050406030204" pitchFamily="18" charset="0"/>
                              <a:ea typeface="+mn-ea"/>
                              <a:cs typeface="+mn-cs"/>
                            </a:rPr>
                            <m:t>−</m:t>
                          </m:r>
                          <m:r>
                            <a:rPr lang="en-US" sz="3600" b="0" i="1">
                              <a:solidFill>
                                <a:schemeClr val="dk1"/>
                              </a:solidFill>
                              <a:effectLst/>
                              <a:latin typeface="Cambria Math" panose="02040503050406030204" pitchFamily="18" charset="0"/>
                              <a:ea typeface="+mn-ea"/>
                              <a:cs typeface="+mn-cs"/>
                            </a:rPr>
                            <m:t>𝑆𝑆𝐸</m:t>
                          </m:r>
                          <m:d>
                            <m:dPr>
                              <m:ctrlPr>
                                <a:rPr lang="en-US" sz="3600" b="0" i="1">
                                  <a:solidFill>
                                    <a:schemeClr val="dk1"/>
                                  </a:solidFill>
                                  <a:effectLst/>
                                  <a:latin typeface="Cambria Math" panose="02040503050406030204" pitchFamily="18" charset="0"/>
                                  <a:ea typeface="+mn-ea"/>
                                  <a:cs typeface="+mn-cs"/>
                                </a:rPr>
                              </m:ctrlPr>
                            </m:dPr>
                            <m:e>
                              <m:r>
                                <a:rPr lang="en-US" sz="3600" b="0" i="1">
                                  <a:solidFill>
                                    <a:schemeClr val="dk1"/>
                                  </a:solidFill>
                                  <a:effectLst/>
                                  <a:latin typeface="Cambria Math" panose="02040503050406030204" pitchFamily="18" charset="0"/>
                                  <a:ea typeface="+mn-ea"/>
                                  <a:cs typeface="+mn-cs"/>
                                </a:rPr>
                                <m:t>𝑥</m:t>
                              </m:r>
                              <m:r>
                                <a:rPr lang="en-US" sz="3600" b="0" i="1">
                                  <a:solidFill>
                                    <a:schemeClr val="dk1"/>
                                  </a:solidFill>
                                  <a:effectLst/>
                                  <a:latin typeface="Cambria Math" panose="02040503050406030204" pitchFamily="18" charset="0"/>
                                  <a:ea typeface="+mn-ea"/>
                                  <a:cs typeface="+mn-cs"/>
                                </a:rPr>
                                <m:t>1,...,</m:t>
                              </m:r>
                              <m:r>
                                <a:rPr lang="en-US" sz="3600" b="0" i="1">
                                  <a:solidFill>
                                    <a:schemeClr val="dk1"/>
                                  </a:solidFill>
                                  <a:effectLst/>
                                  <a:latin typeface="Cambria Math" panose="02040503050406030204" pitchFamily="18" charset="0"/>
                                  <a:ea typeface="+mn-ea"/>
                                  <a:cs typeface="+mn-cs"/>
                                </a:rPr>
                                <m:t>𝑥𝑞</m:t>
                              </m:r>
                              <m:r>
                                <a:rPr lang="en-US" sz="3600" b="0" i="1">
                                  <a:solidFill>
                                    <a:schemeClr val="dk1"/>
                                  </a:solidFill>
                                  <a:effectLst/>
                                  <a:latin typeface="Cambria Math" panose="02040503050406030204" pitchFamily="18" charset="0"/>
                                  <a:ea typeface="+mn-ea"/>
                                  <a:cs typeface="+mn-cs"/>
                                </a:rPr>
                                <m:t>+1,….</m:t>
                              </m:r>
                              <m:r>
                                <a:rPr lang="en-US" sz="3600" b="0" i="1">
                                  <a:solidFill>
                                    <a:schemeClr val="dk1"/>
                                  </a:solidFill>
                                  <a:effectLst/>
                                  <a:latin typeface="Cambria Math" panose="02040503050406030204" pitchFamily="18" charset="0"/>
                                  <a:ea typeface="+mn-ea"/>
                                  <a:cs typeface="+mn-cs"/>
                                </a:rPr>
                                <m:t>𝑥𝑝</m:t>
                              </m:r>
                            </m:e>
                          </m:d>
                        </m:num>
                        <m:den>
                          <m:r>
                            <a:rPr lang="en-US" sz="3600" b="0" i="1">
                              <a:solidFill>
                                <a:schemeClr val="dk1"/>
                              </a:solidFill>
                              <a:effectLst/>
                              <a:latin typeface="Cambria Math" panose="02040503050406030204" pitchFamily="18" charset="0"/>
                              <a:ea typeface="+mn-ea"/>
                              <a:cs typeface="+mn-cs"/>
                            </a:rPr>
                            <m:t>1</m:t>
                          </m:r>
                        </m:den>
                      </m:f>
                    </m:num>
                    <m:den>
                      <m:f>
                        <m:fPr>
                          <m:ctrlPr>
                            <a:rPr lang="en-US" sz="3600" b="0" i="1">
                              <a:solidFill>
                                <a:schemeClr val="dk1"/>
                              </a:solidFill>
                              <a:effectLst/>
                              <a:latin typeface="Cambria Math" panose="02040503050406030204" pitchFamily="18" charset="0"/>
                              <a:ea typeface="+mn-ea"/>
                              <a:cs typeface="+mn-cs"/>
                            </a:rPr>
                          </m:ctrlPr>
                        </m:fPr>
                        <m:num>
                          <m:r>
                            <a:rPr lang="en-US" sz="3600" b="0" i="1">
                              <a:solidFill>
                                <a:schemeClr val="dk1"/>
                              </a:solidFill>
                              <a:effectLst/>
                              <a:latin typeface="Cambria Math" panose="02040503050406030204" pitchFamily="18" charset="0"/>
                              <a:ea typeface="+mn-ea"/>
                              <a:cs typeface="+mn-cs"/>
                            </a:rPr>
                            <m:t>𝑆𝑆𝐸</m:t>
                          </m:r>
                          <m:d>
                            <m:dPr>
                              <m:ctrlPr>
                                <a:rPr lang="en-US" sz="3600" b="0" i="1">
                                  <a:solidFill>
                                    <a:schemeClr val="dk1"/>
                                  </a:solidFill>
                                  <a:effectLst/>
                                  <a:latin typeface="Cambria Math" panose="02040503050406030204" pitchFamily="18" charset="0"/>
                                  <a:ea typeface="+mn-ea"/>
                                  <a:cs typeface="+mn-cs"/>
                                </a:rPr>
                              </m:ctrlPr>
                            </m:dPr>
                            <m:e>
                              <m:r>
                                <a:rPr lang="en-US" sz="3600" b="0" i="1">
                                  <a:solidFill>
                                    <a:schemeClr val="dk1"/>
                                  </a:solidFill>
                                  <a:effectLst/>
                                  <a:latin typeface="Cambria Math" panose="02040503050406030204" pitchFamily="18" charset="0"/>
                                  <a:ea typeface="+mn-ea"/>
                                  <a:cs typeface="+mn-cs"/>
                                </a:rPr>
                                <m:t>𝑥𝑝</m:t>
                              </m:r>
                            </m:e>
                          </m:d>
                        </m:num>
                        <m:den>
                          <m:r>
                            <a:rPr lang="en-US" sz="3600" b="0" i="1">
                              <a:solidFill>
                                <a:schemeClr val="dk1"/>
                              </a:solidFill>
                              <a:effectLst/>
                              <a:latin typeface="Cambria Math" panose="02040503050406030204" pitchFamily="18" charset="0"/>
                              <a:ea typeface="+mn-ea"/>
                              <a:cs typeface="+mn-cs"/>
                            </a:rPr>
                            <m:t>𝑛</m:t>
                          </m:r>
                          <m:r>
                            <a:rPr lang="en-US" sz="3600" b="0" i="1">
                              <a:solidFill>
                                <a:schemeClr val="dk1"/>
                              </a:solidFill>
                              <a:effectLst/>
                              <a:latin typeface="Cambria Math" panose="02040503050406030204" pitchFamily="18" charset="0"/>
                              <a:ea typeface="+mn-ea"/>
                              <a:cs typeface="+mn-cs"/>
                            </a:rPr>
                            <m:t>−</m:t>
                          </m:r>
                          <m:r>
                            <a:rPr lang="en-US" sz="3600" b="0" i="1">
                              <a:solidFill>
                                <a:schemeClr val="dk1"/>
                              </a:solidFill>
                              <a:effectLst/>
                              <a:latin typeface="Cambria Math" panose="02040503050406030204" pitchFamily="18" charset="0"/>
                              <a:ea typeface="+mn-ea"/>
                              <a:cs typeface="+mn-cs"/>
                            </a:rPr>
                            <m:t>𝑝</m:t>
                          </m:r>
                          <m:r>
                            <a:rPr lang="en-US" sz="3600" b="0" i="1">
                              <a:solidFill>
                                <a:schemeClr val="dk1"/>
                              </a:solidFill>
                              <a:effectLst/>
                              <a:latin typeface="Cambria Math" panose="02040503050406030204" pitchFamily="18" charset="0"/>
                              <a:ea typeface="+mn-ea"/>
                              <a:cs typeface="+mn-cs"/>
                            </a:rPr>
                            <m:t>−1</m:t>
                          </m:r>
                        </m:den>
                      </m:f>
                    </m:den>
                  </m:f>
                </m:oMath>
              </a14:m>
              <a:endParaRPr lang="en-US" sz="3600"/>
            </a:p>
          </xdr:txBody>
        </xdr:sp>
      </mc:Choice>
      <mc:Fallback xmlns="">
        <xdr:sp macro="" textlink="">
          <xdr:nvSpPr>
            <xdr:cNvPr id="2" name="TextBox 1">
              <a:extLst>
                <a:ext uri="{FF2B5EF4-FFF2-40B4-BE49-F238E27FC236}">
                  <a16:creationId xmlns:a16="http://schemas.microsoft.com/office/drawing/2014/main" id="{E6DF3853-CFCC-5026-D55C-49106F113829}"/>
                </a:ext>
              </a:extLst>
            </xdr:cNvPr>
            <xdr:cNvSpPr txBox="1"/>
          </xdr:nvSpPr>
          <xdr:spPr>
            <a:xfrm>
              <a:off x="10826562" y="259977"/>
              <a:ext cx="578055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a:solidFill>
                    <a:schemeClr val="dk1"/>
                  </a:solidFill>
                  <a:effectLst/>
                  <a:latin typeface="+mn-lt"/>
                  <a:ea typeface="+mn-ea"/>
                  <a:cs typeface="+mn-cs"/>
                </a:rPr>
                <a:t>F= </a:t>
              </a:r>
              <a:r>
                <a:rPr lang="en-US" sz="3600" b="0" i="0">
                  <a:solidFill>
                    <a:schemeClr val="dk1"/>
                  </a:solidFill>
                  <a:effectLst/>
                  <a:latin typeface="+mn-lt"/>
                  <a:ea typeface="+mn-ea"/>
                  <a:cs typeface="+mn-cs"/>
                </a:rPr>
                <a:t>((𝑆𝑆𝐸(𝑥</a:t>
              </a:r>
              <a:r>
                <a:rPr lang="en-US" sz="3600" b="0" i="0">
                  <a:solidFill>
                    <a:schemeClr val="dk1"/>
                  </a:solidFill>
                  <a:effectLst/>
                  <a:latin typeface="Cambria Math" panose="02040503050406030204" pitchFamily="18" charset="0"/>
                  <a:ea typeface="+mn-ea"/>
                  <a:cs typeface="+mn-cs"/>
                </a:rPr>
                <a:t>1,…,𝑥𝑞</a:t>
              </a:r>
              <a:r>
                <a:rPr lang="en-US" sz="3600" b="0" i="0">
                  <a:solidFill>
                    <a:schemeClr val="dk1"/>
                  </a:solidFill>
                  <a:effectLst/>
                  <a:latin typeface="+mn-lt"/>
                  <a:ea typeface="+mn-ea"/>
                  <a:cs typeface="+mn-cs"/>
                </a:rPr>
                <a:t>)−𝑆𝑆𝐸(𝑥</a:t>
              </a:r>
              <a:r>
                <a:rPr lang="en-US" sz="3600" b="0" i="0">
                  <a:solidFill>
                    <a:schemeClr val="dk1"/>
                  </a:solidFill>
                  <a:effectLst/>
                  <a:latin typeface="Cambria Math" panose="02040503050406030204" pitchFamily="18" charset="0"/>
                  <a:ea typeface="+mn-ea"/>
                  <a:cs typeface="+mn-cs"/>
                </a:rPr>
                <a:t>1,...,𝑥𝑞+1,….𝑥𝑝</a:t>
              </a:r>
              <a:r>
                <a:rPr lang="en-US" sz="3600" b="0" i="0">
                  <a:solidFill>
                    <a:schemeClr val="dk1"/>
                  </a:solidFill>
                  <a:effectLst/>
                  <a:latin typeface="+mn-lt"/>
                  <a:ea typeface="+mn-ea"/>
                  <a:cs typeface="+mn-cs"/>
                </a:rPr>
                <a:t>))/1)/(𝑆𝑆𝐸(𝑥</a:t>
              </a:r>
              <a:r>
                <a:rPr lang="en-US" sz="3600" b="0" i="0">
                  <a:solidFill>
                    <a:schemeClr val="dk1"/>
                  </a:solidFill>
                  <a:effectLst/>
                  <a:latin typeface="Cambria Math" panose="02040503050406030204" pitchFamily="18" charset="0"/>
                  <a:ea typeface="+mn-ea"/>
                  <a:cs typeface="+mn-cs"/>
                </a:rPr>
                <a:t>𝑝</a:t>
              </a:r>
              <a:r>
                <a:rPr lang="en-US" sz="3600" b="0" i="0">
                  <a:solidFill>
                    <a:schemeClr val="dk1"/>
                  </a:solidFill>
                  <a:effectLst/>
                  <a:latin typeface="+mn-lt"/>
                  <a:ea typeface="+mn-ea"/>
                  <a:cs typeface="+mn-cs"/>
                </a:rPr>
                <a:t>)/(𝑛−𝑝−1))</a:t>
              </a:r>
              <a:endParaRPr lang="en-US" sz="3600"/>
            </a:p>
          </xdr:txBody>
        </xdr:sp>
      </mc:Fallback>
    </mc:AlternateContent>
    <xdr:clientData/>
  </xdr:twoCellAnchor>
  <xdr:twoCellAnchor>
    <xdr:from>
      <xdr:col>13</xdr:col>
      <xdr:colOff>414618</xdr:colOff>
      <xdr:row>7</xdr:row>
      <xdr:rowOff>33618</xdr:rowOff>
    </xdr:from>
    <xdr:to>
      <xdr:col>16</xdr:col>
      <xdr:colOff>246530</xdr:colOff>
      <xdr:row>13</xdr:row>
      <xdr:rowOff>156882</xdr:rowOff>
    </xdr:to>
    <xdr:sp macro="" textlink="">
      <xdr:nvSpPr>
        <xdr:cNvPr id="3" name="TextBox 2">
          <a:extLst>
            <a:ext uri="{FF2B5EF4-FFF2-40B4-BE49-F238E27FC236}">
              <a16:creationId xmlns:a16="http://schemas.microsoft.com/office/drawing/2014/main" id="{145598F5-3415-9E3B-F912-C71546F733A3}"/>
            </a:ext>
          </a:extLst>
        </xdr:cNvPr>
        <xdr:cNvSpPr txBox="1"/>
      </xdr:nvSpPr>
      <xdr:spPr>
        <a:xfrm>
          <a:off x="9625853" y="1378324"/>
          <a:ext cx="1647265" cy="1288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 add it Share to the model.</a:t>
          </a:r>
        </a:p>
        <a:p>
          <a:endParaRPr lang="en-US">
            <a:effectLst/>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If the independent variables p value is less than or equal to 0.05 you add it to the model. </a:t>
          </a:r>
          <a:endParaRPr lang="en-US">
            <a:effectLst/>
          </a:endParaRP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257175</xdr:colOff>
      <xdr:row>7</xdr:row>
      <xdr:rowOff>0</xdr:rowOff>
    </xdr:from>
    <xdr:to>
      <xdr:col>13</xdr:col>
      <xdr:colOff>114301</xdr:colOff>
      <xdr:row>15</xdr:row>
      <xdr:rowOff>0</xdr:rowOff>
    </xdr:to>
    <xdr:sp macro="" textlink="">
      <xdr:nvSpPr>
        <xdr:cNvPr id="2" name="TextBox 1">
          <a:extLst>
            <a:ext uri="{FF2B5EF4-FFF2-40B4-BE49-F238E27FC236}">
              <a16:creationId xmlns:a16="http://schemas.microsoft.com/office/drawing/2014/main" id="{17A29E2C-8149-33B1-AD9C-795AAA903EDB}"/>
            </a:ext>
          </a:extLst>
        </xdr:cNvPr>
        <xdr:cNvSpPr txBox="1"/>
      </xdr:nvSpPr>
      <xdr:spPr>
        <a:xfrm>
          <a:off x="6819900" y="1552575"/>
          <a:ext cx="2562226" cy="15240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Don't</a:t>
          </a:r>
          <a:r>
            <a:rPr lang="en-US" sz="1100" baseline="0"/>
            <a:t> add it to the model.</a:t>
          </a:r>
        </a:p>
        <a:p>
          <a:r>
            <a:rPr lang="en-US" sz="1100" baseline="0"/>
            <a:t>do not reject null hypothesis  </a:t>
          </a:r>
        </a:p>
        <a:p>
          <a:r>
            <a:rPr lang="en-US" sz="1100" baseline="0"/>
            <a:t>Ho: Btime=0</a:t>
          </a:r>
        </a:p>
        <a:p>
          <a:endParaRPr lang="en-US" sz="1100" baseline="0"/>
        </a:p>
        <a:p>
          <a:r>
            <a:rPr lang="en-US" sz="1100" baseline="0"/>
            <a:t>You can tell because the </a:t>
          </a:r>
          <a:r>
            <a:rPr lang="en-US" sz="1100" baseline="0">
              <a:solidFill>
                <a:srgbClr val="FF0000"/>
              </a:solidFill>
            </a:rPr>
            <a:t>confidence interval of the independent variable </a:t>
          </a:r>
          <a:r>
            <a:rPr lang="en-US" sz="1100" baseline="0">
              <a:solidFill>
                <a:sysClr val="windowText" lastClr="000000"/>
              </a:solidFill>
            </a:rPr>
            <a:t>includes zero,  so it is not a </a:t>
          </a:r>
          <a:r>
            <a:rPr lang="en-US" sz="1100" b="1" baseline="0">
              <a:solidFill>
                <a:sysClr val="windowText" lastClr="000000"/>
              </a:solidFill>
            </a:rPr>
            <a:t>significant </a:t>
          </a:r>
          <a:r>
            <a:rPr lang="en-US" sz="1100" baseline="0">
              <a:solidFill>
                <a:sysClr val="windowText" lastClr="000000"/>
              </a:solidFill>
            </a:rPr>
            <a:t>reduction in the error sum of squares.</a:t>
          </a:r>
        </a:p>
        <a:p>
          <a:endParaRPr lang="en-US" sz="1100"/>
        </a:p>
      </xdr:txBody>
    </xdr:sp>
    <xdr:clientData/>
  </xdr:twoCellAnchor>
  <xdr:twoCellAnchor>
    <xdr:from>
      <xdr:col>7</xdr:col>
      <xdr:colOff>152400</xdr:colOff>
      <xdr:row>6</xdr:row>
      <xdr:rowOff>133350</xdr:rowOff>
    </xdr:from>
    <xdr:to>
      <xdr:col>9</xdr:col>
      <xdr:colOff>971550</xdr:colOff>
      <xdr:row>14</xdr:row>
      <xdr:rowOff>104776</xdr:rowOff>
    </xdr:to>
    <xdr:sp macro="" textlink="">
      <xdr:nvSpPr>
        <xdr:cNvPr id="3" name="TextBox 2">
          <a:extLst>
            <a:ext uri="{FF2B5EF4-FFF2-40B4-BE49-F238E27FC236}">
              <a16:creationId xmlns:a16="http://schemas.microsoft.com/office/drawing/2014/main" id="{C6C3EDCA-5A8E-28F3-73A3-DA5847FAC49A}"/>
            </a:ext>
          </a:extLst>
        </xdr:cNvPr>
        <xdr:cNvSpPr txBox="1"/>
      </xdr:nvSpPr>
      <xdr:spPr>
        <a:xfrm>
          <a:off x="4419600" y="1495425"/>
          <a:ext cx="2038350" cy="1495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Fails:</a:t>
          </a:r>
          <a:r>
            <a:rPr lang="en-US" sz="1100" baseline="0"/>
            <a:t> Time,  Change,</a:t>
          </a:r>
        </a:p>
        <a:p>
          <a:r>
            <a:rPr lang="en-US" sz="1100" baseline="0"/>
            <a:t>Also time has a high correlation to accounts so it should not be added. Did not check </a:t>
          </a:r>
          <a:r>
            <a:rPr lang="en-US" sz="1100" b="1" baseline="0"/>
            <a:t>work </a:t>
          </a:r>
          <a:r>
            <a:rPr lang="en-US" sz="1100" b="0" baseline="0"/>
            <a:t>and</a:t>
          </a:r>
          <a:r>
            <a:rPr lang="en-US" sz="1100" b="1" baseline="0"/>
            <a:t> rating</a:t>
          </a:r>
          <a:r>
            <a:rPr lang="en-US" sz="1100" baseline="0"/>
            <a:t> right now but the sheet says fails with any new independent so maybe I did when I made the sheet.</a:t>
          </a:r>
          <a:endParaRPr lang="en-US" sz="1100"/>
        </a:p>
      </xdr:txBody>
    </xdr:sp>
    <xdr:clientData/>
  </xdr:twoCellAnchor>
  <xdr:twoCellAnchor>
    <xdr:from>
      <xdr:col>14</xdr:col>
      <xdr:colOff>57150</xdr:colOff>
      <xdr:row>9</xdr:row>
      <xdr:rowOff>57150</xdr:rowOff>
    </xdr:from>
    <xdr:to>
      <xdr:col>16</xdr:col>
      <xdr:colOff>304800</xdr:colOff>
      <xdr:row>17</xdr:row>
      <xdr:rowOff>104775</xdr:rowOff>
    </xdr:to>
    <xdr:sp macro="" textlink="">
      <xdr:nvSpPr>
        <xdr:cNvPr id="4" name="TextBox 3">
          <a:extLst>
            <a:ext uri="{FF2B5EF4-FFF2-40B4-BE49-F238E27FC236}">
              <a16:creationId xmlns:a16="http://schemas.microsoft.com/office/drawing/2014/main" id="{AA54EA95-AE88-0FB1-8C4C-F1C446822B1B}"/>
            </a:ext>
          </a:extLst>
        </xdr:cNvPr>
        <xdr:cNvSpPr txBox="1"/>
      </xdr:nvSpPr>
      <xdr:spPr>
        <a:xfrm>
          <a:off x="9934575" y="1990725"/>
          <a:ext cx="146685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the</a:t>
          </a:r>
          <a:r>
            <a:rPr lang="en-US" sz="1100" baseline="0"/>
            <a:t> cases where you are adding just one independent variable, the f score p value for the new independent variable is the same as the t test p value.</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352425</xdr:colOff>
      <xdr:row>3</xdr:row>
      <xdr:rowOff>171450</xdr:rowOff>
    </xdr:from>
    <xdr:to>
      <xdr:col>11</xdr:col>
      <xdr:colOff>476250</xdr:colOff>
      <xdr:row>14</xdr:row>
      <xdr:rowOff>47625</xdr:rowOff>
    </xdr:to>
    <xdr:sp macro="" textlink="">
      <xdr:nvSpPr>
        <xdr:cNvPr id="2" name="TextBox 1">
          <a:extLst>
            <a:ext uri="{FF2B5EF4-FFF2-40B4-BE49-F238E27FC236}">
              <a16:creationId xmlns:a16="http://schemas.microsoft.com/office/drawing/2014/main" id="{B14B1970-1BB6-341D-FDBA-A89496247DEA}"/>
            </a:ext>
          </a:extLst>
        </xdr:cNvPr>
        <xdr:cNvSpPr txBox="1"/>
      </xdr:nvSpPr>
      <xdr:spPr>
        <a:xfrm>
          <a:off x="5838825" y="742950"/>
          <a:ext cx="1343025" cy="1971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Supposedly Accounts was chosen</a:t>
          </a:r>
          <a:r>
            <a:rPr lang="en-US" sz="1100" baseline="0">
              <a:solidFill>
                <a:schemeClr val="dk1"/>
              </a:solidFill>
              <a:effectLst/>
              <a:latin typeface="+mn-lt"/>
              <a:ea typeface="+mn-ea"/>
              <a:cs typeface="+mn-cs"/>
            </a:rPr>
            <a:t> to start step 1 with</a:t>
          </a:r>
          <a:r>
            <a:rPr lang="en-US" sz="1100">
              <a:solidFill>
                <a:schemeClr val="dk1"/>
              </a:solidFill>
              <a:effectLst/>
              <a:latin typeface="+mn-lt"/>
              <a:ea typeface="+mn-ea"/>
              <a:cs typeface="+mn-cs"/>
            </a:rPr>
            <a:t> as it is</a:t>
          </a:r>
          <a:r>
            <a:rPr lang="en-US" sz="1100" baseline="0">
              <a:solidFill>
                <a:schemeClr val="dk1"/>
              </a:solidFill>
              <a:effectLst/>
              <a:latin typeface="+mn-lt"/>
              <a:ea typeface="+mn-ea"/>
              <a:cs typeface="+mn-cs"/>
            </a:rPr>
            <a:t> the best one variable model with a Standard error of 881. f value: </a:t>
          </a:r>
          <a:r>
            <a:rPr lang="en-US" sz="1100" b="0" i="0">
              <a:solidFill>
                <a:schemeClr val="dk1"/>
              </a:solidFill>
              <a:effectLst/>
              <a:latin typeface="+mn-lt"/>
              <a:ea typeface="+mn-ea"/>
              <a:cs typeface="+mn-cs"/>
            </a:rPr>
            <a:t>0.0000135</a:t>
          </a:r>
          <a:r>
            <a:rPr lang="en-US" sz="1100">
              <a:solidFill>
                <a:schemeClr val="dk1"/>
              </a:solidFill>
              <a:effectLst/>
              <a:latin typeface="+mn-lt"/>
              <a:ea typeface="+mn-ea"/>
              <a:cs typeface="+mn-cs"/>
            </a:rPr>
            <a:t> ,</a:t>
          </a:r>
          <a:r>
            <a:rPr lang="en-US" sz="1100" baseline="0">
              <a:solidFill>
                <a:schemeClr val="dk1"/>
              </a:solidFill>
              <a:effectLst/>
              <a:latin typeface="+mn-lt"/>
              <a:ea typeface="+mn-ea"/>
              <a:cs typeface="+mn-cs"/>
            </a:rPr>
            <a:t> p value 0.0000135</a:t>
          </a:r>
          <a:endParaRPr lang="en-US">
            <a:effectLst/>
          </a:endParaRP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371475</xdr:colOff>
      <xdr:row>7</xdr:row>
      <xdr:rowOff>171450</xdr:rowOff>
    </xdr:from>
    <xdr:to>
      <xdr:col>9</xdr:col>
      <xdr:colOff>552450</xdr:colOff>
      <xdr:row>15</xdr:row>
      <xdr:rowOff>123825</xdr:rowOff>
    </xdr:to>
    <xdr:sp macro="" textlink="">
      <xdr:nvSpPr>
        <xdr:cNvPr id="2" name="TextBox 1">
          <a:extLst>
            <a:ext uri="{FF2B5EF4-FFF2-40B4-BE49-F238E27FC236}">
              <a16:creationId xmlns:a16="http://schemas.microsoft.com/office/drawing/2014/main" id="{813C14B8-9E8F-C010-F76C-ADE3663FC653}"/>
            </a:ext>
          </a:extLst>
        </xdr:cNvPr>
        <xdr:cNvSpPr txBox="1"/>
      </xdr:nvSpPr>
      <xdr:spPr>
        <a:xfrm>
          <a:off x="4029075" y="1504950"/>
          <a:ext cx="2009775"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Adding</a:t>
          </a:r>
          <a:r>
            <a:rPr lang="en-US" sz="1100" baseline="0"/>
            <a:t> any</a:t>
          </a:r>
          <a:r>
            <a:rPr lang="en-US" sz="1100"/>
            <a:t> other independent</a:t>
          </a:r>
          <a:r>
            <a:rPr lang="en-US" sz="1100" baseline="0"/>
            <a:t> variable then the ones in step 1 to 4 fail.</a:t>
          </a:r>
        </a:p>
        <a:p>
          <a:endParaRPr lang="en-US" sz="1100" baseline="0"/>
        </a:p>
        <a:p>
          <a:r>
            <a:rPr lang="en-US" sz="1100" baseline="0"/>
            <a:t>Fails:</a:t>
          </a:r>
        </a:p>
        <a:p>
          <a:r>
            <a:rPr lang="en-US" sz="1100" baseline="0"/>
            <a:t>Rating , time, Work.. etc.</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428625</xdr:colOff>
      <xdr:row>8</xdr:row>
      <xdr:rowOff>104774</xdr:rowOff>
    </xdr:from>
    <xdr:to>
      <xdr:col>15</xdr:col>
      <xdr:colOff>333375</xdr:colOff>
      <xdr:row>30</xdr:row>
      <xdr:rowOff>82826</xdr:rowOff>
    </xdr:to>
    <xdr:sp macro="" textlink="">
      <xdr:nvSpPr>
        <xdr:cNvPr id="2" name="TextBox 1">
          <a:extLst>
            <a:ext uri="{FF2B5EF4-FFF2-40B4-BE49-F238E27FC236}">
              <a16:creationId xmlns:a16="http://schemas.microsoft.com/office/drawing/2014/main" id="{05B8CD6E-7621-1583-D7F8-152D890AA5C8}"/>
            </a:ext>
          </a:extLst>
        </xdr:cNvPr>
        <xdr:cNvSpPr txBox="1"/>
      </xdr:nvSpPr>
      <xdr:spPr>
        <a:xfrm>
          <a:off x="7352886" y="1628774"/>
          <a:ext cx="3317185" cy="4177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a:t>
          </a:r>
          <a:r>
            <a:rPr lang="en-US" sz="1100" baseline="0"/>
            <a:t> not add the independent variables time, change, work, or rating. The final model is the same as stepwise regression: only use accounts, advexp, poten, and share. </a:t>
          </a:r>
        </a:p>
        <a:p>
          <a:endParaRPr lang="en-US" sz="1100" baseline="0"/>
        </a:p>
        <a:p>
          <a:r>
            <a:rPr lang="en-US" sz="1100" baseline="0"/>
            <a:t>or y hat = -1441.93+9.2 Accounts + 0.175 AdvExp + 0.0382Poten + 190 Share</a:t>
          </a:r>
        </a:p>
        <a:p>
          <a:endParaRPr lang="en-US" sz="1100" baseline="0"/>
        </a:p>
        <a:p>
          <a:r>
            <a:rPr lang="en-US" sz="1100" baseline="0"/>
            <a:t>Although the p value says not to add them, the adjusted R squared is higher than step 4, and Sum Square Residual is lower, so I am going to try the model that Rstudio gives me in forward selection.</a:t>
          </a:r>
        </a:p>
        <a:p>
          <a:endParaRPr lang="en-US" sz="1100" baseline="0"/>
        </a:p>
        <a:p>
          <a:r>
            <a:rPr lang="en-US" sz="1100"/>
            <a:t>numerator df = p-q </a:t>
          </a:r>
        </a:p>
        <a:p>
          <a:r>
            <a:rPr lang="en-US" sz="1100"/>
            <a:t>where q is the number of independent variables in the</a:t>
          </a:r>
          <a:r>
            <a:rPr lang="en-US" sz="1100" baseline="0"/>
            <a:t> model with less variables</a:t>
          </a:r>
        </a:p>
        <a:p>
          <a:r>
            <a:rPr lang="en-US" sz="1100" baseline="0"/>
            <a:t>q&lt;p </a:t>
          </a:r>
        </a:p>
        <a:p>
          <a:r>
            <a:rPr lang="en-US" sz="1100" baseline="0"/>
            <a:t>p is the number of independent variables in model with more variables. So numerator df is the number of predictors or independent variables you are trying to add.</a:t>
          </a:r>
          <a:endParaRPr lang="en-US" sz="1100"/>
        </a:p>
        <a:p>
          <a:endParaRPr lang="en-US" sz="1100"/>
        </a:p>
      </xdr:txBody>
    </xdr:sp>
    <xdr:clientData/>
  </xdr:twoCellAnchor>
  <xdr:twoCellAnchor>
    <xdr:from>
      <xdr:col>16</xdr:col>
      <xdr:colOff>0</xdr:colOff>
      <xdr:row>6</xdr:row>
      <xdr:rowOff>124239</xdr:rowOff>
    </xdr:from>
    <xdr:to>
      <xdr:col>22</xdr:col>
      <xdr:colOff>182218</xdr:colOff>
      <xdr:row>19</xdr:row>
      <xdr:rowOff>182217</xdr:rowOff>
    </xdr:to>
    <xdr:sp macro="" textlink="">
      <xdr:nvSpPr>
        <xdr:cNvPr id="3" name="TextBox 2">
          <a:extLst>
            <a:ext uri="{FF2B5EF4-FFF2-40B4-BE49-F238E27FC236}">
              <a16:creationId xmlns:a16="http://schemas.microsoft.com/office/drawing/2014/main" id="{108B3587-F7D6-EC6A-A37B-B30EF83EB754}"/>
            </a:ext>
          </a:extLst>
        </xdr:cNvPr>
        <xdr:cNvSpPr txBox="1"/>
      </xdr:nvSpPr>
      <xdr:spPr>
        <a:xfrm>
          <a:off x="11181522" y="1267239"/>
          <a:ext cx="4091609" cy="2534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Forward Selection</a:t>
          </a:r>
        </a:p>
        <a:p>
          <a:r>
            <a:rPr lang="en-US" b="1"/>
            <a:t>Start:</a:t>
          </a:r>
          <a:r>
            <a:rPr lang="en-US"/>
            <a:t> with </a:t>
          </a:r>
          <a:r>
            <a:rPr lang="en-US" b="1"/>
            <a:t>no predictors</a:t>
          </a:r>
          <a:r>
            <a:rPr lang="en-US"/>
            <a:t> in the model (just the intercept).</a:t>
          </a:r>
        </a:p>
        <a:p>
          <a:r>
            <a:rPr lang="en-US" b="1"/>
            <a:t>Process:</a:t>
          </a:r>
          <a:endParaRPr lang="en-US"/>
        </a:p>
        <a:p>
          <a:pPr lvl="1"/>
          <a:r>
            <a:rPr lang="en-US"/>
            <a:t>At each step, test all variables not yet in the model.</a:t>
          </a:r>
        </a:p>
        <a:p>
          <a:pPr lvl="1"/>
          <a:r>
            <a:rPr lang="en-US"/>
            <a:t>Add the one that improves the model the most (usually the largest increase in adjusted R</a:t>
          </a:r>
          <a:r>
            <a:rPr lang="en-US" baseline="0"/>
            <a:t>Squared,</a:t>
          </a:r>
          <a:r>
            <a:rPr lang="en-US"/>
            <a:t> or lowest p-value / or AIC / BIC in python</a:t>
          </a:r>
          <a:r>
            <a:rPr lang="en-US" baseline="0"/>
            <a:t> or Rstudio</a:t>
          </a:r>
          <a:r>
            <a:rPr lang="en-US"/>
            <a:t>).</a:t>
          </a:r>
        </a:p>
        <a:p>
          <a:pPr lvl="1"/>
          <a:r>
            <a:rPr lang="en-US"/>
            <a:t>Repeat until no remaining predictor significantly improves the model.</a:t>
          </a:r>
        </a:p>
        <a:p>
          <a:r>
            <a:rPr lang="en-US" b="1"/>
            <a:t>Key point:</a:t>
          </a:r>
          <a:r>
            <a:rPr lang="en-US"/>
            <a:t> Once a variable is added, it </a:t>
          </a:r>
          <a:r>
            <a:rPr lang="en-US" b="1"/>
            <a:t>stays in the model</a:t>
          </a:r>
          <a:r>
            <a:rPr lang="en-US"/>
            <a:t>.</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361950</xdr:colOff>
      <xdr:row>7</xdr:row>
      <xdr:rowOff>19050</xdr:rowOff>
    </xdr:from>
    <xdr:to>
      <xdr:col>13</xdr:col>
      <xdr:colOff>19050</xdr:colOff>
      <xdr:row>33</xdr:row>
      <xdr:rowOff>9525</xdr:rowOff>
    </xdr:to>
    <xdr:sp macro="" textlink="">
      <xdr:nvSpPr>
        <xdr:cNvPr id="2" name="TextBox 1">
          <a:extLst>
            <a:ext uri="{FF2B5EF4-FFF2-40B4-BE49-F238E27FC236}">
              <a16:creationId xmlns:a16="http://schemas.microsoft.com/office/drawing/2014/main" id="{C4119D07-F351-ACE4-06E8-590EED8E26ED}"/>
            </a:ext>
          </a:extLst>
        </xdr:cNvPr>
        <xdr:cNvSpPr txBox="1"/>
      </xdr:nvSpPr>
      <xdr:spPr>
        <a:xfrm>
          <a:off x="6019800" y="1352550"/>
          <a:ext cx="3143250" cy="495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Although the F test from</a:t>
          </a:r>
          <a:r>
            <a:rPr lang="en-US" sz="1100" baseline="0"/>
            <a:t> textbook says not to add the two variables/delete them, </a:t>
          </a:r>
          <a:endParaRPr lang="en-US" sz="1100"/>
        </a:p>
        <a:p>
          <a:r>
            <a:rPr lang="en-US" sz="1100"/>
            <a:t>Step 4's independent variables model has an Adjusted</a:t>
          </a:r>
          <a:r>
            <a:rPr lang="en-US" sz="1100" baseline="0"/>
            <a:t> Rsquared of </a:t>
          </a:r>
          <a:r>
            <a:rPr lang="en-US" sz="1100" b="0" i="0" u="none" strike="noStrike">
              <a:solidFill>
                <a:schemeClr val="dk1"/>
              </a:solidFill>
              <a:effectLst/>
              <a:latin typeface="+mn-lt"/>
              <a:ea typeface="+mn-ea"/>
              <a:cs typeface="+mn-cs"/>
            </a:rPr>
            <a:t>0.88054</a:t>
          </a:r>
          <a:r>
            <a:rPr lang="en-US"/>
            <a:t> ,</a:t>
          </a:r>
          <a:r>
            <a:rPr lang="en-US" baseline="0"/>
            <a:t> Sum Square error of </a:t>
          </a:r>
          <a:r>
            <a:rPr lang="en-US" sz="1100" b="0" i="0" u="none" strike="noStrike">
              <a:solidFill>
                <a:schemeClr val="dk1"/>
              </a:solidFill>
              <a:effectLst/>
              <a:latin typeface="+mn-lt"/>
              <a:ea typeface="+mn-ea"/>
              <a:cs typeface="+mn-cs"/>
            </a:rPr>
            <a:t>   4,119,349.14.</a:t>
          </a:r>
          <a:r>
            <a:rPr lang="en-US" sz="1100" b="0" i="0" u="none" strike="noStrike" baseline="0">
              <a:solidFill>
                <a:schemeClr val="dk1"/>
              </a:solidFill>
              <a:effectLst/>
              <a:latin typeface="+mn-lt"/>
              <a:ea typeface="+mn-ea"/>
              <a:cs typeface="+mn-cs"/>
            </a:rPr>
            <a:t> This model has a adjusted R square of 0.8937, and a Sum Square Error of </a:t>
          </a:r>
          <a:r>
            <a:rPr lang="en-US" sz="1100" b="0" i="0" u="none" strike="noStrike">
              <a:solidFill>
                <a:schemeClr val="dk1"/>
              </a:solidFill>
              <a:effectLst/>
              <a:latin typeface="+mn-lt"/>
              <a:ea typeface="+mn-ea"/>
              <a:cs typeface="+mn-cs"/>
            </a:rPr>
            <a:t> 3,297,222.87.</a:t>
          </a:r>
          <a:r>
            <a:rPr lang="en-US" sz="1100" b="0" i="0" u="none" strike="noStrike" baseline="0">
              <a:solidFill>
                <a:schemeClr val="dk1"/>
              </a:solidFill>
              <a:effectLst/>
              <a:latin typeface="+mn-lt"/>
              <a:ea typeface="+mn-ea"/>
              <a:cs typeface="+mn-cs"/>
            </a:rPr>
            <a:t> So the Rstudio model is better again, even though this ones  t test p values say that the independent variable Accounts, Time, and Change if not using alpha 0.10 (using alpha less than 0.09) are not statistically signficant. </a:t>
          </a:r>
          <a:endParaRPr lang="en-US"/>
        </a:p>
        <a:p>
          <a:endParaRPr lang="en-US" sz="1100"/>
        </a:p>
        <a:p>
          <a:r>
            <a:rPr lang="en-US" sz="1100"/>
            <a:t>If I were to remove them I would have</a:t>
          </a:r>
          <a:r>
            <a:rPr lang="en-US"/>
            <a:t> </a:t>
          </a:r>
        </a:p>
        <a:p>
          <a:endParaRPr lang="en-US" sz="1100" b="0"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With AdvExp</a:t>
          </a:r>
          <a:r>
            <a:rPr lang="en-US" b="1"/>
            <a:t> </a:t>
          </a:r>
          <a:r>
            <a:rPr lang="en-US" sz="1100" b="1" i="0" u="none" strike="noStrike">
              <a:solidFill>
                <a:schemeClr val="dk1"/>
              </a:solidFill>
              <a:effectLst/>
              <a:latin typeface="+mn-lt"/>
              <a:ea typeface="+mn-ea"/>
              <a:cs typeface="+mn-cs"/>
            </a:rPr>
            <a:t>Poten</a:t>
          </a:r>
          <a:r>
            <a:rPr lang="en-US" b="1"/>
            <a:t> </a:t>
          </a:r>
          <a:r>
            <a:rPr lang="en-US" sz="1100" b="1" i="0" u="none" strike="noStrike">
              <a:solidFill>
                <a:schemeClr val="dk1"/>
              </a:solidFill>
              <a:effectLst/>
              <a:latin typeface="+mn-lt"/>
              <a:ea typeface="+mn-ea"/>
              <a:cs typeface="+mn-cs"/>
            </a:rPr>
            <a:t>Share</a:t>
          </a:r>
          <a:r>
            <a:rPr lang="en-US" b="1"/>
            <a:t> </a:t>
          </a:r>
          <a:r>
            <a:rPr lang="en-US" sz="1100" b="1" i="0" u="none" strike="noStrike">
              <a:solidFill>
                <a:schemeClr val="dk1"/>
              </a:solidFill>
              <a:effectLst/>
              <a:latin typeface="+mn-lt"/>
              <a:ea typeface="+mn-ea"/>
              <a:cs typeface="+mn-cs"/>
            </a:rPr>
            <a:t>Change:</a:t>
          </a:r>
          <a:r>
            <a:rPr lang="en-US" sz="1100" b="1" i="0" u="none" strike="noStrike" baseline="0">
              <a:solidFill>
                <a:schemeClr val="dk1"/>
              </a:solidFill>
              <a:effectLst/>
              <a:latin typeface="+mn-lt"/>
              <a:ea typeface="+mn-ea"/>
              <a:cs typeface="+mn-cs"/>
            </a:rPr>
            <a:t> </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adjusted rsquare: </a:t>
          </a:r>
          <a:r>
            <a:rPr lang="en-US" sz="1100" b="0" i="0" u="none" strike="noStrike">
              <a:solidFill>
                <a:schemeClr val="dk1"/>
              </a:solidFill>
              <a:effectLst/>
              <a:latin typeface="+mn-lt"/>
              <a:ea typeface="+mn-ea"/>
              <a:cs typeface="+mn-cs"/>
            </a:rPr>
            <a:t>0.847857</a:t>
          </a:r>
          <a:r>
            <a:rPr lang="en-US"/>
            <a:t> </a:t>
          </a:r>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Sum Square Ereror: </a:t>
          </a:r>
          <a:r>
            <a:rPr lang="en-US" sz="1100" b="0" i="0" u="none" strike="noStrike">
              <a:solidFill>
                <a:schemeClr val="dk1"/>
              </a:solidFill>
              <a:effectLst/>
              <a:latin typeface="+mn-lt"/>
              <a:ea typeface="+mn-ea"/>
              <a:cs typeface="+mn-cs"/>
            </a:rPr>
            <a:t>5,246,355</a:t>
          </a:r>
          <a:r>
            <a:rPr lang="en-US"/>
            <a:t> </a:t>
          </a:r>
        </a:p>
        <a:p>
          <a:r>
            <a:rPr lang="en-US" sz="1100" b="0" i="0" u="none" strike="noStrike">
              <a:solidFill>
                <a:schemeClr val="dk1"/>
              </a:solidFill>
              <a:effectLst/>
              <a:latin typeface="+mn-lt"/>
              <a:ea typeface="+mn-ea"/>
              <a:cs typeface="+mn-cs"/>
            </a:rPr>
            <a:t>Change t test p value is now 0.06</a:t>
          </a:r>
          <a:endParaRPr lang="en-US"/>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1"/>
            <a:t>or</a:t>
          </a:r>
          <a:r>
            <a:rPr lang="en-US" sz="1100" b="1" baseline="0"/>
            <a:t>  With </a:t>
          </a:r>
          <a:r>
            <a:rPr lang="en-US" sz="1100" b="1" i="0">
              <a:solidFill>
                <a:schemeClr val="dk1"/>
              </a:solidFill>
              <a:effectLst/>
              <a:latin typeface="+mn-lt"/>
              <a:ea typeface="+mn-ea"/>
              <a:cs typeface="+mn-cs"/>
            </a:rPr>
            <a:t>AdvExp</a:t>
          </a:r>
          <a:r>
            <a:rPr lang="en-US" sz="1100" b="1">
              <a:solidFill>
                <a:schemeClr val="dk1"/>
              </a:solidFill>
              <a:effectLst/>
              <a:latin typeface="+mn-lt"/>
              <a:ea typeface="+mn-ea"/>
              <a:cs typeface="+mn-cs"/>
            </a:rPr>
            <a:t> </a:t>
          </a:r>
          <a:r>
            <a:rPr lang="en-US" sz="1100" b="1" i="0">
              <a:solidFill>
                <a:schemeClr val="dk1"/>
              </a:solidFill>
              <a:effectLst/>
              <a:latin typeface="+mn-lt"/>
              <a:ea typeface="+mn-ea"/>
              <a:cs typeface="+mn-cs"/>
            </a:rPr>
            <a:t>Poten</a:t>
          </a:r>
          <a:r>
            <a:rPr lang="en-US" sz="1100" b="1">
              <a:solidFill>
                <a:schemeClr val="dk1"/>
              </a:solidFill>
              <a:effectLst/>
              <a:latin typeface="+mn-lt"/>
              <a:ea typeface="+mn-ea"/>
              <a:cs typeface="+mn-cs"/>
            </a:rPr>
            <a:t> </a:t>
          </a:r>
          <a:r>
            <a:rPr lang="en-US" sz="1100" b="1" i="0">
              <a:solidFill>
                <a:schemeClr val="dk1"/>
              </a:solidFill>
              <a:effectLst/>
              <a:latin typeface="+mn-lt"/>
              <a:ea typeface="+mn-ea"/>
              <a:cs typeface="+mn-cs"/>
            </a:rPr>
            <a:t>Share</a:t>
          </a:r>
          <a:r>
            <a:rPr lang="en-US" sz="1100" b="1">
              <a:solidFill>
                <a:schemeClr val="dk1"/>
              </a:solidFill>
              <a:effectLst/>
              <a:latin typeface="+mn-lt"/>
              <a:ea typeface="+mn-ea"/>
              <a:cs typeface="+mn-cs"/>
            </a:rPr>
            <a:t> :</a:t>
          </a:r>
        </a:p>
        <a:p>
          <a:r>
            <a:rPr lang="en-US" sz="1100" b="0" i="0" baseline="0">
              <a:solidFill>
                <a:schemeClr val="dk1"/>
              </a:solidFill>
              <a:effectLst/>
              <a:latin typeface="+mn-lt"/>
              <a:ea typeface="+mn-ea"/>
              <a:cs typeface="+mn-cs"/>
            </a:rPr>
            <a:t>adjusted rsquare:  </a:t>
          </a:r>
          <a:r>
            <a:rPr lang="en-US" sz="1100" b="0" i="0" u="none" strike="noStrike">
              <a:solidFill>
                <a:schemeClr val="dk1"/>
              </a:solidFill>
              <a:effectLst/>
              <a:latin typeface="+mn-lt"/>
              <a:ea typeface="+mn-ea"/>
              <a:cs typeface="+mn-cs"/>
            </a:rPr>
            <a:t>0.827400711</a:t>
          </a:r>
          <a:r>
            <a:rPr lang="en-US"/>
            <a:t> </a:t>
          </a:r>
          <a:endParaRPr lang="en-US">
            <a:effectLst/>
          </a:endParaRPr>
        </a:p>
        <a:p>
          <a:r>
            <a:rPr lang="en-US" sz="1100" b="0" i="0" baseline="0">
              <a:solidFill>
                <a:schemeClr val="dk1"/>
              </a:solidFill>
              <a:effectLst/>
              <a:latin typeface="+mn-lt"/>
              <a:ea typeface="+mn-ea"/>
              <a:cs typeface="+mn-cs"/>
            </a:rPr>
            <a:t>Sum Square Error:  </a:t>
          </a:r>
          <a:r>
            <a:rPr lang="en-US" sz="1100" b="0" i="0" u="none" strike="noStrike">
              <a:solidFill>
                <a:schemeClr val="dk1"/>
              </a:solidFill>
              <a:effectLst/>
              <a:latin typeface="+mn-lt"/>
              <a:ea typeface="+mn-ea"/>
              <a:cs typeface="+mn-cs"/>
            </a:rPr>
            <a:t>6,249,321</a:t>
          </a:r>
          <a:r>
            <a:rPr lang="en-US"/>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which are both worse performing.</a:t>
          </a:r>
          <a:r>
            <a:rPr lang="en-US" sz="1100" baseline="0">
              <a:solidFill>
                <a:schemeClr val="dk1"/>
              </a:solidFill>
              <a:effectLst/>
              <a:latin typeface="+mn-lt"/>
              <a:ea typeface="+mn-ea"/>
              <a:cs typeface="+mn-cs"/>
            </a:rPr>
            <a:t> So the model on this page is the best even though it has some p values that are supposedly not significant. Also it only has one Standardized residual outside of from -2 to +2, when we expect 95 percent of the data to be in between the range. So that is ok.</a:t>
          </a: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10</xdr:col>
      <xdr:colOff>352425</xdr:colOff>
      <xdr:row>39</xdr:row>
      <xdr:rowOff>57150</xdr:rowOff>
    </xdr:from>
    <xdr:to>
      <xdr:col>16</xdr:col>
      <xdr:colOff>352425</xdr:colOff>
      <xdr:row>49</xdr:row>
      <xdr:rowOff>66675</xdr:rowOff>
    </xdr:to>
    <xdr:graphicFrame macro="">
      <xdr:nvGraphicFramePr>
        <xdr:cNvPr id="3" name="Chart 2">
          <a:extLst>
            <a:ext uri="{FF2B5EF4-FFF2-40B4-BE49-F238E27FC236}">
              <a16:creationId xmlns:a16="http://schemas.microsoft.com/office/drawing/2014/main" id="{387BD7EF-FF8B-DEAE-725D-E95227FC3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5</xdr:row>
      <xdr:rowOff>133350</xdr:rowOff>
    </xdr:from>
    <xdr:to>
      <xdr:col>21</xdr:col>
      <xdr:colOff>19050</xdr:colOff>
      <xdr:row>15</xdr:row>
      <xdr:rowOff>152400</xdr:rowOff>
    </xdr:to>
    <xdr:graphicFrame macro="">
      <xdr:nvGraphicFramePr>
        <xdr:cNvPr id="4" name="Chart 3">
          <a:extLst>
            <a:ext uri="{FF2B5EF4-FFF2-40B4-BE49-F238E27FC236}">
              <a16:creationId xmlns:a16="http://schemas.microsoft.com/office/drawing/2014/main" id="{FC093870-705B-6CD9-14EC-D0E5C8519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285750</xdr:colOff>
      <xdr:row>6</xdr:row>
      <xdr:rowOff>38100</xdr:rowOff>
    </xdr:from>
    <xdr:to>
      <xdr:col>28</xdr:col>
      <xdr:colOff>114300</xdr:colOff>
      <xdr:row>16</xdr:row>
      <xdr:rowOff>66675</xdr:rowOff>
    </xdr:to>
    <xdr:graphicFrame macro="">
      <xdr:nvGraphicFramePr>
        <xdr:cNvPr id="5" name="Chart 4">
          <a:extLst>
            <a:ext uri="{FF2B5EF4-FFF2-40B4-BE49-F238E27FC236}">
              <a16:creationId xmlns:a16="http://schemas.microsoft.com/office/drawing/2014/main" id="{0E4C6E61-A8CF-9627-3956-0BE7CFDBC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247650</xdr:colOff>
      <xdr:row>17</xdr:row>
      <xdr:rowOff>47625</xdr:rowOff>
    </xdr:from>
    <xdr:to>
      <xdr:col>27</xdr:col>
      <xdr:colOff>409575</xdr:colOff>
      <xdr:row>27</xdr:row>
      <xdr:rowOff>85725</xdr:rowOff>
    </xdr:to>
    <xdr:graphicFrame macro="">
      <xdr:nvGraphicFramePr>
        <xdr:cNvPr id="6" name="Chart 5">
          <a:extLst>
            <a:ext uri="{FF2B5EF4-FFF2-40B4-BE49-F238E27FC236}">
              <a16:creationId xmlns:a16="http://schemas.microsoft.com/office/drawing/2014/main" id="{1399D431-B9BA-A7DB-52D4-7F1A9FA7D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219075</xdr:colOff>
      <xdr:row>16</xdr:row>
      <xdr:rowOff>9525</xdr:rowOff>
    </xdr:from>
    <xdr:to>
      <xdr:col>20</xdr:col>
      <xdr:colOff>219075</xdr:colOff>
      <xdr:row>26</xdr:row>
      <xdr:rowOff>38100</xdr:rowOff>
    </xdr:to>
    <xdr:graphicFrame macro="">
      <xdr:nvGraphicFramePr>
        <xdr:cNvPr id="7" name="Chart 6">
          <a:extLst>
            <a:ext uri="{FF2B5EF4-FFF2-40B4-BE49-F238E27FC236}">
              <a16:creationId xmlns:a16="http://schemas.microsoft.com/office/drawing/2014/main" id="{4ABD852C-13E0-DF81-4F1B-9D853E490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76200</xdr:colOff>
      <xdr:row>28</xdr:row>
      <xdr:rowOff>171450</xdr:rowOff>
    </xdr:from>
    <xdr:to>
      <xdr:col>21</xdr:col>
      <xdr:colOff>76200</xdr:colOff>
      <xdr:row>38</xdr:row>
      <xdr:rowOff>161925</xdr:rowOff>
    </xdr:to>
    <xdr:graphicFrame macro="">
      <xdr:nvGraphicFramePr>
        <xdr:cNvPr id="8" name="Chart 7">
          <a:extLst>
            <a:ext uri="{FF2B5EF4-FFF2-40B4-BE49-F238E27FC236}">
              <a16:creationId xmlns:a16="http://schemas.microsoft.com/office/drawing/2014/main" id="{DDB2BC23-36E3-8D83-72C0-0A2081D1A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390525</xdr:colOff>
      <xdr:row>32</xdr:row>
      <xdr:rowOff>114300</xdr:rowOff>
    </xdr:from>
    <xdr:to>
      <xdr:col>34</xdr:col>
      <xdr:colOff>390525</xdr:colOff>
      <xdr:row>42</xdr:row>
      <xdr:rowOff>95250</xdr:rowOff>
    </xdr:to>
    <xdr:graphicFrame macro="">
      <xdr:nvGraphicFramePr>
        <xdr:cNvPr id="9" name="Chart 8">
          <a:extLst>
            <a:ext uri="{FF2B5EF4-FFF2-40B4-BE49-F238E27FC236}">
              <a16:creationId xmlns:a16="http://schemas.microsoft.com/office/drawing/2014/main" id="{24F6EF48-6F9B-573F-10E4-9C675157A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38099</xdr:colOff>
      <xdr:row>16</xdr:row>
      <xdr:rowOff>95250</xdr:rowOff>
    </xdr:from>
    <xdr:to>
      <xdr:col>41</xdr:col>
      <xdr:colOff>200024</xdr:colOff>
      <xdr:row>31</xdr:row>
      <xdr:rowOff>76200</xdr:rowOff>
    </xdr:to>
    <xdr:graphicFrame macro="">
      <xdr:nvGraphicFramePr>
        <xdr:cNvPr id="10" name="Chart 9">
          <a:extLst>
            <a:ext uri="{FF2B5EF4-FFF2-40B4-BE49-F238E27FC236}">
              <a16:creationId xmlns:a16="http://schemas.microsoft.com/office/drawing/2014/main" id="{87480BC8-C77B-6227-9249-40E1AD567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590550</xdr:colOff>
      <xdr:row>32</xdr:row>
      <xdr:rowOff>180975</xdr:rowOff>
    </xdr:from>
    <xdr:to>
      <xdr:col>40</xdr:col>
      <xdr:colOff>590550</xdr:colOff>
      <xdr:row>42</xdr:row>
      <xdr:rowOff>152400</xdr:rowOff>
    </xdr:to>
    <xdr:graphicFrame macro="">
      <xdr:nvGraphicFramePr>
        <xdr:cNvPr id="11" name="Chart 10">
          <a:extLst>
            <a:ext uri="{FF2B5EF4-FFF2-40B4-BE49-F238E27FC236}">
              <a16:creationId xmlns:a16="http://schemas.microsoft.com/office/drawing/2014/main" id="{B9709E4F-3C7C-9FB8-39CF-F3D30BAEF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257175</xdr:colOff>
      <xdr:row>29</xdr:row>
      <xdr:rowOff>47625</xdr:rowOff>
    </xdr:from>
    <xdr:to>
      <xdr:col>28</xdr:col>
      <xdr:colOff>257175</xdr:colOff>
      <xdr:row>39</xdr:row>
      <xdr:rowOff>47625</xdr:rowOff>
    </xdr:to>
    <xdr:graphicFrame macro="">
      <xdr:nvGraphicFramePr>
        <xdr:cNvPr id="12" name="Chart 11">
          <a:extLst>
            <a:ext uri="{FF2B5EF4-FFF2-40B4-BE49-F238E27FC236}">
              <a16:creationId xmlns:a16="http://schemas.microsoft.com/office/drawing/2014/main" id="{5619ABBE-4FBE-C7BB-AF32-D46AAF85F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152400</xdr:colOff>
      <xdr:row>43</xdr:row>
      <xdr:rowOff>95250</xdr:rowOff>
    </xdr:from>
    <xdr:to>
      <xdr:col>37</xdr:col>
      <xdr:colOff>152400</xdr:colOff>
      <xdr:row>53</xdr:row>
      <xdr:rowOff>104775</xdr:rowOff>
    </xdr:to>
    <xdr:graphicFrame macro="">
      <xdr:nvGraphicFramePr>
        <xdr:cNvPr id="13" name="Chart 12">
          <a:extLst>
            <a:ext uri="{FF2B5EF4-FFF2-40B4-BE49-F238E27FC236}">
              <a16:creationId xmlns:a16="http://schemas.microsoft.com/office/drawing/2014/main" id="{0D723886-4C41-EB0E-1C8E-BDF8323EA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419100</xdr:colOff>
      <xdr:row>43</xdr:row>
      <xdr:rowOff>9525</xdr:rowOff>
    </xdr:from>
    <xdr:to>
      <xdr:col>30</xdr:col>
      <xdr:colOff>419100</xdr:colOff>
      <xdr:row>53</xdr:row>
      <xdr:rowOff>19050</xdr:rowOff>
    </xdr:to>
    <xdr:graphicFrame macro="">
      <xdr:nvGraphicFramePr>
        <xdr:cNvPr id="14" name="Chart 13">
          <a:extLst>
            <a:ext uri="{FF2B5EF4-FFF2-40B4-BE49-F238E27FC236}">
              <a16:creationId xmlns:a16="http://schemas.microsoft.com/office/drawing/2014/main" id="{A187EDA4-5CE3-4592-4CEE-22C2CB7D0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590550</xdr:colOff>
      <xdr:row>42</xdr:row>
      <xdr:rowOff>152400</xdr:rowOff>
    </xdr:from>
    <xdr:to>
      <xdr:col>23</xdr:col>
      <xdr:colOff>590550</xdr:colOff>
      <xdr:row>52</xdr:row>
      <xdr:rowOff>152400</xdr:rowOff>
    </xdr:to>
    <xdr:graphicFrame macro="">
      <xdr:nvGraphicFramePr>
        <xdr:cNvPr id="15" name="Chart 14">
          <a:extLst>
            <a:ext uri="{FF2B5EF4-FFF2-40B4-BE49-F238E27FC236}">
              <a16:creationId xmlns:a16="http://schemas.microsoft.com/office/drawing/2014/main" id="{13BEBA36-D68A-EA7C-DE3D-CF1A22D24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414618</xdr:colOff>
      <xdr:row>62</xdr:row>
      <xdr:rowOff>101973</xdr:rowOff>
    </xdr:from>
    <xdr:to>
      <xdr:col>14</xdr:col>
      <xdr:colOff>481853</xdr:colOff>
      <xdr:row>76</xdr:row>
      <xdr:rowOff>178173</xdr:rowOff>
    </xdr:to>
    <xdr:graphicFrame macro="">
      <xdr:nvGraphicFramePr>
        <xdr:cNvPr id="16" name="Chart 15">
          <a:extLst>
            <a:ext uri="{FF2B5EF4-FFF2-40B4-BE49-F238E27FC236}">
              <a16:creationId xmlns:a16="http://schemas.microsoft.com/office/drawing/2014/main" id="{37670E05-6DAE-2E75-7069-C0AA80E98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571500</xdr:colOff>
      <xdr:row>83</xdr:row>
      <xdr:rowOff>79561</xdr:rowOff>
    </xdr:from>
    <xdr:to>
      <xdr:col>20</xdr:col>
      <xdr:colOff>134470</xdr:colOff>
      <xdr:row>97</xdr:row>
      <xdr:rowOff>155761</xdr:rowOff>
    </xdr:to>
    <xdr:graphicFrame macro="">
      <xdr:nvGraphicFramePr>
        <xdr:cNvPr id="17" name="Chart 16">
          <a:extLst>
            <a:ext uri="{FF2B5EF4-FFF2-40B4-BE49-F238E27FC236}">
              <a16:creationId xmlns:a16="http://schemas.microsoft.com/office/drawing/2014/main" id="{59F043CF-F781-9034-C981-58C7F86E7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9</xdr:col>
      <xdr:colOff>98444</xdr:colOff>
      <xdr:row>6</xdr:row>
      <xdr:rowOff>119408</xdr:rowOff>
    </xdr:from>
    <xdr:to>
      <xdr:col>14</xdr:col>
      <xdr:colOff>533665</xdr:colOff>
      <xdr:row>23</xdr:row>
      <xdr:rowOff>61451</xdr:rowOff>
    </xdr:to>
    <xdr:sp macro="" textlink="">
      <xdr:nvSpPr>
        <xdr:cNvPr id="2" name="TextBox 1">
          <a:extLst>
            <a:ext uri="{FF2B5EF4-FFF2-40B4-BE49-F238E27FC236}">
              <a16:creationId xmlns:a16="http://schemas.microsoft.com/office/drawing/2014/main" id="{662B9C29-51D8-48AE-B3BF-97734A13149A}"/>
            </a:ext>
          </a:extLst>
        </xdr:cNvPr>
        <xdr:cNvSpPr txBox="1"/>
      </xdr:nvSpPr>
      <xdr:spPr>
        <a:xfrm>
          <a:off x="6182154" y="1286989"/>
          <a:ext cx="4050624" cy="3250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baseline="0">
              <a:solidFill>
                <a:schemeClr val="dk1"/>
              </a:solidFill>
              <a:effectLst/>
              <a:latin typeface="+mn-lt"/>
              <a:ea typeface="+mn-ea"/>
              <a:cs typeface="+mn-cs"/>
            </a:rPr>
            <a:t>Removing Rating independent variable</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Ho: Bq+1=Bq+2.... =Bp=0    </a:t>
          </a:r>
          <a:r>
            <a:rPr lang="en-US" sz="1100" b="0" i="0" baseline="0">
              <a:solidFill>
                <a:schemeClr val="accent6"/>
              </a:solidFill>
              <a:effectLst/>
              <a:latin typeface="+mn-lt"/>
              <a:ea typeface="+mn-ea"/>
              <a:cs typeface="+mn-cs"/>
            </a:rPr>
            <a:t>(since this is just one extra variable in the xall it is just Bq+1)</a:t>
          </a:r>
        </a:p>
        <a:p>
          <a:r>
            <a:rPr lang="en-US" sz="1100" b="0" i="0" baseline="0">
              <a:solidFill>
                <a:schemeClr val="dk1"/>
              </a:solidFill>
              <a:effectLst/>
              <a:latin typeface="+mn-lt"/>
              <a:ea typeface="+mn-ea"/>
              <a:cs typeface="+mn-cs"/>
            </a:rPr>
            <a:t>Ha: one or more of the parameters is not equal to zero.</a:t>
          </a: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r>
            <a:rPr lang="en-US" sz="1100" b="0" i="0">
              <a:solidFill>
                <a:schemeClr val="dk1"/>
              </a:solidFill>
              <a:effectLst/>
              <a:latin typeface="+mn-lt"/>
              <a:ea typeface="+mn-ea"/>
              <a:cs typeface="+mn-cs"/>
            </a:rPr>
            <a:t>If the p-value is less than or equal to </a:t>
          </a:r>
          <a:r>
            <a:rPr lang="el-GR" sz="1100" b="0" i="0">
              <a:solidFill>
                <a:schemeClr val="dk1"/>
              </a:solidFill>
              <a:effectLst/>
              <a:latin typeface="+mn-lt"/>
              <a:ea typeface="+mn-ea"/>
              <a:cs typeface="+mn-cs"/>
            </a:rPr>
            <a:t>α, </a:t>
          </a:r>
          <a:r>
            <a:rPr lang="en-US" sz="1100" b="0" i="0">
              <a:solidFill>
                <a:schemeClr val="dk1"/>
              </a:solidFill>
              <a:effectLst/>
              <a:latin typeface="+mn-lt"/>
              <a:ea typeface="+mn-ea"/>
              <a:cs typeface="+mn-cs"/>
            </a:rPr>
            <a:t>you reject the null hypothesis (Ho) and conclude that adding the variables to xq</a:t>
          </a:r>
          <a:r>
            <a:rPr lang="en-US" sz="1100" b="0" i="0" baseline="0">
              <a:solidFill>
                <a:schemeClr val="dk1"/>
              </a:solidFill>
              <a:effectLst/>
              <a:latin typeface="+mn-lt"/>
              <a:ea typeface="+mn-ea"/>
              <a:cs typeface="+mn-cs"/>
            </a:rPr>
            <a:t> (xall)</a:t>
          </a:r>
          <a:r>
            <a:rPr lang="en-US" sz="1100" b="0" i="0">
              <a:solidFill>
                <a:schemeClr val="dk1"/>
              </a:solidFill>
              <a:effectLst/>
              <a:latin typeface="+mn-lt"/>
              <a:ea typeface="+mn-ea"/>
              <a:cs typeface="+mn-cs"/>
            </a:rPr>
            <a:t> has a significant effect on the model. Otherwise, you fail to reject Ho.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So Ratings</a:t>
          </a:r>
          <a:r>
            <a:rPr lang="en-US" sz="1100" b="0" i="0" baseline="0">
              <a:solidFill>
                <a:schemeClr val="dk1"/>
              </a:solidFill>
              <a:effectLst/>
              <a:latin typeface="+mn-lt"/>
              <a:ea typeface="+mn-ea"/>
              <a:cs typeface="+mn-cs"/>
            </a:rPr>
            <a:t>/ independent variable(s) should not be added to the model xq since p value is greater than 0.05/   Bq+1 is equal to zero/  is not signficiant/ it should be removed from the model xall.</a:t>
          </a:r>
          <a:endParaRPr lang="en-US">
            <a:effectLst/>
          </a:endParaRPr>
        </a:p>
        <a:p>
          <a:endParaRPr lang="en-US" sz="1100" b="0" i="0">
            <a:solidFill>
              <a:schemeClr val="dk1"/>
            </a:solidFill>
            <a:effectLst/>
            <a:latin typeface="+mn-lt"/>
            <a:ea typeface="+mn-ea"/>
            <a:cs typeface="+mn-cs"/>
          </a:endParaRPr>
        </a:p>
      </xdr:txBody>
    </xdr:sp>
    <xdr:clientData/>
  </xdr:twoCellAnchor>
  <xdr:twoCellAnchor>
    <xdr:from>
      <xdr:col>15</xdr:col>
      <xdr:colOff>184354</xdr:colOff>
      <xdr:row>7</xdr:row>
      <xdr:rowOff>184355</xdr:rowOff>
    </xdr:from>
    <xdr:to>
      <xdr:col>23</xdr:col>
      <xdr:colOff>10241</xdr:colOff>
      <xdr:row>17</xdr:row>
      <xdr:rowOff>133145</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D48794-6D93-479D-A907-CFB02695FD05}"/>
                </a:ext>
              </a:extLst>
            </xdr:cNvPr>
            <xdr:cNvSpPr txBox="1"/>
          </xdr:nvSpPr>
          <xdr:spPr>
            <a:xfrm>
              <a:off x="10497983" y="1546532"/>
              <a:ext cx="4742016" cy="1894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0">
                  <a:solidFill>
                    <a:schemeClr val="dk1"/>
                  </a:solidFill>
                  <a:effectLst/>
                  <a:latin typeface="+mn-lt"/>
                  <a:ea typeface="+mn-ea"/>
                  <a:cs typeface="+mn-cs"/>
                </a:rPr>
                <a:t>F= </a:t>
              </a:r>
              <a14:m>
                <m:oMath xmlns:m="http://schemas.openxmlformats.org/officeDocument/2006/math">
                  <m:f>
                    <m:fPr>
                      <m:ctrlPr>
                        <a:rPr lang="en-US" sz="3200" b="0" i="1">
                          <a:solidFill>
                            <a:schemeClr val="dk1"/>
                          </a:solidFill>
                          <a:effectLst/>
                          <a:latin typeface="Cambria Math" panose="02040503050406030204" pitchFamily="18" charset="0"/>
                          <a:ea typeface="+mn-ea"/>
                          <a:cs typeface="+mn-cs"/>
                        </a:rPr>
                      </m:ctrlPr>
                    </m:fPr>
                    <m:num>
                      <m:f>
                        <m:fPr>
                          <m:ctrlPr>
                            <a:rPr lang="en-US" sz="3200" b="0" i="1">
                              <a:solidFill>
                                <a:schemeClr val="dk1"/>
                              </a:solidFill>
                              <a:effectLst/>
                              <a:latin typeface="Cambria Math" panose="02040503050406030204" pitchFamily="18" charset="0"/>
                              <a:ea typeface="+mn-ea"/>
                              <a:cs typeface="+mn-cs"/>
                            </a:rPr>
                          </m:ctrlPr>
                        </m:fPr>
                        <m:num>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𝑥𝑞</m:t>
                              </m:r>
                            </m:e>
                          </m:d>
                          <m:r>
                            <a:rPr lang="en-US" sz="3200" b="0" i="1">
                              <a:solidFill>
                                <a:schemeClr val="dk1"/>
                              </a:solidFill>
                              <a:effectLst/>
                              <a:latin typeface="Cambria Math" panose="02040503050406030204" pitchFamily="18" charset="0"/>
                              <a:ea typeface="+mn-ea"/>
                              <a:cs typeface="+mn-cs"/>
                            </a:rPr>
                            <m:t>−</m:t>
                          </m:r>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𝑥𝑞</m:t>
                              </m:r>
                              <m:r>
                                <a:rPr lang="en-US" sz="3200" b="0" i="1">
                                  <a:solidFill>
                                    <a:schemeClr val="dk1"/>
                                  </a:solidFill>
                                  <a:effectLst/>
                                  <a:latin typeface="Cambria Math" panose="02040503050406030204" pitchFamily="18" charset="0"/>
                                  <a:ea typeface="+mn-ea"/>
                                  <a:cs typeface="+mn-cs"/>
                                </a:rPr>
                                <m:t>+1,….</m:t>
                              </m:r>
                              <m:r>
                                <a:rPr lang="en-US" sz="3200" b="0" i="1">
                                  <a:solidFill>
                                    <a:schemeClr val="dk1"/>
                                  </a:solidFill>
                                  <a:effectLst/>
                                  <a:latin typeface="Cambria Math" panose="02040503050406030204" pitchFamily="18" charset="0"/>
                                  <a:ea typeface="+mn-ea"/>
                                  <a:cs typeface="+mn-cs"/>
                                </a:rPr>
                                <m:t>𝑥𝑝</m:t>
                              </m:r>
                            </m:e>
                          </m:d>
                        </m:num>
                        <m:den>
                          <m:r>
                            <a:rPr lang="en-US" sz="3200" b="0" i="1">
                              <a:solidFill>
                                <a:schemeClr val="dk1"/>
                              </a:solidFill>
                              <a:effectLst/>
                              <a:latin typeface="Cambria Math" panose="02040503050406030204" pitchFamily="18" charset="0"/>
                              <a:ea typeface="+mn-ea"/>
                              <a:cs typeface="+mn-cs"/>
                            </a:rPr>
                            <m:t>1</m:t>
                          </m:r>
                        </m:den>
                      </m:f>
                    </m:num>
                    <m:den>
                      <m:f>
                        <m:fPr>
                          <m:ctrlPr>
                            <a:rPr lang="en-US" sz="3200" b="0" i="1">
                              <a:solidFill>
                                <a:schemeClr val="dk1"/>
                              </a:solidFill>
                              <a:effectLst/>
                              <a:latin typeface="Cambria Math" panose="02040503050406030204" pitchFamily="18" charset="0"/>
                              <a:ea typeface="+mn-ea"/>
                              <a:cs typeface="+mn-cs"/>
                            </a:rPr>
                          </m:ctrlPr>
                        </m:fPr>
                        <m:num>
                          <m:r>
                            <a:rPr lang="en-US" sz="3200" b="0" i="1">
                              <a:solidFill>
                                <a:schemeClr val="dk1"/>
                              </a:solidFill>
                              <a:effectLst/>
                              <a:latin typeface="Cambria Math" panose="02040503050406030204" pitchFamily="18" charset="0"/>
                              <a:ea typeface="+mn-ea"/>
                              <a:cs typeface="+mn-cs"/>
                            </a:rPr>
                            <m:t>𝑆𝑆𝐸</m:t>
                          </m:r>
                          <m:d>
                            <m:dPr>
                              <m:ctrlPr>
                                <a:rPr lang="en-US" sz="3200" b="0" i="1">
                                  <a:solidFill>
                                    <a:schemeClr val="dk1"/>
                                  </a:solidFill>
                                  <a:effectLst/>
                                  <a:latin typeface="Cambria Math" panose="02040503050406030204" pitchFamily="18" charset="0"/>
                                  <a:ea typeface="+mn-ea"/>
                                  <a:cs typeface="+mn-cs"/>
                                </a:rPr>
                              </m:ctrlPr>
                            </m:dPr>
                            <m:e>
                              <m:r>
                                <a:rPr lang="en-US" sz="3200" b="0" i="1">
                                  <a:solidFill>
                                    <a:schemeClr val="dk1"/>
                                  </a:solidFill>
                                  <a:effectLst/>
                                  <a:latin typeface="Cambria Math" panose="02040503050406030204" pitchFamily="18" charset="0"/>
                                  <a:ea typeface="+mn-ea"/>
                                  <a:cs typeface="+mn-cs"/>
                                </a:rPr>
                                <m:t>𝑥𝑝</m:t>
                              </m:r>
                            </m:e>
                          </m:d>
                        </m:num>
                        <m:den>
                          <m:r>
                            <a:rPr lang="en-US" sz="3200" b="0" i="1">
                              <a:solidFill>
                                <a:schemeClr val="dk1"/>
                              </a:solidFill>
                              <a:effectLst/>
                              <a:latin typeface="Cambria Math" panose="02040503050406030204" pitchFamily="18" charset="0"/>
                              <a:ea typeface="+mn-ea"/>
                              <a:cs typeface="+mn-cs"/>
                            </a:rPr>
                            <m:t>𝑛</m:t>
                          </m:r>
                          <m:r>
                            <a:rPr lang="en-US" sz="3200" b="0" i="1">
                              <a:solidFill>
                                <a:schemeClr val="dk1"/>
                              </a:solidFill>
                              <a:effectLst/>
                              <a:latin typeface="Cambria Math" panose="02040503050406030204" pitchFamily="18" charset="0"/>
                              <a:ea typeface="+mn-ea"/>
                              <a:cs typeface="+mn-cs"/>
                            </a:rPr>
                            <m:t>−</m:t>
                          </m:r>
                          <m:r>
                            <a:rPr lang="en-US" sz="3200" b="0" i="1">
                              <a:solidFill>
                                <a:schemeClr val="dk1"/>
                              </a:solidFill>
                              <a:effectLst/>
                              <a:latin typeface="Cambria Math" panose="02040503050406030204" pitchFamily="18" charset="0"/>
                              <a:ea typeface="+mn-ea"/>
                              <a:cs typeface="+mn-cs"/>
                            </a:rPr>
                            <m:t>𝑝</m:t>
                          </m:r>
                          <m:r>
                            <a:rPr lang="en-US" sz="3200" b="0" i="1">
                              <a:solidFill>
                                <a:schemeClr val="dk1"/>
                              </a:solidFill>
                              <a:effectLst/>
                              <a:latin typeface="Cambria Math" panose="02040503050406030204" pitchFamily="18" charset="0"/>
                              <a:ea typeface="+mn-ea"/>
                              <a:cs typeface="+mn-cs"/>
                            </a:rPr>
                            <m:t>−1</m:t>
                          </m:r>
                        </m:den>
                      </m:f>
                    </m:den>
                  </m:f>
                </m:oMath>
              </a14:m>
              <a:endParaRPr lang="en-US" sz="3200">
                <a:effectLst/>
              </a:endParaRPr>
            </a:p>
            <a:p>
              <a:endParaRPr lang="en-US" sz="1100"/>
            </a:p>
          </xdr:txBody>
        </xdr:sp>
      </mc:Choice>
      <mc:Fallback xmlns="">
        <xdr:sp macro="" textlink="">
          <xdr:nvSpPr>
            <xdr:cNvPr id="3" name="TextBox 2">
              <a:extLst>
                <a:ext uri="{FF2B5EF4-FFF2-40B4-BE49-F238E27FC236}">
                  <a16:creationId xmlns:a16="http://schemas.microsoft.com/office/drawing/2014/main" id="{EAD48794-6D93-479D-A907-CFB02695FD05}"/>
                </a:ext>
              </a:extLst>
            </xdr:cNvPr>
            <xdr:cNvSpPr txBox="1"/>
          </xdr:nvSpPr>
          <xdr:spPr>
            <a:xfrm>
              <a:off x="10497983" y="1546532"/>
              <a:ext cx="4742016" cy="1894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0">
                  <a:solidFill>
                    <a:schemeClr val="dk1"/>
                  </a:solidFill>
                  <a:effectLst/>
                  <a:latin typeface="+mn-lt"/>
                  <a:ea typeface="+mn-ea"/>
                  <a:cs typeface="+mn-cs"/>
                </a:rPr>
                <a:t>F= </a:t>
              </a:r>
              <a:r>
                <a:rPr lang="en-US" sz="3200" b="0" i="0">
                  <a:solidFill>
                    <a:schemeClr val="dk1"/>
                  </a:solidFill>
                  <a:effectLst/>
                  <a:latin typeface="Cambria Math" panose="02040503050406030204" pitchFamily="18" charset="0"/>
                  <a:ea typeface="+mn-ea"/>
                  <a:cs typeface="+mn-cs"/>
                </a:rPr>
                <a:t>((𝑆𝑆𝐸(𝑥1,…,𝑥𝑞)−𝑆𝑆𝐸(𝑥1,...,𝑥𝑞+1,….𝑥𝑝))/1)/(𝑆𝑆𝐸(𝑥𝑝)/(𝑛−𝑝−1))</a:t>
              </a:r>
              <a:endParaRPr lang="en-US" sz="3200">
                <a:effectLst/>
              </a:endParaRPr>
            </a:p>
            <a:p>
              <a:endParaRPr lang="en-US" sz="1100"/>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1143000</xdr:colOff>
      <xdr:row>9</xdr:row>
      <xdr:rowOff>57149</xdr:rowOff>
    </xdr:from>
    <xdr:to>
      <xdr:col>16</xdr:col>
      <xdr:colOff>76200</xdr:colOff>
      <xdr:row>26</xdr:row>
      <xdr:rowOff>66674</xdr:rowOff>
    </xdr:to>
    <xdr:sp macro="" textlink="">
      <xdr:nvSpPr>
        <xdr:cNvPr id="2" name="TextBox 1">
          <a:extLst>
            <a:ext uri="{FF2B5EF4-FFF2-40B4-BE49-F238E27FC236}">
              <a16:creationId xmlns:a16="http://schemas.microsoft.com/office/drawing/2014/main" id="{3171C5A8-BA1E-8D10-BB96-5C8872A948BB}"/>
            </a:ext>
          </a:extLst>
        </xdr:cNvPr>
        <xdr:cNvSpPr txBox="1"/>
      </xdr:nvSpPr>
      <xdr:spPr>
        <a:xfrm>
          <a:off x="8648700" y="2133599"/>
          <a:ext cx="2847975" cy="3248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From step one, </a:t>
          </a:r>
          <a:r>
            <a:rPr lang="en-US" sz="1100" baseline="0"/>
            <a:t>removing "Work" independent. You can see since p value is &gt;0.05, we do not reject Ho: Bq=0</a:t>
          </a:r>
        </a:p>
        <a:p>
          <a:endParaRPr lang="en-US" sz="1100" baseline="0"/>
        </a:p>
        <a:p>
          <a:r>
            <a:rPr lang="en-US" sz="1100" baseline="0"/>
            <a:t>so do not add work independent to model that does not have it/ do erase it from model that has it. I will continue on next sheet by removing the independent variable with the highest p value, Accounts.</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65690</xdr:colOff>
      <xdr:row>8</xdr:row>
      <xdr:rowOff>109484</xdr:rowOff>
    </xdr:from>
    <xdr:to>
      <xdr:col>14</xdr:col>
      <xdr:colOff>131380</xdr:colOff>
      <xdr:row>27</xdr:row>
      <xdr:rowOff>10948</xdr:rowOff>
    </xdr:to>
    <xdr:sp macro="" textlink="">
      <xdr:nvSpPr>
        <xdr:cNvPr id="2" name="TextBox 1">
          <a:extLst>
            <a:ext uri="{FF2B5EF4-FFF2-40B4-BE49-F238E27FC236}">
              <a16:creationId xmlns:a16="http://schemas.microsoft.com/office/drawing/2014/main" id="{FFBECE71-FCCA-0B7C-EA69-A935A32E0C3D}"/>
            </a:ext>
          </a:extLst>
        </xdr:cNvPr>
        <xdr:cNvSpPr txBox="1"/>
      </xdr:nvSpPr>
      <xdr:spPr>
        <a:xfrm>
          <a:off x="5583621" y="1795518"/>
          <a:ext cx="3131207" cy="3437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Do</a:t>
          </a:r>
          <a:r>
            <a:rPr lang="en-US" sz="1400" baseline="0"/>
            <a:t> remove Accounts from model with (Time, poten, advexp, share,change, and accounts). </a:t>
          </a:r>
        </a:p>
        <a:p>
          <a:r>
            <a:rPr lang="en-US" sz="1400" baseline="0"/>
            <a:t>This is going to be a different outcome than stepwise regression or forward selection. I will continue by removing the independent variable with the highest p value here that is over 0.05, "Change", and assesing if it should be removed. Note that the p value is the same p value for the independent variable with the model in it. (only when just one independent variable is removed from the model with it/ xq is 1 independent variable less than xp)</a:t>
          </a:r>
          <a:endParaRPr lang="en-US" sz="1400"/>
        </a:p>
      </xdr:txBody>
    </xdr:sp>
    <xdr:clientData/>
  </xdr:twoCellAnchor>
  <xdr:twoCellAnchor>
    <xdr:from>
      <xdr:col>9</xdr:col>
      <xdr:colOff>238125</xdr:colOff>
      <xdr:row>27</xdr:row>
      <xdr:rowOff>152400</xdr:rowOff>
    </xdr:from>
    <xdr:to>
      <xdr:col>15</xdr:col>
      <xdr:colOff>238125</xdr:colOff>
      <xdr:row>37</xdr:row>
      <xdr:rowOff>152400</xdr:rowOff>
    </xdr:to>
    <xdr:graphicFrame macro="">
      <xdr:nvGraphicFramePr>
        <xdr:cNvPr id="3" name="Chart 2">
          <a:extLst>
            <a:ext uri="{FF2B5EF4-FFF2-40B4-BE49-F238E27FC236}">
              <a16:creationId xmlns:a16="http://schemas.microsoft.com/office/drawing/2014/main" id="{B4FEE087-F38A-DBF3-10D1-ACF8F3012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106746</xdr:colOff>
      <xdr:row>48</xdr:row>
      <xdr:rowOff>21021</xdr:rowOff>
    </xdr:from>
    <xdr:to>
      <xdr:col>16</xdr:col>
      <xdr:colOff>106746</xdr:colOff>
      <xdr:row>58</xdr:row>
      <xdr:rowOff>21021</xdr:rowOff>
    </xdr:to>
    <xdr:graphicFrame macro="">
      <xdr:nvGraphicFramePr>
        <xdr:cNvPr id="4" name="Chart 3">
          <a:extLst>
            <a:ext uri="{FF2B5EF4-FFF2-40B4-BE49-F238E27FC236}">
              <a16:creationId xmlns:a16="http://schemas.microsoft.com/office/drawing/2014/main" id="{7724F098-EDCE-54CB-4173-96E356E47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500884</xdr:colOff>
      <xdr:row>30</xdr:row>
      <xdr:rowOff>21021</xdr:rowOff>
    </xdr:from>
    <xdr:to>
      <xdr:col>23</xdr:col>
      <xdr:colOff>500884</xdr:colOff>
      <xdr:row>40</xdr:row>
      <xdr:rowOff>31969</xdr:rowOff>
    </xdr:to>
    <xdr:graphicFrame macro="">
      <xdr:nvGraphicFramePr>
        <xdr:cNvPr id="5" name="Chart 4">
          <a:extLst>
            <a:ext uri="{FF2B5EF4-FFF2-40B4-BE49-F238E27FC236}">
              <a16:creationId xmlns:a16="http://schemas.microsoft.com/office/drawing/2014/main" id="{260A798D-B0DE-E9D8-A6E8-E9D4627CE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73902</xdr:colOff>
      <xdr:row>47</xdr:row>
      <xdr:rowOff>97658</xdr:rowOff>
    </xdr:from>
    <xdr:to>
      <xdr:col>24</xdr:col>
      <xdr:colOff>73901</xdr:colOff>
      <xdr:row>57</xdr:row>
      <xdr:rowOff>119555</xdr:rowOff>
    </xdr:to>
    <xdr:graphicFrame macro="">
      <xdr:nvGraphicFramePr>
        <xdr:cNvPr id="6" name="Chart 5">
          <a:extLst>
            <a:ext uri="{FF2B5EF4-FFF2-40B4-BE49-F238E27FC236}">
              <a16:creationId xmlns:a16="http://schemas.microsoft.com/office/drawing/2014/main" id="{19B3CF42-053A-6175-1CEC-8028A0485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227176</xdr:colOff>
      <xdr:row>37</xdr:row>
      <xdr:rowOff>130504</xdr:rowOff>
    </xdr:from>
    <xdr:to>
      <xdr:col>18</xdr:col>
      <xdr:colOff>227177</xdr:colOff>
      <xdr:row>47</xdr:row>
      <xdr:rowOff>141451</xdr:rowOff>
    </xdr:to>
    <xdr:graphicFrame macro="">
      <xdr:nvGraphicFramePr>
        <xdr:cNvPr id="7" name="Chart 6">
          <a:extLst>
            <a:ext uri="{FF2B5EF4-FFF2-40B4-BE49-F238E27FC236}">
              <a16:creationId xmlns:a16="http://schemas.microsoft.com/office/drawing/2014/main" id="{AD376D91-A64C-8F6C-3769-734E7BD63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7</xdr:col>
      <xdr:colOff>41413</xdr:colOff>
      <xdr:row>6</xdr:row>
      <xdr:rowOff>173934</xdr:rowOff>
    </xdr:from>
    <xdr:to>
      <xdr:col>15</xdr:col>
      <xdr:colOff>470647</xdr:colOff>
      <xdr:row>39</xdr:row>
      <xdr:rowOff>156882</xdr:rowOff>
    </xdr:to>
    <xdr:sp macro="" textlink="">
      <xdr:nvSpPr>
        <xdr:cNvPr id="2" name="TextBox 1">
          <a:extLst>
            <a:ext uri="{FF2B5EF4-FFF2-40B4-BE49-F238E27FC236}">
              <a16:creationId xmlns:a16="http://schemas.microsoft.com/office/drawing/2014/main" id="{96B8C3B4-1684-20DD-36CF-F3936B58639C}"/>
            </a:ext>
          </a:extLst>
        </xdr:cNvPr>
        <xdr:cNvSpPr txBox="1"/>
      </xdr:nvSpPr>
      <xdr:spPr>
        <a:xfrm>
          <a:off x="5173707" y="1507434"/>
          <a:ext cx="5505499" cy="6303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Remove</a:t>
          </a:r>
          <a:r>
            <a:rPr lang="en-US" sz="2000" baseline="0"/>
            <a:t> "Change" independent variable if you use alpha to remove 0.05. The final model would then be:  </a:t>
          </a:r>
          <a:r>
            <a:rPr lang="en-US" sz="2000" b="0" i="0" u="none" strike="noStrike">
              <a:solidFill>
                <a:schemeClr val="dk1"/>
              </a:solidFill>
              <a:effectLst/>
              <a:latin typeface="+mn-lt"/>
              <a:ea typeface="+mn-ea"/>
              <a:cs typeface="+mn-cs"/>
            </a:rPr>
            <a:t>-1312.38</a:t>
          </a:r>
          <a:r>
            <a:rPr lang="en-US" sz="2000"/>
            <a:t> + </a:t>
          </a:r>
          <a:r>
            <a:rPr lang="en-US" sz="2000" b="0" i="0" u="none" strike="noStrike">
              <a:solidFill>
                <a:schemeClr val="dk1"/>
              </a:solidFill>
              <a:effectLst/>
              <a:latin typeface="+mn-lt"/>
              <a:ea typeface="+mn-ea"/>
              <a:cs typeface="+mn-cs"/>
            </a:rPr>
            <a:t>3.816596 Time +</a:t>
          </a:r>
          <a:r>
            <a:rPr lang="en-US" sz="2000"/>
            <a:t> </a:t>
          </a:r>
          <a:r>
            <a:rPr lang="en-US" sz="2000" b="0" i="0" u="none" strike="noStrike">
              <a:solidFill>
                <a:schemeClr val="dk1"/>
              </a:solidFill>
              <a:effectLst/>
              <a:latin typeface="+mn-lt"/>
              <a:ea typeface="+mn-ea"/>
              <a:cs typeface="+mn-cs"/>
            </a:rPr>
            <a:t>0.044396 Poten</a:t>
          </a:r>
          <a:r>
            <a:rPr lang="en-US" sz="2000"/>
            <a:t> + </a:t>
          </a:r>
          <a:r>
            <a:rPr lang="en-US" sz="2000" b="0" i="0" u="none" strike="noStrike">
              <a:solidFill>
                <a:schemeClr val="dk1"/>
              </a:solidFill>
              <a:effectLst/>
              <a:latin typeface="+mn-lt"/>
              <a:ea typeface="+mn-ea"/>
              <a:cs typeface="+mn-cs"/>
            </a:rPr>
            <a:t>0.152474</a:t>
          </a:r>
          <a:r>
            <a:rPr lang="en-US" sz="2000"/>
            <a:t> AdvExp</a:t>
          </a:r>
          <a:r>
            <a:rPr lang="en-US" sz="2000" baseline="0"/>
            <a:t> + </a:t>
          </a:r>
          <a:r>
            <a:rPr lang="en-US" sz="2000" b="0" i="0" u="none" strike="noStrike">
              <a:solidFill>
                <a:schemeClr val="dk1"/>
              </a:solidFill>
              <a:effectLst/>
              <a:latin typeface="+mn-lt"/>
              <a:ea typeface="+mn-ea"/>
              <a:cs typeface="+mn-cs"/>
            </a:rPr>
            <a:t>259.4843Share.</a:t>
          </a:r>
          <a:r>
            <a:rPr lang="en-US" sz="2000" b="0" i="0" u="none" strike="noStrike" baseline="0">
              <a:solidFill>
                <a:schemeClr val="dk1"/>
              </a:solidFill>
              <a:effectLst/>
              <a:latin typeface="+mn-lt"/>
              <a:ea typeface="+mn-ea"/>
              <a:cs typeface="+mn-cs"/>
            </a:rPr>
            <a:t> It only performs a little worse than stepwise regression: This one is adjusted R squared of 0.87 vs 0.88. </a:t>
          </a:r>
        </a:p>
        <a:p>
          <a:endParaRPr lang="en-US" sz="2000" b="0" i="0" u="none" strike="noStrike" baseline="0">
            <a:solidFill>
              <a:schemeClr val="dk1"/>
            </a:solidFill>
            <a:effectLst/>
            <a:latin typeface="+mn-lt"/>
            <a:ea typeface="+mn-ea"/>
            <a:cs typeface="+mn-cs"/>
          </a:endParaRPr>
        </a:p>
        <a:p>
          <a:endParaRPr lang="en-US" sz="2000" b="0" i="0" u="none" strike="noStrike" baseline="0">
            <a:solidFill>
              <a:schemeClr val="dk1"/>
            </a:solidFill>
            <a:effectLst/>
            <a:latin typeface="+mn-lt"/>
            <a:ea typeface="+mn-ea"/>
            <a:cs typeface="+mn-cs"/>
          </a:endParaRPr>
        </a:p>
        <a:p>
          <a:r>
            <a:rPr lang="en-US" sz="2000" b="0" i="0" u="none" strike="noStrike" baseline="0">
              <a:solidFill>
                <a:schemeClr val="dk1"/>
              </a:solidFill>
              <a:effectLst/>
              <a:latin typeface="+mn-lt"/>
              <a:ea typeface="+mn-ea"/>
              <a:cs typeface="+mn-cs"/>
            </a:rPr>
            <a:t>In Rstudio however, the Change independent variable is not removed because the p value is 0.053 and I guess their Alpha to remove criteria is 0.10. You can see that including Change independent variable achieves a better adjusted Rsquare (0.89) and a lower Sum Square residual or "error". So using alpha to remove 0.06 to 0.10 is probably better in this case, and it would even make backward elimination better than stepwise regression.</a:t>
          </a:r>
        </a:p>
        <a:p>
          <a:endParaRPr lang="en-US" sz="20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161924</xdr:colOff>
      <xdr:row>20</xdr:row>
      <xdr:rowOff>104775</xdr:rowOff>
    </xdr:from>
    <xdr:to>
      <xdr:col>16</xdr:col>
      <xdr:colOff>152399</xdr:colOff>
      <xdr:row>33</xdr:row>
      <xdr:rowOff>161925</xdr:rowOff>
    </xdr:to>
    <xdr:sp macro="" textlink="">
      <xdr:nvSpPr>
        <xdr:cNvPr id="2" name="TextBox 1">
          <a:extLst>
            <a:ext uri="{FF2B5EF4-FFF2-40B4-BE49-F238E27FC236}">
              <a16:creationId xmlns:a16="http://schemas.microsoft.com/office/drawing/2014/main" id="{C438E134-9034-0F44-8E70-5BE1E462DD69}"/>
            </a:ext>
          </a:extLst>
        </xdr:cNvPr>
        <xdr:cNvSpPr txBox="1"/>
      </xdr:nvSpPr>
      <xdr:spPr>
        <a:xfrm>
          <a:off x="5924549" y="3981450"/>
          <a:ext cx="4257675" cy="253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Ho:</a:t>
          </a:r>
          <a:r>
            <a:rPr lang="en-US" sz="1100" baseline="0">
              <a:solidFill>
                <a:schemeClr val="dk1"/>
              </a:solidFill>
              <a:effectLst/>
              <a:latin typeface="+mn-lt"/>
              <a:ea typeface="+mn-ea"/>
              <a:cs typeface="+mn-cs"/>
            </a:rPr>
            <a:t> B1=B2=0</a:t>
          </a:r>
          <a:endParaRPr lang="en-US">
            <a:effectLst/>
          </a:endParaRPr>
        </a:p>
        <a:p>
          <a:r>
            <a:rPr lang="en-US" sz="1100" baseline="0">
              <a:solidFill>
                <a:schemeClr val="dk1"/>
              </a:solidFill>
              <a:effectLst/>
              <a:latin typeface="+mn-lt"/>
              <a:ea typeface="+mn-ea"/>
              <a:cs typeface="+mn-cs"/>
            </a:rPr>
            <a:t>The F =9.18 corresponds to the p value 0.0038. Because the p value &lt;0.05, we Reject Ho and conclude that the mean for the 3 assembly methods are not the same. </a:t>
          </a:r>
          <a:endParaRPr lang="en-US">
            <a:effectLst/>
          </a:endParaRPr>
        </a:p>
        <a:p>
          <a:r>
            <a:rPr lang="en-US" sz="1100" baseline="0">
              <a:solidFill>
                <a:schemeClr val="dk1"/>
              </a:solidFill>
              <a:effectLst/>
              <a:latin typeface="+mn-lt"/>
              <a:ea typeface="+mn-ea"/>
              <a:cs typeface="+mn-cs"/>
            </a:rPr>
            <a:t>Because the F test shows that the multiple regression relationship is significant, a t test can be conducted to determine the significance of the individual parameters B1, and B2. Bo equals E(y) for method C. </a:t>
          </a:r>
          <a:endParaRPr lang="en-US">
            <a:effectLst/>
          </a:endParaRPr>
        </a:p>
        <a:p>
          <a:r>
            <a:rPr lang="en-US" sz="1100" baseline="0">
              <a:solidFill>
                <a:schemeClr val="dk1"/>
              </a:solidFill>
              <a:effectLst/>
              <a:latin typeface="+mn-lt"/>
              <a:ea typeface="+mn-ea"/>
              <a:cs typeface="+mn-cs"/>
            </a:rPr>
            <a:t>use the t test p values to test </a:t>
          </a:r>
          <a:endParaRPr lang="en-US">
            <a:effectLst/>
          </a:endParaRPr>
        </a:p>
        <a:p>
          <a:r>
            <a:rPr lang="en-US" sz="1100">
              <a:solidFill>
                <a:schemeClr val="dk1"/>
              </a:solidFill>
              <a:effectLst/>
              <a:latin typeface="+mn-lt"/>
              <a:ea typeface="+mn-ea"/>
              <a:cs typeface="+mn-cs"/>
            </a:rPr>
            <a:t>Ho: B1</a:t>
          </a:r>
          <a:r>
            <a:rPr lang="en-US" sz="1100" baseline="0">
              <a:solidFill>
                <a:schemeClr val="dk1"/>
              </a:solidFill>
              <a:effectLst/>
              <a:latin typeface="+mn-lt"/>
              <a:ea typeface="+mn-ea"/>
              <a:cs typeface="+mn-cs"/>
            </a:rPr>
            <a:t> = 0  , with p value 0.011 &lt;0.05, we Reject Ho. </a:t>
          </a:r>
          <a:endParaRPr lang="en-US">
            <a:effectLst/>
          </a:endParaRPr>
        </a:p>
        <a:p>
          <a:r>
            <a:rPr lang="en-US" sz="1100" baseline="0">
              <a:solidFill>
                <a:schemeClr val="dk1"/>
              </a:solidFill>
              <a:effectLst/>
              <a:latin typeface="+mn-lt"/>
              <a:ea typeface="+mn-ea"/>
              <a:cs typeface="+mn-cs"/>
            </a:rPr>
            <a:t>Ho: B2= 0, with p value 0.001 &lt;0.05, we Reject Ho.</a:t>
          </a:r>
          <a:endParaRPr lang="en-US">
            <a:effectLst/>
          </a:endParaRPr>
        </a:p>
        <a:p>
          <a:r>
            <a:rPr lang="en-US" sz="1100" baseline="0">
              <a:solidFill>
                <a:schemeClr val="dk1"/>
              </a:solidFill>
              <a:effectLst/>
              <a:latin typeface="+mn-lt"/>
              <a:ea typeface="+mn-ea"/>
              <a:cs typeface="+mn-cs"/>
            </a:rPr>
            <a:t>So both parameters are statistically significant, thus we can conclude that the means for methods A and C are different and that the means for methods B and C are different. </a:t>
          </a:r>
          <a:endParaRPr lang="en-US">
            <a:effectLst/>
          </a:endParaRPr>
        </a:p>
        <a:p>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109883</xdr:colOff>
      <xdr:row>64</xdr:row>
      <xdr:rowOff>170415</xdr:rowOff>
    </xdr:from>
    <xdr:to>
      <xdr:col>18</xdr:col>
      <xdr:colOff>421309</xdr:colOff>
      <xdr:row>79</xdr:row>
      <xdr:rowOff>53354</xdr:rowOff>
    </xdr:to>
    <xdr:graphicFrame macro="">
      <xdr:nvGraphicFramePr>
        <xdr:cNvPr id="2" name="Chart 1">
          <a:extLst>
            <a:ext uri="{FF2B5EF4-FFF2-40B4-BE49-F238E27FC236}">
              <a16:creationId xmlns:a16="http://schemas.microsoft.com/office/drawing/2014/main" id="{4311F302-FBF8-0640-EF9C-6DA6E32DF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544850</xdr:colOff>
      <xdr:row>39</xdr:row>
      <xdr:rowOff>107962</xdr:rowOff>
    </xdr:from>
    <xdr:to>
      <xdr:col>11</xdr:col>
      <xdr:colOff>1596652</xdr:colOff>
      <xdr:row>48</xdr:row>
      <xdr:rowOff>14554</xdr:rowOff>
    </xdr:to>
    <xdr:pic>
      <xdr:nvPicPr>
        <xdr:cNvPr id="3" name="Picture 2">
          <a:extLst>
            <a:ext uri="{FF2B5EF4-FFF2-40B4-BE49-F238E27FC236}">
              <a16:creationId xmlns:a16="http://schemas.microsoft.com/office/drawing/2014/main" id="{210FF4E4-4F47-3D96-A40C-B280EABA46E2}"/>
            </a:ext>
          </a:extLst>
        </xdr:cNvPr>
        <xdr:cNvPicPr>
          <a:picLocks noChangeAspect="1"/>
        </xdr:cNvPicPr>
      </xdr:nvPicPr>
      <xdr:blipFill>
        <a:blip xmlns:r="http://schemas.openxmlformats.org/officeDocument/2006/relationships" r:embed="rId2"/>
        <a:stretch>
          <a:fillRect/>
        </a:stretch>
      </xdr:blipFill>
      <xdr:spPr>
        <a:xfrm>
          <a:off x="6674468" y="7571080"/>
          <a:ext cx="4917832" cy="1643503"/>
        </a:xfrm>
        <a:prstGeom prst="rect">
          <a:avLst/>
        </a:prstGeom>
      </xdr:spPr>
    </xdr:pic>
    <xdr:clientData/>
  </xdr:twoCellAnchor>
  <xdr:twoCellAnchor>
    <xdr:from>
      <xdr:col>8</xdr:col>
      <xdr:colOff>283587</xdr:colOff>
      <xdr:row>84</xdr:row>
      <xdr:rowOff>125293</xdr:rowOff>
    </xdr:from>
    <xdr:to>
      <xdr:col>9</xdr:col>
      <xdr:colOff>1276924</xdr:colOff>
      <xdr:row>99</xdr:row>
      <xdr:rowOff>56029</xdr:rowOff>
    </xdr:to>
    <xdr:sp macro="" textlink="">
      <xdr:nvSpPr>
        <xdr:cNvPr id="4" name="TextBox 3">
          <a:extLst>
            <a:ext uri="{FF2B5EF4-FFF2-40B4-BE49-F238E27FC236}">
              <a16:creationId xmlns:a16="http://schemas.microsoft.com/office/drawing/2014/main" id="{17AB1D78-8357-C9CA-7818-6C72C3B1794A}"/>
            </a:ext>
          </a:extLst>
        </xdr:cNvPr>
        <xdr:cNvSpPr txBox="1"/>
      </xdr:nvSpPr>
      <xdr:spPr>
        <a:xfrm>
          <a:off x="6413205" y="16541911"/>
          <a:ext cx="2663013" cy="2788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a:t>
          </a:r>
          <a:r>
            <a:rPr lang="en-US" sz="1100" baseline="0"/>
            <a:t> a durbin watson crtitical values table, with n =25 and k=6 (independent variables), the critical values are  dl: 0.87 and du: 2.01</a:t>
          </a:r>
        </a:p>
        <a:p>
          <a:endParaRPr lang="en-US" sz="1100" baseline="0"/>
        </a:p>
        <a:p>
          <a:r>
            <a:rPr lang="en-US" sz="1100" baseline="0"/>
            <a:t>So with D test statistic of </a:t>
          </a:r>
        </a:p>
        <a:p>
          <a:r>
            <a:rPr lang="en-US" sz="1100" baseline="0"/>
            <a:t> </a:t>
          </a:r>
          <a:r>
            <a:rPr lang="en-US" sz="1100" b="0" i="0" u="none" strike="noStrike">
              <a:solidFill>
                <a:schemeClr val="dk1"/>
              </a:solidFill>
              <a:effectLst/>
              <a:latin typeface="+mn-lt"/>
              <a:ea typeface="+mn-ea"/>
              <a:cs typeface="+mn-cs"/>
            </a:rPr>
            <a:t>1.8581883 </a:t>
          </a:r>
          <a:r>
            <a:rPr lang="en-US"/>
            <a:t>there</a:t>
          </a:r>
          <a:r>
            <a:rPr lang="en-US" baseline="0"/>
            <a:t> is no evidence of positive autocorrelation since it is bigger then du AND no evidenceof negative autocorrelation since it is less than 4-du (1.99). So we do not reject Ho: p=0 </a:t>
          </a:r>
        </a:p>
        <a:p>
          <a:endParaRPr lang="en-US" sz="1100" baseline="0"/>
        </a:p>
        <a:p>
          <a:r>
            <a:rPr lang="en-US" sz="1100" baseline="0">
              <a:solidFill>
                <a:srgbClr val="7030A0"/>
              </a:solidFill>
            </a:rPr>
            <a:t>Make sure you include the highlighted purple value (first row value) </a:t>
          </a:r>
          <a:r>
            <a:rPr lang="en-US" sz="1100" baseline="0"/>
            <a:t>into the sum calculation of the denominator.</a:t>
          </a:r>
          <a:endParaRPr lang="en-US" sz="1100"/>
        </a:p>
      </xdr:txBody>
    </xdr:sp>
    <xdr:clientData/>
  </xdr:twoCellAnchor>
  <xdr:twoCellAnchor>
    <xdr:from>
      <xdr:col>7</xdr:col>
      <xdr:colOff>367576</xdr:colOff>
      <xdr:row>0</xdr:row>
      <xdr:rowOff>144443</xdr:rowOff>
    </xdr:from>
    <xdr:to>
      <xdr:col>16</xdr:col>
      <xdr:colOff>280147</xdr:colOff>
      <xdr:row>38</xdr:row>
      <xdr:rowOff>145676</xdr:rowOff>
    </xdr:to>
    <xdr:sp macro="" textlink="">
      <xdr:nvSpPr>
        <xdr:cNvPr id="5" name="TextBox 4">
          <a:extLst>
            <a:ext uri="{FF2B5EF4-FFF2-40B4-BE49-F238E27FC236}">
              <a16:creationId xmlns:a16="http://schemas.microsoft.com/office/drawing/2014/main" id="{36BE60F8-7F5C-226D-DC8B-5B70D1C27097}"/>
            </a:ext>
          </a:extLst>
        </xdr:cNvPr>
        <xdr:cNvSpPr txBox="1"/>
      </xdr:nvSpPr>
      <xdr:spPr>
        <a:xfrm>
          <a:off x="5892076" y="144443"/>
          <a:ext cx="7431718" cy="7273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Often</a:t>
          </a:r>
          <a:r>
            <a:rPr lang="en-US" sz="1400" baseline="0"/>
            <a:t> the data used are collected over time. It is not uncommon for the value of y at time t, denoted by y</a:t>
          </a:r>
          <a:r>
            <a:rPr lang="en-US" sz="1400" baseline="-25000"/>
            <a:t>t</a:t>
          </a:r>
          <a:r>
            <a:rPr lang="en-US" sz="1400" baseline="0"/>
            <a:t> to be related to the value of y at previous time periods. In such cases we say autocorrelation is present in the data.   If the value of y in time period t is related to its value in period t-1 it is </a:t>
          </a:r>
          <a:r>
            <a:rPr lang="en-US" sz="1400" b="1" baseline="0"/>
            <a:t>1st order autocorrelation</a:t>
          </a:r>
          <a:r>
            <a:rPr lang="en-US" sz="1400" baseline="0"/>
            <a:t>, if it related to the value in period t-2 it is 2nd order autocorrelation, and so on. </a:t>
          </a:r>
        </a:p>
        <a:p>
          <a:r>
            <a:rPr kumimoji="0" lang="en-US" sz="1400" b="0" i="0" u="none" strike="noStrike" kern="0" cap="none" spc="0" normalizeH="0" baseline="0" noProof="0">
              <a:ln>
                <a:noFill/>
              </a:ln>
              <a:solidFill>
                <a:prstClr val="black"/>
              </a:solidFill>
              <a:effectLst/>
              <a:uLnTx/>
              <a:uFillTx/>
              <a:latin typeface="+mn-lt"/>
              <a:ea typeface="+mn-ea"/>
              <a:cs typeface="+mn-cs"/>
            </a:rPr>
            <a:t>If autocorrelation is present, the error terms are not independent. And one of the assumptions we make for the regression model is that the error terms are independent so that would be violating the assumption and make the model invalid. </a:t>
          </a:r>
        </a:p>
        <a:p>
          <a:r>
            <a:rPr kumimoji="0" lang="en-US" sz="1400" b="0" i="0" u="none" strike="noStrike" kern="0" cap="none" spc="0" normalizeH="0" baseline="0" noProof="0">
              <a:ln>
                <a:noFill/>
              </a:ln>
              <a:solidFill>
                <a:prstClr val="black"/>
              </a:solidFill>
              <a:effectLst/>
              <a:uLnTx/>
              <a:uFillTx/>
              <a:latin typeface="+mn-lt"/>
              <a:ea typeface="+mn-ea"/>
              <a:cs typeface="+mn-cs"/>
            </a:rPr>
            <a:t>In the case of 1st order autocorrelation, the error at time t, denoted </a:t>
          </a:r>
          <a:r>
            <a:rPr lang="el-GR" sz="1800" b="0" i="0">
              <a:solidFill>
                <a:schemeClr val="dk1"/>
              </a:solidFill>
              <a:effectLst/>
              <a:latin typeface="+mn-lt"/>
              <a:ea typeface="+mn-ea"/>
              <a:cs typeface="+mn-cs"/>
            </a:rPr>
            <a:t>ε</a:t>
          </a:r>
          <a:r>
            <a:rPr kumimoji="0" lang="en-US" sz="1800" b="0" i="0" u="none" strike="noStrike" kern="0" cap="none" spc="0" normalizeH="0" baseline="-25000" noProof="0">
              <a:ln>
                <a:noFill/>
              </a:ln>
              <a:solidFill>
                <a:prstClr val="black"/>
              </a:solidFill>
              <a:effectLst/>
              <a:uLnTx/>
              <a:uFillTx/>
              <a:latin typeface="+mn-lt"/>
              <a:ea typeface="+mn-ea"/>
              <a:cs typeface="+mn-cs"/>
            </a:rPr>
            <a:t>t</a:t>
          </a:r>
          <a:r>
            <a:rPr kumimoji="0" lang="en-US" sz="1800" b="0" i="0" u="none" strike="noStrike" kern="0" cap="none" spc="0" normalizeH="0" baseline="0" noProof="0">
              <a:ln>
                <a:noFill/>
              </a:ln>
              <a:solidFill>
                <a:prstClr val="black"/>
              </a:solidFill>
              <a:effectLst/>
              <a:uLnTx/>
              <a:uFillTx/>
              <a:latin typeface="+mn-lt"/>
              <a:ea typeface="+mn-ea"/>
              <a:cs typeface="+mn-cs"/>
            </a:rPr>
            <a:t> </a:t>
          </a:r>
          <a:r>
            <a:rPr kumimoji="0" lang="en-US" sz="1400" b="0" i="0" u="none" strike="noStrike" kern="0" cap="none" spc="0" normalizeH="0" baseline="0" noProof="0">
              <a:ln>
                <a:noFill/>
              </a:ln>
              <a:solidFill>
                <a:prstClr val="black"/>
              </a:solidFill>
              <a:effectLst/>
              <a:uLnTx/>
              <a:uFillTx/>
              <a:latin typeface="+mn-lt"/>
              <a:ea typeface="+mn-ea"/>
              <a:cs typeface="+mn-cs"/>
            </a:rPr>
            <a:t>, will be related to the error at time period t-1, denoted </a:t>
          </a:r>
          <a:r>
            <a:rPr kumimoji="0" lang="el-GR" sz="1800" b="0" i="0" u="none" strike="noStrike" kern="0" cap="none" spc="0" normalizeH="0" baseline="0" noProof="0">
              <a:ln>
                <a:noFill/>
              </a:ln>
              <a:solidFill>
                <a:prstClr val="black"/>
              </a:solidFill>
              <a:effectLst/>
              <a:uLnTx/>
              <a:uFillTx/>
              <a:latin typeface="+mn-lt"/>
              <a:ea typeface="+mn-ea"/>
              <a:cs typeface="+mn-cs"/>
            </a:rPr>
            <a:t>ε</a:t>
          </a:r>
          <a:r>
            <a:rPr kumimoji="0" lang="en-US" sz="1800" b="0" i="0" u="none" strike="noStrike" kern="0" cap="none" spc="0" normalizeH="0" baseline="-25000" noProof="0">
              <a:ln>
                <a:noFill/>
              </a:ln>
              <a:solidFill>
                <a:prstClr val="black"/>
              </a:solidFill>
              <a:effectLst/>
              <a:uLnTx/>
              <a:uFillTx/>
              <a:latin typeface="+mn-lt"/>
              <a:ea typeface="+mn-ea"/>
              <a:cs typeface="+mn-cs"/>
            </a:rPr>
            <a:t>t-1</a:t>
          </a:r>
          <a:r>
            <a:rPr kumimoji="0" lang="en-US" sz="1800" b="0" i="0" u="none" strike="noStrike" kern="0" cap="none" spc="0" normalizeH="0" baseline="0" noProof="0">
              <a:ln>
                <a:noFill/>
              </a:ln>
              <a:solidFill>
                <a:prstClr val="black"/>
              </a:solidFill>
              <a:effectLst/>
              <a:uLnTx/>
              <a:uFillTx/>
              <a:latin typeface="+mn-lt"/>
              <a:ea typeface="+mn-ea"/>
              <a:cs typeface="+mn-cs"/>
            </a:rPr>
            <a:t> .</a:t>
          </a:r>
        </a:p>
        <a:p>
          <a:endParaRPr lang="en-US" sz="1400" baseline="0"/>
        </a:p>
        <a:p>
          <a:r>
            <a:rPr lang="en-US" sz="1400" baseline="0"/>
            <a:t>With "positive" autocorrelation we expect a positive residual in one period to be followed by a positive residual in the next period, and a negative residual in one period to be followed by a negative residual in the next period. </a:t>
          </a:r>
        </a:p>
        <a:p>
          <a:endParaRPr lang="en-US" sz="1400" baseline="0"/>
        </a:p>
        <a:p>
          <a:r>
            <a:rPr lang="en-US" sz="1400" baseline="0"/>
            <a:t>With "negative" autocorrelation we expect a positive residual in one period to be followed by a negative residual in the next period, and then a positive, then negative, and so on. </a:t>
          </a:r>
        </a:p>
        <a:p>
          <a:endParaRPr lang="en-US" sz="1400" baseline="0"/>
        </a:p>
        <a:p>
          <a:r>
            <a:rPr lang="en-US" sz="1400" baseline="0"/>
            <a:t>By positive and negative residuals we mean positive being a residual more than 0 and negative a residual being less than zero. </a:t>
          </a:r>
        </a:p>
        <a:p>
          <a:endParaRPr lang="en-US" sz="140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t>If the values of the error term (</a:t>
          </a:r>
          <a:r>
            <a:rPr lang="el-GR" sz="1800" b="0" i="0">
              <a:solidFill>
                <a:schemeClr val="dk1"/>
              </a:solidFill>
              <a:effectLst/>
              <a:latin typeface="+mn-lt"/>
              <a:ea typeface="+mn-ea"/>
              <a:cs typeface="+mn-cs"/>
            </a:rPr>
            <a:t>ε</a:t>
          </a:r>
          <a:r>
            <a:rPr lang="en-US" sz="1800" b="0" i="0">
              <a:solidFill>
                <a:schemeClr val="dk1"/>
              </a:solidFill>
              <a:effectLst/>
              <a:latin typeface="+mn-lt"/>
              <a:ea typeface="+mn-ea"/>
              <a:cs typeface="+mn-cs"/>
            </a:rPr>
            <a:t>) </a:t>
          </a:r>
          <a:r>
            <a:rPr lang="en-US" sz="1400" b="0" i="0" baseline="0">
              <a:solidFill>
                <a:schemeClr val="dk1"/>
              </a:solidFill>
              <a:effectLst/>
              <a:latin typeface="+mn-lt"/>
              <a:ea typeface="+mn-ea"/>
              <a:cs typeface="+mn-cs"/>
            </a:rPr>
            <a:t>for time t are not independent, but are related in the following manner: </a:t>
          </a:r>
          <a:r>
            <a:rPr kumimoji="0" lang="el-GR" sz="2000" b="0" i="0" u="none" strike="noStrike" kern="0" cap="none" spc="0" normalizeH="0" baseline="0" noProof="0">
              <a:ln>
                <a:noFill/>
              </a:ln>
              <a:solidFill>
                <a:prstClr val="black"/>
              </a:solidFill>
              <a:effectLst/>
              <a:uLnTx/>
              <a:uFillTx/>
              <a:latin typeface="+mn-lt"/>
              <a:ea typeface="+mn-ea"/>
              <a:cs typeface="+mn-cs"/>
            </a:rPr>
            <a:t>ε</a:t>
          </a:r>
          <a:r>
            <a:rPr kumimoji="0" lang="en-US" sz="2000" b="0" i="0" u="none" strike="noStrike" kern="0" cap="none" spc="0" normalizeH="0" baseline="-25000" noProof="0">
              <a:ln>
                <a:noFill/>
              </a:ln>
              <a:solidFill>
                <a:prstClr val="black"/>
              </a:solidFill>
              <a:effectLst/>
              <a:uLnTx/>
              <a:uFillTx/>
              <a:latin typeface="+mn-lt"/>
              <a:ea typeface="+mn-ea"/>
              <a:cs typeface="+mn-cs"/>
            </a:rPr>
            <a:t>t</a:t>
          </a:r>
          <a:r>
            <a:rPr kumimoji="0" lang="en-US" sz="2000" b="0" i="0" u="none" strike="noStrike" kern="0" cap="none" spc="0" normalizeH="0" baseline="0" noProof="0">
              <a:ln>
                <a:noFill/>
              </a:ln>
              <a:solidFill>
                <a:prstClr val="black"/>
              </a:solidFill>
              <a:effectLst/>
              <a:uLnTx/>
              <a:uFillTx/>
              <a:latin typeface="+mn-lt"/>
              <a:ea typeface="+mn-ea"/>
              <a:cs typeface="+mn-cs"/>
            </a:rPr>
            <a:t> = p</a:t>
          </a:r>
          <a:r>
            <a:rPr kumimoji="0" lang="el-GR" sz="2000" b="0" i="0" u="none" strike="noStrike" kern="0" cap="none" spc="0" normalizeH="0" baseline="0" noProof="0">
              <a:ln>
                <a:noFill/>
              </a:ln>
              <a:solidFill>
                <a:prstClr val="black"/>
              </a:solidFill>
              <a:effectLst/>
              <a:uLnTx/>
              <a:uFillTx/>
              <a:latin typeface="+mn-lt"/>
              <a:ea typeface="+mn-ea"/>
              <a:cs typeface="+mn-cs"/>
            </a:rPr>
            <a:t>ε</a:t>
          </a:r>
          <a:r>
            <a:rPr kumimoji="0" lang="en-US" sz="2000" b="0" i="0" u="none" strike="noStrike" kern="0" cap="none" spc="0" normalizeH="0" baseline="-25000" noProof="0">
              <a:ln>
                <a:noFill/>
              </a:ln>
              <a:solidFill>
                <a:prstClr val="black"/>
              </a:solidFill>
              <a:effectLst/>
              <a:uLnTx/>
              <a:uFillTx/>
              <a:latin typeface="+mn-lt"/>
              <a:ea typeface="+mn-ea"/>
              <a:cs typeface="+mn-cs"/>
            </a:rPr>
            <a:t>t-1</a:t>
          </a:r>
          <a:r>
            <a:rPr kumimoji="0" lang="en-US" sz="2000" b="0" i="0" u="none" strike="noStrike" kern="0" cap="none" spc="0" normalizeH="0" baseline="0" noProof="0">
              <a:ln>
                <a:noFill/>
              </a:ln>
              <a:solidFill>
                <a:prstClr val="black"/>
              </a:solidFill>
              <a:effectLst/>
              <a:uLnTx/>
              <a:uFillTx/>
              <a:latin typeface="+mn-lt"/>
              <a:ea typeface="+mn-ea"/>
              <a:cs typeface="+mn-cs"/>
            </a:rPr>
            <a:t>+z</a:t>
          </a:r>
          <a:r>
            <a:rPr kumimoji="0" lang="en-US" sz="2000" b="0" i="0" u="none" strike="noStrike" kern="0" cap="none" spc="0" normalizeH="0" baseline="-25000" noProof="0">
              <a:ln>
                <a:noFill/>
              </a:ln>
              <a:solidFill>
                <a:prstClr val="black"/>
              </a:solidFill>
              <a:effectLst/>
              <a:uLnTx/>
              <a:uFillTx/>
              <a:latin typeface="+mn-lt"/>
              <a:ea typeface="+mn-ea"/>
              <a:cs typeface="+mn-cs"/>
            </a:rPr>
            <a:t>t</a:t>
          </a:r>
          <a:r>
            <a:rPr kumimoji="0" lang="en-US" sz="2000" b="0" i="0" u="none" strike="noStrike" kern="0" cap="none" spc="0" normalizeH="0" baseline="0" noProof="0">
              <a:ln>
                <a:noFill/>
              </a:ln>
              <a:solidFill>
                <a:prstClr val="black"/>
              </a:solidFill>
              <a:effectLst/>
              <a:uLnTx/>
              <a:uFillTx/>
              <a:latin typeface="+mn-lt"/>
              <a:ea typeface="+mn-ea"/>
              <a:cs typeface="+mn-cs"/>
            </a:rPr>
            <a:t> </a:t>
          </a:r>
          <a:r>
            <a:rPr kumimoji="0" lang="en-US" sz="1400" b="0" i="0" u="none" strike="noStrike" kern="0" cap="none" spc="0" normalizeH="0" baseline="0" noProof="0">
              <a:ln>
                <a:noFill/>
              </a:ln>
              <a:solidFill>
                <a:prstClr val="black"/>
              </a:solidFill>
              <a:effectLst/>
              <a:uLnTx/>
              <a:uFillTx/>
              <a:latin typeface="+mn-lt"/>
              <a:ea typeface="+mn-ea"/>
              <a:cs typeface="+mn-cs"/>
            </a:rPr>
            <a:t>where p is a parameter with an absolute value less than one and z</a:t>
          </a:r>
          <a:r>
            <a:rPr kumimoji="0" lang="en-US" sz="1400" b="0" i="0" u="none" strike="noStrike" kern="0" cap="none" spc="0" normalizeH="0" baseline="-25000" noProof="0">
              <a:ln>
                <a:noFill/>
              </a:ln>
              <a:solidFill>
                <a:prstClr val="black"/>
              </a:solidFill>
              <a:effectLst/>
              <a:uLnTx/>
              <a:uFillTx/>
              <a:latin typeface="+mn-lt"/>
              <a:ea typeface="+mn-ea"/>
              <a:cs typeface="+mn-cs"/>
            </a:rPr>
            <a:t>t</a:t>
          </a:r>
          <a:r>
            <a:rPr kumimoji="0" lang="en-US" sz="1400" b="0" i="0" u="none" strike="noStrike" kern="0" cap="none" spc="0" normalizeH="0" baseline="0" noProof="0">
              <a:ln>
                <a:noFill/>
              </a:ln>
              <a:solidFill>
                <a:prstClr val="black"/>
              </a:solidFill>
              <a:effectLst/>
              <a:uLnTx/>
              <a:uFillTx/>
              <a:latin typeface="+mn-lt"/>
              <a:ea typeface="+mn-ea"/>
              <a:cs typeface="+mn-cs"/>
            </a:rPr>
            <a:t> is a normally and independently distributed random variable witha mean of zero and variance of </a:t>
          </a:r>
          <a:r>
            <a:rPr lang="el-GR" sz="1800" b="0" i="0">
              <a:solidFill>
                <a:schemeClr val="dk1"/>
              </a:solidFill>
              <a:effectLst/>
              <a:latin typeface="+mn-lt"/>
              <a:ea typeface="+mn-ea"/>
              <a:cs typeface="+mn-cs"/>
            </a:rPr>
            <a:t>σ²</a:t>
          </a:r>
          <a:r>
            <a:rPr lang="en-US" sz="1400" b="0" i="0" baseline="0">
              <a:solidFill>
                <a:schemeClr val="dk1"/>
              </a:solidFill>
              <a:effectLst/>
              <a:latin typeface="+mn-lt"/>
              <a:ea typeface="+mn-ea"/>
              <a:cs typeface="+mn-cs"/>
            </a:rPr>
            <a:t>. If p= 0, the error terms are not related and  no autocorrelation is present, the regression assumptions are satisfied. If p&gt;0 we have postive autocorrelation, if p&lt;0 we have negative autocorrelation and in these two cases the regression assumptions are violated. </a:t>
          </a:r>
          <a:r>
            <a:rPr kumimoji="0" lang="en-US" sz="1400" b="0" i="0" u="none" strike="noStrike" kern="0" cap="none" spc="0" normalizeH="0" baseline="0" noProof="0">
              <a:ln>
                <a:noFill/>
              </a:ln>
              <a:solidFill>
                <a:prstClr val="black"/>
              </a:solidFill>
              <a:effectLst/>
              <a:uLnTx/>
              <a:uFillTx/>
              <a:latin typeface="+mn-lt"/>
              <a:ea typeface="+mn-ea"/>
              <a:cs typeface="+mn-cs"/>
            </a:rPr>
            <a:t>The durbin watson statistic can be used to detect </a:t>
          </a:r>
          <a:r>
            <a:rPr kumimoji="0" lang="en-US" sz="1400" b="1" i="0" u="none" strike="noStrike" kern="0" cap="none" spc="0" normalizeH="0" baseline="0" noProof="0">
              <a:ln>
                <a:noFill/>
              </a:ln>
              <a:solidFill>
                <a:prstClr val="black"/>
              </a:solidFill>
              <a:effectLst/>
              <a:uLnTx/>
              <a:uFillTx/>
              <a:latin typeface="+mn-lt"/>
              <a:ea typeface="+mn-ea"/>
              <a:cs typeface="+mn-cs"/>
            </a:rPr>
            <a:t>1st order autocorrelation</a:t>
          </a:r>
          <a:r>
            <a:rPr kumimoji="0" lang="en-US" sz="1400" b="0" i="0" u="none" strike="noStrike" kern="0" cap="none" spc="0" normalizeH="0" baseline="0" noProof="0">
              <a:ln>
                <a:noFill/>
              </a:ln>
              <a:solidFill>
                <a:prstClr val="black"/>
              </a:solidFill>
              <a:effectLst/>
              <a:uLnTx/>
              <a:uFillTx/>
              <a:latin typeface="+mn-lt"/>
              <a:ea typeface="+mn-ea"/>
              <a:cs typeface="+mn-cs"/>
            </a:rPr>
            <a:t>, it uses the residuals to determine if p=0. </a:t>
          </a:r>
          <a:r>
            <a:rPr lang="en-US" sz="1400"/>
            <a:t>To simplify the notation for the Durbin-Watson statistic, we denote the ith residual by </a:t>
          </a:r>
          <a:r>
            <a:rPr lang="en-US" sz="2000"/>
            <a:t>e</a:t>
          </a:r>
          <a:r>
            <a:rPr lang="en-US" sz="2000" baseline="-25000"/>
            <a:t>i</a:t>
          </a:r>
          <a:r>
            <a:rPr lang="en-US" sz="2000"/>
            <a:t>= y</a:t>
          </a:r>
          <a:r>
            <a:rPr lang="en-US" sz="2000" baseline="-25000"/>
            <a:t>i </a:t>
          </a:r>
          <a:r>
            <a:rPr lang="en-US" sz="2000"/>
            <a:t>- </a:t>
          </a:r>
          <a:r>
            <a:rPr lang="cy-GB" sz="2000" b="0" i="0">
              <a:solidFill>
                <a:srgbClr val="001D35"/>
              </a:solidFill>
              <a:effectLst/>
              <a:latin typeface="Google Sans"/>
            </a:rPr>
            <a:t>ŷ</a:t>
          </a:r>
          <a:r>
            <a:rPr lang="en-US" sz="2000" baseline="-25000"/>
            <a:t>i</a:t>
          </a:r>
          <a:r>
            <a:rPr lang="en-US" sz="2000" baseline="0"/>
            <a:t>  </a:t>
          </a:r>
          <a:r>
            <a:rPr lang="en-US" sz="1400" baseline="0">
              <a:latin typeface="+mn-lt"/>
            </a:rPr>
            <a:t>where </a:t>
          </a:r>
          <a:r>
            <a:rPr kumimoji="0" lang="en-US" sz="1400" b="0" i="0" u="none" strike="noStrike" kern="0" cap="none" spc="0" normalizeH="0" baseline="0" noProof="0">
              <a:ln>
                <a:noFill/>
              </a:ln>
              <a:solidFill>
                <a:prstClr val="black"/>
              </a:solidFill>
              <a:effectLst/>
              <a:uLnTx/>
              <a:uFillTx/>
              <a:latin typeface="+mn-lt"/>
              <a:ea typeface="+mn-ea"/>
              <a:cs typeface="+mn-cs"/>
            </a:rPr>
            <a:t>y</a:t>
          </a:r>
          <a:r>
            <a:rPr kumimoji="0" lang="en-US" sz="1400" b="0" i="0" u="none" strike="noStrike" kern="0" cap="none" spc="0" normalizeH="0" baseline="-25000" noProof="0">
              <a:ln>
                <a:noFill/>
              </a:ln>
              <a:solidFill>
                <a:prstClr val="black"/>
              </a:solidFill>
              <a:effectLst/>
              <a:uLnTx/>
              <a:uFillTx/>
              <a:latin typeface="+mn-lt"/>
              <a:ea typeface="+mn-ea"/>
              <a:cs typeface="+mn-cs"/>
            </a:rPr>
            <a:t>i</a:t>
          </a:r>
          <a:r>
            <a:rPr lang="en-US" sz="1400" baseline="0">
              <a:latin typeface="+mn-lt"/>
            </a:rPr>
            <a:t> is observed value and </a:t>
          </a:r>
          <a:r>
            <a:rPr kumimoji="0" lang="cy-GB" sz="1400" b="0" i="0" u="none" strike="noStrike" kern="0" cap="none" spc="0" normalizeH="0" baseline="0" noProof="0">
              <a:ln>
                <a:noFill/>
              </a:ln>
              <a:solidFill>
                <a:srgbClr val="001D35"/>
              </a:solidFill>
              <a:effectLst/>
              <a:uLnTx/>
              <a:uFillTx/>
              <a:latin typeface="+mn-lt"/>
              <a:ea typeface="+mn-ea"/>
              <a:cs typeface="+mn-cs"/>
            </a:rPr>
            <a:t>ŷ</a:t>
          </a:r>
          <a:r>
            <a:rPr kumimoji="0" lang="en-US" sz="1400" b="0" i="0" u="none" strike="noStrike" kern="0" cap="none" spc="0" normalizeH="0" baseline="-25000" noProof="0">
              <a:ln>
                <a:noFill/>
              </a:ln>
              <a:solidFill>
                <a:prstClr val="black"/>
              </a:solidFill>
              <a:effectLst/>
              <a:uLnTx/>
              <a:uFillTx/>
              <a:latin typeface="+mn-lt"/>
              <a:ea typeface="+mn-ea"/>
              <a:cs typeface="+mn-cs"/>
            </a:rPr>
            <a:t>i</a:t>
          </a:r>
          <a:r>
            <a:rPr kumimoji="0" lang="en-US" sz="1400" b="0" i="0" u="none" strike="noStrike" kern="0" cap="none" spc="0" normalizeH="0" baseline="0" noProof="0">
              <a:ln>
                <a:noFill/>
              </a:ln>
              <a:solidFill>
                <a:prstClr val="black"/>
              </a:solidFill>
              <a:effectLst/>
              <a:uLnTx/>
              <a:uFillTx/>
              <a:latin typeface="+mn-lt"/>
              <a:ea typeface="+mn-ea"/>
              <a:cs typeface="+mn-cs"/>
            </a:rPr>
            <a:t> is the predicted value. The durbin watson test statistic is computed as follows:</a:t>
          </a:r>
        </a:p>
        <a:p>
          <a:endParaRPr lang="en-US" sz="1400" b="0" baseline="-25000"/>
        </a:p>
      </xdr:txBody>
    </xdr:sp>
    <xdr:clientData/>
  </xdr:twoCellAnchor>
  <xdr:twoCellAnchor>
    <xdr:from>
      <xdr:col>9</xdr:col>
      <xdr:colOff>1445559</xdr:colOff>
      <xdr:row>86</xdr:row>
      <xdr:rowOff>89647</xdr:rowOff>
    </xdr:from>
    <xdr:to>
      <xdr:col>12</xdr:col>
      <xdr:colOff>123264</xdr:colOff>
      <xdr:row>100</xdr:row>
      <xdr:rowOff>100853</xdr:rowOff>
    </xdr:to>
    <xdr:sp macro="" textlink="">
      <xdr:nvSpPr>
        <xdr:cNvPr id="6" name="TextBox 5">
          <a:extLst>
            <a:ext uri="{FF2B5EF4-FFF2-40B4-BE49-F238E27FC236}">
              <a16:creationId xmlns:a16="http://schemas.microsoft.com/office/drawing/2014/main" id="{E0AB0A79-FA56-F19C-CC8F-21998A22BF06}"/>
            </a:ext>
          </a:extLst>
        </xdr:cNvPr>
        <xdr:cNvSpPr txBox="1"/>
      </xdr:nvSpPr>
      <xdr:spPr>
        <a:xfrm>
          <a:off x="9244853" y="16887265"/>
          <a:ext cx="1871382" cy="2678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theres positive autocorrelation (successive values of residuals are close together) the durbin</a:t>
          </a:r>
          <a:r>
            <a:rPr lang="en-US" sz="1100" baseline="0"/>
            <a:t> watson test statistic will be small. </a:t>
          </a:r>
        </a:p>
        <a:p>
          <a:endParaRPr lang="en-US" sz="1100" baseline="0"/>
        </a:p>
        <a:p>
          <a:r>
            <a:rPr lang="en-US" sz="1100" baseline="0"/>
            <a:t>If successive values of the residuals are far apart (negative autocorrelation) tbe durbin watson test statistic will be large.</a:t>
          </a:r>
        </a:p>
        <a:p>
          <a:endParaRPr lang="en-US" sz="1100"/>
        </a:p>
        <a:p>
          <a:endParaRPr lang="en-US" sz="1100"/>
        </a:p>
        <a:p>
          <a:r>
            <a:rPr lang="en-US" sz="1100"/>
            <a:t>Durbin watson test statistic ranges in</a:t>
          </a:r>
          <a:r>
            <a:rPr lang="en-US" sz="1100" baseline="0"/>
            <a:t> value from zero to 4, with a value of around 2 indicating no autocorrelation. </a:t>
          </a:r>
        </a:p>
        <a:p>
          <a:endParaRPr lang="en-US" sz="1100" baseline="0"/>
        </a:p>
        <a:p>
          <a:endParaRPr lang="en-US" sz="1100" baseline="0"/>
        </a:p>
        <a:p>
          <a:endParaRPr lang="en-US" sz="1100"/>
        </a:p>
      </xdr:txBody>
    </xdr:sp>
    <xdr:clientData/>
  </xdr:twoCellAnchor>
  <xdr:twoCellAnchor editAs="oneCell">
    <xdr:from>
      <xdr:col>14</xdr:col>
      <xdr:colOff>380999</xdr:colOff>
      <xdr:row>79</xdr:row>
      <xdr:rowOff>100853</xdr:rowOff>
    </xdr:from>
    <xdr:to>
      <xdr:col>23</xdr:col>
      <xdr:colOff>22000</xdr:colOff>
      <xdr:row>106</xdr:row>
      <xdr:rowOff>90365</xdr:rowOff>
    </xdr:to>
    <xdr:pic>
      <xdr:nvPicPr>
        <xdr:cNvPr id="7" name="Picture 6">
          <a:extLst>
            <a:ext uri="{FF2B5EF4-FFF2-40B4-BE49-F238E27FC236}">
              <a16:creationId xmlns:a16="http://schemas.microsoft.com/office/drawing/2014/main" id="{EE64C4A7-6920-A63D-CC23-E451208B7BA9}"/>
            </a:ext>
          </a:extLst>
        </xdr:cNvPr>
        <xdr:cNvPicPr>
          <a:picLocks noChangeAspect="1"/>
        </xdr:cNvPicPr>
      </xdr:nvPicPr>
      <xdr:blipFill>
        <a:blip xmlns:r="http://schemas.openxmlformats.org/officeDocument/2006/relationships" r:embed="rId3"/>
        <a:stretch>
          <a:fillRect/>
        </a:stretch>
      </xdr:blipFill>
      <xdr:spPr>
        <a:xfrm>
          <a:off x="12584205" y="15553765"/>
          <a:ext cx="5087060" cy="5144218"/>
        </a:xfrm>
        <a:prstGeom prst="rect">
          <a:avLst/>
        </a:prstGeom>
      </xdr:spPr>
    </xdr:pic>
    <xdr:clientData/>
  </xdr:twoCellAnchor>
  <xdr:twoCellAnchor editAs="oneCell">
    <xdr:from>
      <xdr:col>1</xdr:col>
      <xdr:colOff>683558</xdr:colOff>
      <xdr:row>83</xdr:row>
      <xdr:rowOff>112057</xdr:rowOff>
    </xdr:from>
    <xdr:to>
      <xdr:col>7</xdr:col>
      <xdr:colOff>112059</xdr:colOff>
      <xdr:row>98</xdr:row>
      <xdr:rowOff>44823</xdr:rowOff>
    </xdr:to>
    <xdr:pic>
      <xdr:nvPicPr>
        <xdr:cNvPr id="9" name="Picture 8">
          <a:extLst>
            <a:ext uri="{FF2B5EF4-FFF2-40B4-BE49-F238E27FC236}">
              <a16:creationId xmlns:a16="http://schemas.microsoft.com/office/drawing/2014/main" id="{858B72F7-91FC-F173-C552-A2EEB7FE98A8}"/>
            </a:ext>
          </a:extLst>
        </xdr:cNvPr>
        <xdr:cNvPicPr>
          <a:picLocks noChangeAspect="1"/>
        </xdr:cNvPicPr>
      </xdr:nvPicPr>
      <xdr:blipFill>
        <a:blip xmlns:r="http://schemas.openxmlformats.org/officeDocument/2006/relationships" r:embed="rId4"/>
        <a:stretch>
          <a:fillRect/>
        </a:stretch>
      </xdr:blipFill>
      <xdr:spPr>
        <a:xfrm>
          <a:off x="1557617" y="16338175"/>
          <a:ext cx="4078942" cy="2790266"/>
        </a:xfrm>
        <a:prstGeom prst="rect">
          <a:avLst/>
        </a:prstGeom>
      </xdr:spPr>
    </xdr:pic>
    <xdr:clientData/>
  </xdr:twoCellAnchor>
  <xdr:twoCellAnchor editAs="oneCell">
    <xdr:from>
      <xdr:col>1</xdr:col>
      <xdr:colOff>1019421</xdr:colOff>
      <xdr:row>97</xdr:row>
      <xdr:rowOff>133554</xdr:rowOff>
    </xdr:from>
    <xdr:to>
      <xdr:col>3</xdr:col>
      <xdr:colOff>66328</xdr:colOff>
      <xdr:row>97</xdr:row>
      <xdr:rowOff>179273</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0" name="Ink 9">
              <a:extLst>
                <a:ext uri="{FF2B5EF4-FFF2-40B4-BE49-F238E27FC236}">
                  <a16:creationId xmlns:a16="http://schemas.microsoft.com/office/drawing/2014/main" id="{645019AE-7BCE-27BA-9CD2-662CCF9248A1}"/>
                </a:ext>
              </a:extLst>
            </xdr14:cNvPr>
            <xdr14:cNvContentPartPr/>
          </xdr14:nvContentPartPr>
          <xdr14:nvPr macro=""/>
          <xdr14:xfrm flipV="1">
            <a:off x="1893480" y="19026672"/>
            <a:ext cx="671760" cy="45719"/>
          </xdr14:xfrm>
        </xdr:contentPart>
      </mc:Choice>
      <mc:Fallback>
        <xdr:pic>
          <xdr:nvPicPr>
            <xdr:cNvPr id="10" name="Ink 9">
              <a:extLst>
                <a:ext uri="{FF2B5EF4-FFF2-40B4-BE49-F238E27FC236}">
                  <a16:creationId xmlns:a16="http://schemas.microsoft.com/office/drawing/2014/main" id="{645019AE-7BCE-27BA-9CD2-662CCF9248A1}"/>
                </a:ext>
              </a:extLst>
            </xdr:cNvPr>
            <xdr:cNvPicPr/>
          </xdr:nvPicPr>
          <xdr:blipFill>
            <a:blip xmlns:r="http://schemas.openxmlformats.org/officeDocument/2006/relationships" r:embed="rId6"/>
            <a:stretch>
              <a:fillRect/>
            </a:stretch>
          </xdr:blipFill>
          <xdr:spPr>
            <a:xfrm flipV="1">
              <a:off x="1839480" y="18919034"/>
              <a:ext cx="779400" cy="261354"/>
            </a:xfrm>
            <a:prstGeom prst="rect">
              <a:avLst/>
            </a:prstGeom>
          </xdr:spPr>
        </xdr:pic>
      </mc:Fallback>
    </mc:AlternateContent>
    <xdr:clientData/>
  </xdr:twoCellAnchor>
  <xdr:twoCellAnchor>
    <xdr:from>
      <xdr:col>1</xdr:col>
      <xdr:colOff>549089</xdr:colOff>
      <xdr:row>99</xdr:row>
      <xdr:rowOff>89648</xdr:rowOff>
    </xdr:from>
    <xdr:to>
      <xdr:col>4</xdr:col>
      <xdr:colOff>145676</xdr:colOff>
      <xdr:row>107</xdr:row>
      <xdr:rowOff>100854</xdr:rowOff>
    </xdr:to>
    <xdr:sp macro="" textlink="">
      <xdr:nvSpPr>
        <xdr:cNvPr id="11" name="TextBox 10">
          <a:hlinkClick xmlns:r="http://schemas.openxmlformats.org/officeDocument/2006/relationships" r:id="rId7"/>
          <a:extLst>
            <a:ext uri="{FF2B5EF4-FFF2-40B4-BE49-F238E27FC236}">
              <a16:creationId xmlns:a16="http://schemas.microsoft.com/office/drawing/2014/main" id="{E333F86B-0D35-A806-ED12-B3AEB0607EAB}"/>
            </a:ext>
          </a:extLst>
        </xdr:cNvPr>
        <xdr:cNvSpPr txBox="1"/>
      </xdr:nvSpPr>
      <xdr:spPr>
        <a:xfrm>
          <a:off x="1423148" y="19363766"/>
          <a:ext cx="2431675" cy="1535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prstClr val="black"/>
              </a:solidFill>
              <a:effectLst/>
              <a:uLnTx/>
              <a:uFillTx/>
              <a:latin typeface="+mn-lt"/>
              <a:ea typeface="+mn-ea"/>
              <a:cs typeface="+mn-cs"/>
            </a:rPr>
            <a:t>Click this text box for</a:t>
          </a:r>
        </a:p>
        <a:p>
          <a:r>
            <a:rPr lang="en-US" sz="1800"/>
            <a:t>link</a:t>
          </a:r>
          <a:r>
            <a:rPr lang="en-US" sz="1800" baseline="0"/>
            <a:t> for critical value tables of durbin watson test statistic with both alpha 0.05 and 0.10: </a:t>
          </a:r>
        </a:p>
        <a:p>
          <a:endParaRPr lang="en-US" sz="1800" baseline="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9-16T22:28:03.06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0 126,'501'0,"-470"-2,0-2,36-10,-33 6,52-4,-23 11,-26 2,0-3,0-1,50-14,-63 11,1 2,33-1,-35 4,-1-1,1-1,26-8,0-1,0 3,0 2,0 4,90 7,-28-1,47-3,-131 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A19B-76E0-46E0-9594-439BD2A6F97C}">
  <dimension ref="A3:E15"/>
  <sheetViews>
    <sheetView topLeftCell="I1" workbookViewId="0">
      <selection activeCell="F6" sqref="F6"/>
    </sheetView>
  </sheetViews>
  <sheetFormatPr defaultRowHeight="15" x14ac:dyDescent="0.25"/>
  <cols>
    <col min="4" max="4" width="23.140625" bestFit="1" customWidth="1"/>
  </cols>
  <sheetData>
    <row r="3" spans="1:5" x14ac:dyDescent="0.25">
      <c r="D3" t="s">
        <v>42</v>
      </c>
      <c r="E3">
        <v>8.0289999999999999</v>
      </c>
    </row>
    <row r="4" spans="1:5" x14ac:dyDescent="0.25">
      <c r="D4" t="s">
        <v>81</v>
      </c>
      <c r="E4">
        <v>2.2989999999999999</v>
      </c>
    </row>
    <row r="5" spans="1:5" ht="30" x14ac:dyDescent="0.25">
      <c r="D5" s="9" t="s">
        <v>82</v>
      </c>
      <c r="E5">
        <v>1</v>
      </c>
    </row>
    <row r="6" spans="1:5" x14ac:dyDescent="0.25">
      <c r="D6" t="s">
        <v>85</v>
      </c>
      <c r="E6">
        <v>7</v>
      </c>
    </row>
    <row r="7" spans="1:5" x14ac:dyDescent="0.25">
      <c r="A7" t="s">
        <v>86</v>
      </c>
      <c r="B7">
        <v>10</v>
      </c>
    </row>
    <row r="8" spans="1:5" x14ac:dyDescent="0.25">
      <c r="D8" t="s">
        <v>80</v>
      </c>
      <c r="E8">
        <f>(E3-E4)/E5</f>
        <v>5.73</v>
      </c>
    </row>
    <row r="9" spans="1:5" ht="45" x14ac:dyDescent="0.25">
      <c r="D9" s="9" t="s">
        <v>83</v>
      </c>
      <c r="E9">
        <v>0.32840000000000003</v>
      </c>
    </row>
    <row r="11" spans="1:5" ht="33.75" customHeight="1" x14ac:dyDescent="0.25">
      <c r="D11" t="s">
        <v>84</v>
      </c>
      <c r="E11">
        <f>E8/E9</f>
        <v>17.448233861144946</v>
      </c>
    </row>
    <row r="13" spans="1:5" x14ac:dyDescent="0.25">
      <c r="D13" t="s">
        <v>58</v>
      </c>
      <c r="E13">
        <f>_xlfn.F.DIST.RT(E11,1,7)</f>
        <v>4.1521843900806359E-3</v>
      </c>
    </row>
    <row r="15" spans="1:5" ht="30" x14ac:dyDescent="0.25">
      <c r="D15" s="9" t="s">
        <v>87</v>
      </c>
      <c r="E15">
        <f>_xlfn.F.INV.RT(0.05,1,7)</f>
        <v>5.591447851220738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EAF9-15B7-4410-BF76-0A6406789479}">
  <dimension ref="A1"/>
  <sheetViews>
    <sheetView workbookViewId="0">
      <selection activeCell="G8" sqref="G8"/>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C307-37D6-4689-B3D7-38EE66F49938}">
  <dimension ref="A1:I26"/>
  <sheetViews>
    <sheetView workbookViewId="0">
      <selection activeCell="K13" sqref="K13"/>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3669.88</v>
      </c>
      <c r="B2">
        <v>43.1</v>
      </c>
      <c r="C2">
        <v>74065.100000000006</v>
      </c>
      <c r="D2">
        <v>4582.8999999999996</v>
      </c>
      <c r="E2">
        <v>2.5099999999999998</v>
      </c>
      <c r="F2">
        <v>0.34</v>
      </c>
      <c r="G2">
        <v>74.86</v>
      </c>
      <c r="H2">
        <v>15.05</v>
      </c>
      <c r="I2">
        <v>4.9000000000000004</v>
      </c>
    </row>
    <row r="3" spans="1:9" x14ac:dyDescent="0.25">
      <c r="A3">
        <v>3473.95</v>
      </c>
      <c r="B3">
        <v>108.13</v>
      </c>
      <c r="C3">
        <v>58117.3</v>
      </c>
      <c r="D3">
        <v>5539.8</v>
      </c>
      <c r="E3">
        <v>5.51</v>
      </c>
      <c r="F3">
        <v>0.15</v>
      </c>
      <c r="G3">
        <v>107.32</v>
      </c>
      <c r="H3">
        <v>19.97</v>
      </c>
      <c r="I3">
        <v>5.0999999999999996</v>
      </c>
    </row>
    <row r="4" spans="1:9" x14ac:dyDescent="0.25">
      <c r="A4">
        <v>2295.1</v>
      </c>
      <c r="B4">
        <v>13.82</v>
      </c>
      <c r="C4">
        <v>21118.5</v>
      </c>
      <c r="D4">
        <v>2950.4</v>
      </c>
      <c r="E4">
        <v>10.91</v>
      </c>
      <c r="F4">
        <v>-0.72</v>
      </c>
      <c r="G4">
        <v>96.75</v>
      </c>
      <c r="H4">
        <v>17.34</v>
      </c>
      <c r="I4">
        <v>2.9</v>
      </c>
    </row>
    <row r="5" spans="1:9" x14ac:dyDescent="0.25">
      <c r="A5">
        <v>4675.5600000000004</v>
      </c>
      <c r="B5">
        <v>186.18</v>
      </c>
      <c r="C5">
        <v>68521.3</v>
      </c>
      <c r="D5">
        <v>2243.1</v>
      </c>
      <c r="E5">
        <v>8.27</v>
      </c>
      <c r="F5">
        <v>0.17</v>
      </c>
      <c r="G5">
        <v>195.12</v>
      </c>
      <c r="H5">
        <v>13.4</v>
      </c>
      <c r="I5">
        <v>3.4</v>
      </c>
    </row>
    <row r="6" spans="1:9" x14ac:dyDescent="0.25">
      <c r="A6">
        <v>6125.96</v>
      </c>
      <c r="B6">
        <v>161.79</v>
      </c>
      <c r="C6">
        <v>57805.1</v>
      </c>
      <c r="D6">
        <v>7747.1</v>
      </c>
      <c r="E6">
        <v>9.15</v>
      </c>
      <c r="F6">
        <v>0.5</v>
      </c>
      <c r="G6">
        <v>180.44</v>
      </c>
      <c r="H6">
        <v>17.64</v>
      </c>
      <c r="I6">
        <v>4.5999999999999996</v>
      </c>
    </row>
    <row r="7" spans="1:9" x14ac:dyDescent="0.25">
      <c r="A7">
        <v>2134.94</v>
      </c>
      <c r="B7">
        <v>8.94</v>
      </c>
      <c r="C7">
        <v>37806.9</v>
      </c>
      <c r="D7">
        <v>402.4</v>
      </c>
      <c r="E7">
        <v>5.51</v>
      </c>
      <c r="F7">
        <v>0.15</v>
      </c>
      <c r="G7">
        <v>104.88</v>
      </c>
      <c r="H7">
        <v>16.22</v>
      </c>
      <c r="I7">
        <v>4.5</v>
      </c>
    </row>
    <row r="8" spans="1:9" x14ac:dyDescent="0.25">
      <c r="A8">
        <v>5031.66</v>
      </c>
      <c r="B8">
        <v>365.04</v>
      </c>
      <c r="C8">
        <v>50935.3</v>
      </c>
      <c r="D8">
        <v>3140.6</v>
      </c>
      <c r="E8">
        <v>8.5399999999999991</v>
      </c>
      <c r="F8">
        <v>0.55000000000000004</v>
      </c>
      <c r="G8">
        <v>256.10000000000002</v>
      </c>
      <c r="H8">
        <v>18.8</v>
      </c>
      <c r="I8">
        <v>4.5999999999999996</v>
      </c>
    </row>
    <row r="9" spans="1:9" x14ac:dyDescent="0.25">
      <c r="A9">
        <v>3367.45</v>
      </c>
      <c r="B9">
        <v>220.32</v>
      </c>
      <c r="C9">
        <v>35602.1</v>
      </c>
      <c r="D9">
        <v>2086.1999999999998</v>
      </c>
      <c r="E9">
        <v>7.07</v>
      </c>
      <c r="F9">
        <v>-0.49</v>
      </c>
      <c r="G9">
        <v>126.83</v>
      </c>
      <c r="H9">
        <v>19.86</v>
      </c>
      <c r="I9">
        <v>2.2999999999999998</v>
      </c>
    </row>
    <row r="10" spans="1:9" x14ac:dyDescent="0.25">
      <c r="A10">
        <v>6519.45</v>
      </c>
      <c r="B10">
        <v>127.64</v>
      </c>
      <c r="C10">
        <v>46176.800000000003</v>
      </c>
      <c r="D10">
        <v>8846.2000000000007</v>
      </c>
      <c r="E10">
        <v>12.54</v>
      </c>
      <c r="F10">
        <v>1.24</v>
      </c>
      <c r="G10">
        <v>203.25</v>
      </c>
      <c r="H10">
        <v>17.420000000000002</v>
      </c>
      <c r="I10">
        <v>4.9000000000000004</v>
      </c>
    </row>
    <row r="11" spans="1:9" x14ac:dyDescent="0.25">
      <c r="A11">
        <v>4876.37</v>
      </c>
      <c r="B11">
        <v>105.69</v>
      </c>
      <c r="C11">
        <v>42053.2</v>
      </c>
      <c r="D11">
        <v>5673.1</v>
      </c>
      <c r="E11">
        <v>8.85</v>
      </c>
      <c r="F11">
        <v>0.31</v>
      </c>
      <c r="G11">
        <v>119.51</v>
      </c>
      <c r="H11">
        <v>21.41</v>
      </c>
      <c r="I11">
        <v>2.8</v>
      </c>
    </row>
    <row r="12" spans="1:9" x14ac:dyDescent="0.25">
      <c r="A12">
        <v>2468.27</v>
      </c>
      <c r="B12">
        <v>57.72</v>
      </c>
      <c r="C12">
        <v>36829.699999999997</v>
      </c>
      <c r="D12">
        <v>2761.8</v>
      </c>
      <c r="E12">
        <v>5.38</v>
      </c>
      <c r="F12">
        <v>0.37</v>
      </c>
      <c r="G12">
        <v>116.26</v>
      </c>
      <c r="H12">
        <v>16.32</v>
      </c>
      <c r="I12">
        <v>3.1</v>
      </c>
    </row>
    <row r="13" spans="1:9" x14ac:dyDescent="0.25">
      <c r="A13">
        <v>2533.31</v>
      </c>
      <c r="B13">
        <v>23.58</v>
      </c>
      <c r="C13">
        <v>33612.699999999997</v>
      </c>
      <c r="D13">
        <v>1991.8</v>
      </c>
      <c r="E13">
        <v>5.43</v>
      </c>
      <c r="F13">
        <v>-0.65</v>
      </c>
      <c r="G13">
        <v>142.28</v>
      </c>
      <c r="H13">
        <v>14.51</v>
      </c>
      <c r="I13">
        <v>4.2</v>
      </c>
    </row>
    <row r="14" spans="1:9" x14ac:dyDescent="0.25">
      <c r="A14">
        <v>2408.11</v>
      </c>
      <c r="B14">
        <v>13.82</v>
      </c>
      <c r="C14">
        <v>21412.799999999999</v>
      </c>
      <c r="D14">
        <v>1971.5</v>
      </c>
      <c r="E14">
        <v>8.48</v>
      </c>
      <c r="F14">
        <v>0.64</v>
      </c>
      <c r="G14">
        <v>89.43</v>
      </c>
      <c r="H14">
        <v>19.350000000000001</v>
      </c>
      <c r="I14">
        <v>4.3</v>
      </c>
    </row>
    <row r="15" spans="1:9" x14ac:dyDescent="0.25">
      <c r="A15">
        <v>2337.38</v>
      </c>
      <c r="B15">
        <v>13.82</v>
      </c>
      <c r="C15">
        <v>20416.900000000001</v>
      </c>
      <c r="D15">
        <v>1737.4</v>
      </c>
      <c r="E15">
        <v>7.8</v>
      </c>
      <c r="F15">
        <v>1.01</v>
      </c>
      <c r="G15">
        <v>84.55</v>
      </c>
      <c r="H15">
        <v>20.02</v>
      </c>
      <c r="I15">
        <v>4.2</v>
      </c>
    </row>
    <row r="16" spans="1:9" x14ac:dyDescent="0.25">
      <c r="A16">
        <v>4586.95</v>
      </c>
      <c r="B16">
        <v>86.99</v>
      </c>
      <c r="C16">
        <v>36272</v>
      </c>
      <c r="D16">
        <v>10694.2</v>
      </c>
      <c r="E16">
        <v>10.34</v>
      </c>
      <c r="F16">
        <v>0.11</v>
      </c>
      <c r="G16">
        <v>119.51</v>
      </c>
      <c r="H16">
        <v>15.26</v>
      </c>
      <c r="I16">
        <v>5.5</v>
      </c>
    </row>
    <row r="17" spans="1:9" x14ac:dyDescent="0.25">
      <c r="A17">
        <v>2729.24</v>
      </c>
      <c r="B17">
        <v>165.85</v>
      </c>
      <c r="C17">
        <v>23093.3</v>
      </c>
      <c r="D17">
        <v>8618.6</v>
      </c>
      <c r="E17">
        <v>5.15</v>
      </c>
      <c r="F17">
        <v>0.04</v>
      </c>
      <c r="G17">
        <v>80.489999999999995</v>
      </c>
      <c r="H17">
        <v>15.87</v>
      </c>
      <c r="I17">
        <v>3.6</v>
      </c>
    </row>
    <row r="18" spans="1:9" x14ac:dyDescent="0.25">
      <c r="A18">
        <v>3289.4</v>
      </c>
      <c r="B18">
        <v>116.26</v>
      </c>
      <c r="C18">
        <v>26878.6</v>
      </c>
      <c r="D18">
        <v>7747.9</v>
      </c>
      <c r="E18">
        <v>6.64</v>
      </c>
      <c r="F18">
        <v>0.68</v>
      </c>
      <c r="G18">
        <v>136.58000000000001</v>
      </c>
      <c r="H18">
        <v>7.81</v>
      </c>
      <c r="I18">
        <v>3.4</v>
      </c>
    </row>
    <row r="19" spans="1:9" x14ac:dyDescent="0.25">
      <c r="A19">
        <v>2800.78</v>
      </c>
      <c r="B19">
        <v>42.28</v>
      </c>
      <c r="C19">
        <v>39572</v>
      </c>
      <c r="D19">
        <v>4565.8</v>
      </c>
      <c r="E19">
        <v>5.45</v>
      </c>
      <c r="F19">
        <v>0.66</v>
      </c>
      <c r="G19">
        <v>78.86</v>
      </c>
      <c r="H19">
        <v>16</v>
      </c>
      <c r="I19">
        <v>4.2</v>
      </c>
    </row>
    <row r="20" spans="1:9" x14ac:dyDescent="0.25">
      <c r="A20">
        <v>3264.2</v>
      </c>
      <c r="B20">
        <v>52.84</v>
      </c>
      <c r="C20">
        <v>51866.1</v>
      </c>
      <c r="D20">
        <v>6022.7</v>
      </c>
      <c r="E20">
        <v>6.31</v>
      </c>
      <c r="F20">
        <v>-0.1</v>
      </c>
      <c r="G20">
        <v>136.58000000000001</v>
      </c>
      <c r="H20">
        <v>17.440000000000001</v>
      </c>
      <c r="I20">
        <v>3.6</v>
      </c>
    </row>
    <row r="21" spans="1:9" x14ac:dyDescent="0.25">
      <c r="A21">
        <v>3453.62</v>
      </c>
      <c r="B21">
        <v>165.04</v>
      </c>
      <c r="C21">
        <v>58749.8</v>
      </c>
      <c r="D21">
        <v>3721.1</v>
      </c>
      <c r="E21">
        <v>6.35</v>
      </c>
      <c r="F21">
        <v>-0.03</v>
      </c>
      <c r="G21">
        <v>138.21</v>
      </c>
      <c r="H21">
        <v>17.98</v>
      </c>
      <c r="I21">
        <v>3.1</v>
      </c>
    </row>
    <row r="22" spans="1:9" x14ac:dyDescent="0.25">
      <c r="A22">
        <v>1741.45</v>
      </c>
      <c r="B22">
        <v>10.57</v>
      </c>
      <c r="C22">
        <v>23990.799999999999</v>
      </c>
      <c r="D22">
        <v>861</v>
      </c>
      <c r="E22">
        <v>7.37</v>
      </c>
      <c r="F22">
        <v>-1.63</v>
      </c>
      <c r="G22">
        <v>75.61</v>
      </c>
      <c r="H22">
        <v>20.99</v>
      </c>
      <c r="I22">
        <v>1.6</v>
      </c>
    </row>
    <row r="23" spans="1:9" x14ac:dyDescent="0.25">
      <c r="A23">
        <v>2035.75</v>
      </c>
      <c r="B23">
        <v>13.82</v>
      </c>
      <c r="C23">
        <v>25694.9</v>
      </c>
      <c r="D23">
        <v>3571.5</v>
      </c>
      <c r="E23">
        <v>8.39</v>
      </c>
      <c r="F23">
        <v>-0.43</v>
      </c>
      <c r="G23">
        <v>102.44</v>
      </c>
      <c r="H23">
        <v>21.66</v>
      </c>
      <c r="I23">
        <v>3.4</v>
      </c>
    </row>
    <row r="24" spans="1:9" x14ac:dyDescent="0.25">
      <c r="A24">
        <v>1578</v>
      </c>
      <c r="B24">
        <v>8.1300000000000008</v>
      </c>
      <c r="C24">
        <v>23736.3</v>
      </c>
      <c r="D24">
        <v>2845.5</v>
      </c>
      <c r="E24">
        <v>5.15</v>
      </c>
      <c r="F24">
        <v>0.04</v>
      </c>
      <c r="G24">
        <v>76.42</v>
      </c>
      <c r="H24">
        <v>21.46</v>
      </c>
      <c r="I24">
        <v>2.7</v>
      </c>
    </row>
    <row r="25" spans="1:9" x14ac:dyDescent="0.25">
      <c r="A25">
        <v>4167.4399999999996</v>
      </c>
      <c r="B25">
        <v>58.44</v>
      </c>
      <c r="C25">
        <v>34314.300000000003</v>
      </c>
      <c r="D25">
        <v>5060.1000000000004</v>
      </c>
      <c r="E25">
        <v>12.88</v>
      </c>
      <c r="F25">
        <v>0.22</v>
      </c>
      <c r="G25">
        <v>136.58000000000001</v>
      </c>
      <c r="H25">
        <v>24.78</v>
      </c>
      <c r="I25">
        <v>2.8</v>
      </c>
    </row>
    <row r="26" spans="1:9" x14ac:dyDescent="0.25">
      <c r="A26">
        <v>2799.97</v>
      </c>
      <c r="B26">
        <v>21.14</v>
      </c>
      <c r="C26">
        <v>22809.5</v>
      </c>
      <c r="D26">
        <v>3552</v>
      </c>
      <c r="E26">
        <v>9.14</v>
      </c>
      <c r="F26">
        <v>-0.74</v>
      </c>
      <c r="G26">
        <v>88.62</v>
      </c>
      <c r="H26">
        <v>24.96</v>
      </c>
      <c r="I26">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DAC2-DD76-46B3-B7E1-EBEA9F2AC0A2}">
  <dimension ref="A1:IA26"/>
  <sheetViews>
    <sheetView zoomScale="85" zoomScaleNormal="85" workbookViewId="0">
      <selection activeCell="L9" sqref="L9"/>
    </sheetView>
  </sheetViews>
  <sheetFormatPr defaultRowHeight="15" x14ac:dyDescent="0.25"/>
  <sheetData>
    <row r="1" spans="1:235" x14ac:dyDescent="0.25">
      <c r="A1" t="s">
        <v>0</v>
      </c>
      <c r="B1" t="s">
        <v>1</v>
      </c>
      <c r="C1" t="s">
        <v>2</v>
      </c>
      <c r="D1" t="s">
        <v>3</v>
      </c>
      <c r="E1" t="s">
        <v>4</v>
      </c>
      <c r="F1" t="s">
        <v>5</v>
      </c>
      <c r="G1" t="s">
        <v>6</v>
      </c>
      <c r="H1" t="s">
        <v>7</v>
      </c>
      <c r="I1" t="s">
        <v>8</v>
      </c>
      <c r="K1" s="1">
        <v>3669.88</v>
      </c>
      <c r="L1">
        <v>43.1</v>
      </c>
      <c r="M1" s="1">
        <v>74065.100000000006</v>
      </c>
      <c r="N1" s="1">
        <v>4582.8999999999996</v>
      </c>
      <c r="O1">
        <v>2.5099999999999998</v>
      </c>
      <c r="P1">
        <v>0.34</v>
      </c>
      <c r="Q1">
        <v>74.86</v>
      </c>
      <c r="R1">
        <v>15.05</v>
      </c>
      <c r="S1">
        <v>4.9000000000000004</v>
      </c>
      <c r="T1" s="1">
        <v>3473.95</v>
      </c>
      <c r="U1">
        <v>108.13</v>
      </c>
      <c r="V1" s="1">
        <v>58117.3</v>
      </c>
      <c r="W1" s="1">
        <v>5539.8</v>
      </c>
      <c r="X1">
        <v>5.51</v>
      </c>
      <c r="Y1">
        <v>0.15</v>
      </c>
      <c r="Z1">
        <v>107.32</v>
      </c>
      <c r="AA1">
        <v>19.97</v>
      </c>
      <c r="AB1">
        <v>5.0999999999999996</v>
      </c>
      <c r="AC1" s="1">
        <v>2295.1</v>
      </c>
      <c r="AD1">
        <v>13.82</v>
      </c>
      <c r="AE1" s="1">
        <v>21118.5</v>
      </c>
      <c r="AF1" s="1">
        <v>2950.4</v>
      </c>
      <c r="AG1">
        <v>10.91</v>
      </c>
      <c r="AH1">
        <v>-0.72</v>
      </c>
      <c r="AI1">
        <v>96.75</v>
      </c>
      <c r="AJ1">
        <v>17.34</v>
      </c>
      <c r="AK1">
        <v>2.9</v>
      </c>
      <c r="AL1" s="1">
        <v>4675.5600000000004</v>
      </c>
      <c r="AM1">
        <v>186.18</v>
      </c>
      <c r="AN1" s="1">
        <v>68521.3</v>
      </c>
      <c r="AO1" s="1">
        <v>2243.1</v>
      </c>
      <c r="AP1">
        <v>8.27</v>
      </c>
      <c r="AQ1">
        <v>0.17</v>
      </c>
      <c r="AR1">
        <v>195.12</v>
      </c>
      <c r="AS1">
        <v>13.4</v>
      </c>
      <c r="AT1">
        <v>3.4</v>
      </c>
      <c r="AU1" s="1">
        <v>6125.96</v>
      </c>
      <c r="AV1">
        <v>161.79</v>
      </c>
      <c r="AW1" s="1">
        <v>57805.1</v>
      </c>
      <c r="AX1" s="1">
        <v>7747.1</v>
      </c>
      <c r="AY1">
        <v>9.15</v>
      </c>
      <c r="AZ1">
        <v>0.5</v>
      </c>
      <c r="BA1">
        <v>180.44</v>
      </c>
      <c r="BB1">
        <v>17.64</v>
      </c>
      <c r="BC1">
        <v>4.5999999999999996</v>
      </c>
      <c r="BD1" s="1">
        <v>2134.94</v>
      </c>
      <c r="BE1">
        <v>8.94</v>
      </c>
      <c r="BF1" s="1">
        <v>37806.9</v>
      </c>
      <c r="BG1">
        <v>402.4</v>
      </c>
      <c r="BH1">
        <v>5.51</v>
      </c>
      <c r="BI1">
        <v>0.15</v>
      </c>
      <c r="BJ1">
        <v>104.88</v>
      </c>
      <c r="BK1">
        <v>16.22</v>
      </c>
      <c r="BL1">
        <v>4.5</v>
      </c>
      <c r="BM1" s="1">
        <v>5031.66</v>
      </c>
      <c r="BN1">
        <v>365.04</v>
      </c>
      <c r="BO1" s="1">
        <v>50935.3</v>
      </c>
      <c r="BP1" s="1">
        <v>3140.6</v>
      </c>
      <c r="BQ1">
        <v>8.5399999999999991</v>
      </c>
      <c r="BR1">
        <v>0.55000000000000004</v>
      </c>
      <c r="BS1">
        <v>256.10000000000002</v>
      </c>
      <c r="BT1">
        <v>18.8</v>
      </c>
      <c r="BU1">
        <v>4.5999999999999996</v>
      </c>
      <c r="BV1" s="1">
        <v>3367.45</v>
      </c>
      <c r="BW1">
        <v>220.32</v>
      </c>
      <c r="BX1" s="1">
        <v>35602.1</v>
      </c>
      <c r="BY1" s="1">
        <v>2086.1999999999998</v>
      </c>
      <c r="BZ1">
        <v>7.07</v>
      </c>
      <c r="CA1">
        <v>-0.49</v>
      </c>
      <c r="CB1">
        <v>126.83</v>
      </c>
      <c r="CC1">
        <v>19.86</v>
      </c>
      <c r="CD1">
        <v>2.2999999999999998</v>
      </c>
      <c r="CE1" s="1">
        <v>6519.45</v>
      </c>
      <c r="CF1">
        <v>127.64</v>
      </c>
      <c r="CG1" s="1">
        <v>46176.800000000003</v>
      </c>
      <c r="CH1" s="1">
        <v>8846.2000000000007</v>
      </c>
      <c r="CI1">
        <v>12.54</v>
      </c>
      <c r="CJ1">
        <v>1.24</v>
      </c>
      <c r="CK1">
        <v>203.25</v>
      </c>
      <c r="CL1">
        <v>17.420000000000002</v>
      </c>
      <c r="CM1">
        <v>4.9000000000000004</v>
      </c>
      <c r="CN1" s="1">
        <v>4876.37</v>
      </c>
      <c r="CO1">
        <v>105.69</v>
      </c>
      <c r="CP1" s="1">
        <v>42053.2</v>
      </c>
      <c r="CQ1" s="1">
        <v>5673.1</v>
      </c>
      <c r="CR1">
        <v>8.85</v>
      </c>
      <c r="CS1">
        <v>0.31</v>
      </c>
      <c r="CT1">
        <v>119.51</v>
      </c>
      <c r="CU1">
        <v>21.41</v>
      </c>
      <c r="CV1">
        <v>2.8</v>
      </c>
      <c r="CW1" s="1">
        <v>2468.27</v>
      </c>
      <c r="CX1">
        <v>57.72</v>
      </c>
      <c r="CY1" s="1">
        <v>36829.699999999997</v>
      </c>
      <c r="CZ1" s="1">
        <v>2761.8</v>
      </c>
      <c r="DA1">
        <v>5.38</v>
      </c>
      <c r="DB1">
        <v>0.37</v>
      </c>
      <c r="DC1">
        <v>116.26</v>
      </c>
      <c r="DD1">
        <v>16.32</v>
      </c>
      <c r="DE1">
        <v>3.1</v>
      </c>
      <c r="DF1" s="1">
        <v>2533.31</v>
      </c>
      <c r="DG1">
        <v>23.58</v>
      </c>
      <c r="DH1" s="1">
        <v>33612.699999999997</v>
      </c>
      <c r="DI1" s="1">
        <v>1991.8</v>
      </c>
      <c r="DJ1">
        <v>5.43</v>
      </c>
      <c r="DK1">
        <v>-0.65</v>
      </c>
      <c r="DL1">
        <v>142.28</v>
      </c>
      <c r="DM1">
        <v>14.51</v>
      </c>
      <c r="DN1">
        <v>4.2</v>
      </c>
      <c r="DO1" s="1">
        <v>2408.11</v>
      </c>
      <c r="DP1">
        <v>13.82</v>
      </c>
      <c r="DQ1" s="1">
        <v>21412.799999999999</v>
      </c>
      <c r="DR1" s="1">
        <v>1971.5</v>
      </c>
      <c r="DS1">
        <v>8.48</v>
      </c>
      <c r="DT1">
        <v>0.64</v>
      </c>
      <c r="DU1">
        <v>89.43</v>
      </c>
      <c r="DV1">
        <v>19.350000000000001</v>
      </c>
      <c r="DW1">
        <v>4.3</v>
      </c>
      <c r="DX1" s="1">
        <v>2337.38</v>
      </c>
      <c r="DY1">
        <v>13.82</v>
      </c>
      <c r="DZ1" s="1">
        <v>20416.900000000001</v>
      </c>
      <c r="EA1" s="1">
        <v>1737.4</v>
      </c>
      <c r="EB1">
        <v>7.8</v>
      </c>
      <c r="EC1">
        <v>1.01</v>
      </c>
      <c r="ED1">
        <v>84.55</v>
      </c>
      <c r="EE1">
        <v>20.02</v>
      </c>
      <c r="EF1">
        <v>4.2</v>
      </c>
      <c r="EG1" s="1">
        <v>4586.95</v>
      </c>
      <c r="EH1">
        <v>86.99</v>
      </c>
      <c r="EI1" s="1">
        <v>36272</v>
      </c>
      <c r="EJ1" s="1">
        <v>10694.2</v>
      </c>
      <c r="EK1">
        <v>10.34</v>
      </c>
      <c r="EL1">
        <v>0.11</v>
      </c>
      <c r="EM1">
        <v>119.51</v>
      </c>
      <c r="EN1">
        <v>15.26</v>
      </c>
      <c r="EO1">
        <v>5.5</v>
      </c>
      <c r="EP1" s="1">
        <v>2729.24</v>
      </c>
      <c r="EQ1">
        <v>165.85</v>
      </c>
      <c r="ER1" s="1">
        <v>23093.3</v>
      </c>
      <c r="ES1" s="1">
        <v>8618.6</v>
      </c>
      <c r="ET1">
        <v>5.15</v>
      </c>
      <c r="EU1">
        <v>0.04</v>
      </c>
      <c r="EV1">
        <v>80.489999999999995</v>
      </c>
      <c r="EW1">
        <v>15.87</v>
      </c>
      <c r="EX1">
        <v>3.6</v>
      </c>
      <c r="EY1" s="1">
        <v>3289.4</v>
      </c>
      <c r="EZ1">
        <v>116.26</v>
      </c>
      <c r="FA1" s="1">
        <v>26878.6</v>
      </c>
      <c r="FB1" s="1">
        <v>7747.9</v>
      </c>
      <c r="FC1">
        <v>6.64</v>
      </c>
      <c r="FD1">
        <v>0.68</v>
      </c>
      <c r="FE1">
        <v>136.58000000000001</v>
      </c>
      <c r="FF1">
        <v>7.81</v>
      </c>
      <c r="FG1">
        <v>3.4</v>
      </c>
      <c r="FH1" s="1">
        <v>2800.78</v>
      </c>
      <c r="FI1">
        <v>42.28</v>
      </c>
      <c r="FJ1" s="1">
        <v>39572</v>
      </c>
      <c r="FK1" s="1">
        <v>4565.8</v>
      </c>
      <c r="FL1">
        <v>5.45</v>
      </c>
      <c r="FM1">
        <v>0.66</v>
      </c>
      <c r="FN1">
        <v>78.86</v>
      </c>
      <c r="FO1">
        <v>16</v>
      </c>
      <c r="FP1">
        <v>4.2</v>
      </c>
      <c r="FQ1" s="1">
        <v>3264.2</v>
      </c>
      <c r="FR1">
        <v>52.84</v>
      </c>
      <c r="FS1" s="1">
        <v>51866.1</v>
      </c>
      <c r="FT1" s="1">
        <v>6022.7</v>
      </c>
      <c r="FU1">
        <v>6.31</v>
      </c>
      <c r="FV1">
        <v>-0.1</v>
      </c>
      <c r="FW1">
        <v>136.58000000000001</v>
      </c>
      <c r="FX1">
        <v>17.440000000000001</v>
      </c>
      <c r="FY1">
        <v>3.6</v>
      </c>
      <c r="FZ1" s="1">
        <v>3453.62</v>
      </c>
      <c r="GA1">
        <v>165.04</v>
      </c>
      <c r="GB1" s="1">
        <v>58749.8</v>
      </c>
      <c r="GC1" s="1">
        <v>3721.1</v>
      </c>
      <c r="GD1">
        <v>6.35</v>
      </c>
      <c r="GE1">
        <v>-0.03</v>
      </c>
      <c r="GF1">
        <v>138.21</v>
      </c>
      <c r="GG1">
        <v>17.98</v>
      </c>
      <c r="GH1">
        <v>3.1</v>
      </c>
      <c r="GI1" s="1">
        <v>1741.45</v>
      </c>
      <c r="GJ1">
        <v>10.57</v>
      </c>
      <c r="GK1" s="1">
        <v>23990.799999999999</v>
      </c>
      <c r="GL1">
        <v>861</v>
      </c>
      <c r="GM1">
        <v>7.37</v>
      </c>
      <c r="GN1">
        <v>-1.63</v>
      </c>
      <c r="GO1">
        <v>75.61</v>
      </c>
      <c r="GP1">
        <v>20.99</v>
      </c>
      <c r="GQ1">
        <v>1.6</v>
      </c>
      <c r="GR1" s="1">
        <v>2035.75</v>
      </c>
      <c r="GS1">
        <v>13.82</v>
      </c>
      <c r="GT1" s="1">
        <v>25694.9</v>
      </c>
      <c r="GU1" s="1">
        <v>3571.5</v>
      </c>
      <c r="GV1">
        <v>8.39</v>
      </c>
      <c r="GW1">
        <v>-0.43</v>
      </c>
      <c r="GX1">
        <v>102.44</v>
      </c>
      <c r="GY1">
        <v>21.66</v>
      </c>
      <c r="GZ1">
        <v>3.4</v>
      </c>
      <c r="HA1" s="1">
        <v>1578</v>
      </c>
      <c r="HB1">
        <v>8.1300000000000008</v>
      </c>
      <c r="HC1" s="1">
        <v>23736.3</v>
      </c>
      <c r="HD1" s="1">
        <v>2845.5</v>
      </c>
      <c r="HE1">
        <v>5.15</v>
      </c>
      <c r="HF1">
        <v>0.04</v>
      </c>
      <c r="HG1">
        <v>76.42</v>
      </c>
      <c r="HH1">
        <v>21.46</v>
      </c>
      <c r="HI1">
        <v>2.7</v>
      </c>
      <c r="HJ1" s="1">
        <v>4167.4399999999996</v>
      </c>
      <c r="HK1">
        <v>58.44</v>
      </c>
      <c r="HL1" s="1">
        <v>34314.300000000003</v>
      </c>
      <c r="HM1" s="1">
        <v>5060.1000000000004</v>
      </c>
      <c r="HN1">
        <v>12.88</v>
      </c>
      <c r="HO1">
        <v>0.22</v>
      </c>
      <c r="HP1">
        <v>136.58000000000001</v>
      </c>
      <c r="HQ1">
        <v>24.78</v>
      </c>
      <c r="HR1">
        <v>2.8</v>
      </c>
      <c r="HS1" s="1">
        <v>2799.97</v>
      </c>
      <c r="HT1">
        <v>21.14</v>
      </c>
      <c r="HU1" s="1">
        <v>22809.5</v>
      </c>
      <c r="HV1" s="1">
        <v>3552</v>
      </c>
      <c r="HW1">
        <v>9.14</v>
      </c>
      <c r="HX1">
        <v>-0.74</v>
      </c>
      <c r="HY1">
        <v>88.62</v>
      </c>
      <c r="HZ1">
        <v>24.96</v>
      </c>
      <c r="IA1">
        <v>3.9</v>
      </c>
    </row>
    <row r="2" spans="1:235" x14ac:dyDescent="0.25">
      <c r="A2" cm="1">
        <f t="array" ref="A2">INDEX($1:$1,ROW($A$1),K2)</f>
        <v>3669.88</v>
      </c>
      <c r="B2" cm="1">
        <f t="array" ref="B2">INDEX($1:$1,ROW($A$1),L2)</f>
        <v>43.1</v>
      </c>
      <c r="C2" cm="1">
        <f t="array" ref="C2">INDEX($1:$1,ROW($A$1),M2)</f>
        <v>74065.100000000006</v>
      </c>
      <c r="D2" cm="1">
        <f t="array" ref="D2">INDEX($1:$1,ROW($A$1),N2)</f>
        <v>4582.8999999999996</v>
      </c>
      <c r="E2" cm="1">
        <f t="array" ref="E2">INDEX($1:$1,ROW($A$1),O2)</f>
        <v>2.5099999999999998</v>
      </c>
      <c r="F2" cm="1">
        <f t="array" ref="F2">INDEX($1:$1,ROW($A$1),P2)</f>
        <v>0.34</v>
      </c>
      <c r="G2" cm="1">
        <f t="array" ref="G2">INDEX($1:$1,ROW($A$1),Q2)</f>
        <v>74.86</v>
      </c>
      <c r="H2" cm="1">
        <f t="array" ref="H2">INDEX($1:$1,ROW($A$1),R2)</f>
        <v>15.05</v>
      </c>
      <c r="I2" cm="1">
        <f t="array" ref="I2">INDEX($1:$1,ROW($A$1),S2)</f>
        <v>4.9000000000000004</v>
      </c>
      <c r="K2">
        <v>11</v>
      </c>
      <c r="L2">
        <v>12</v>
      </c>
      <c r="M2">
        <v>13</v>
      </c>
      <c r="N2">
        <v>14</v>
      </c>
      <c r="O2">
        <v>15</v>
      </c>
      <c r="P2">
        <v>16</v>
      </c>
      <c r="Q2">
        <v>17</v>
      </c>
      <c r="R2">
        <v>18</v>
      </c>
      <c r="S2">
        <v>19</v>
      </c>
      <c r="T2">
        <v>20</v>
      </c>
      <c r="U2">
        <v>21</v>
      </c>
      <c r="V2">
        <v>22</v>
      </c>
      <c r="W2">
        <v>23</v>
      </c>
      <c r="X2">
        <v>24</v>
      </c>
      <c r="Y2">
        <v>25</v>
      </c>
      <c r="Z2">
        <v>26</v>
      </c>
      <c r="AA2">
        <v>27</v>
      </c>
      <c r="AB2">
        <v>28</v>
      </c>
      <c r="AC2">
        <v>29</v>
      </c>
      <c r="AD2">
        <v>30</v>
      </c>
      <c r="AE2">
        <v>31</v>
      </c>
      <c r="AF2">
        <v>32</v>
      </c>
      <c r="AG2">
        <v>33</v>
      </c>
      <c r="AH2">
        <v>34</v>
      </c>
      <c r="AI2">
        <v>35</v>
      </c>
      <c r="AJ2">
        <v>36</v>
      </c>
      <c r="AK2">
        <v>37</v>
      </c>
      <c r="AL2">
        <v>38</v>
      </c>
      <c r="AM2">
        <v>39</v>
      </c>
      <c r="AN2">
        <v>40</v>
      </c>
      <c r="AO2">
        <v>41</v>
      </c>
      <c r="AP2">
        <v>42</v>
      </c>
      <c r="AQ2">
        <v>43</v>
      </c>
      <c r="AR2">
        <v>44</v>
      </c>
      <c r="AS2">
        <v>45</v>
      </c>
      <c r="AT2">
        <v>46</v>
      </c>
      <c r="AU2">
        <v>47</v>
      </c>
      <c r="AV2">
        <v>48</v>
      </c>
      <c r="AW2">
        <v>49</v>
      </c>
      <c r="AX2">
        <v>50</v>
      </c>
      <c r="AY2">
        <v>51</v>
      </c>
      <c r="AZ2">
        <v>52</v>
      </c>
      <c r="BA2">
        <v>53</v>
      </c>
      <c r="BB2">
        <v>54</v>
      </c>
      <c r="BC2">
        <v>55</v>
      </c>
      <c r="BD2">
        <v>56</v>
      </c>
      <c r="BE2">
        <v>57</v>
      </c>
      <c r="BF2">
        <v>58</v>
      </c>
      <c r="BG2">
        <v>59</v>
      </c>
      <c r="BH2">
        <v>60</v>
      </c>
      <c r="BI2">
        <v>61</v>
      </c>
      <c r="BJ2">
        <v>62</v>
      </c>
      <c r="BK2">
        <v>63</v>
      </c>
      <c r="BL2">
        <v>64</v>
      </c>
      <c r="BM2">
        <v>65</v>
      </c>
      <c r="BN2">
        <v>66</v>
      </c>
      <c r="BO2">
        <v>67</v>
      </c>
      <c r="BP2">
        <v>68</v>
      </c>
      <c r="BQ2">
        <v>69</v>
      </c>
      <c r="BR2">
        <v>70</v>
      </c>
      <c r="BS2">
        <v>71</v>
      </c>
      <c r="BT2">
        <v>72</v>
      </c>
      <c r="BU2">
        <v>73</v>
      </c>
      <c r="BV2">
        <v>74</v>
      </c>
      <c r="BW2">
        <v>75</v>
      </c>
      <c r="BX2">
        <v>76</v>
      </c>
      <c r="BY2">
        <v>77</v>
      </c>
      <c r="BZ2">
        <v>78</v>
      </c>
      <c r="CA2">
        <v>79</v>
      </c>
      <c r="CB2">
        <v>80</v>
      </c>
      <c r="CC2">
        <v>81</v>
      </c>
      <c r="CD2">
        <v>82</v>
      </c>
      <c r="CE2">
        <v>83</v>
      </c>
      <c r="CF2">
        <v>84</v>
      </c>
      <c r="CG2">
        <v>85</v>
      </c>
      <c r="CH2">
        <v>86</v>
      </c>
      <c r="CI2">
        <v>87</v>
      </c>
      <c r="CJ2">
        <v>88</v>
      </c>
      <c r="CK2">
        <v>89</v>
      </c>
      <c r="CL2">
        <v>90</v>
      </c>
      <c r="CM2">
        <v>91</v>
      </c>
      <c r="CN2">
        <v>92</v>
      </c>
      <c r="CO2">
        <v>93</v>
      </c>
      <c r="CP2">
        <v>94</v>
      </c>
      <c r="CQ2">
        <v>95</v>
      </c>
      <c r="CR2">
        <v>96</v>
      </c>
      <c r="CS2">
        <v>97</v>
      </c>
      <c r="CT2">
        <v>98</v>
      </c>
      <c r="CU2">
        <v>99</v>
      </c>
      <c r="CV2">
        <v>100</v>
      </c>
      <c r="CW2">
        <v>101</v>
      </c>
      <c r="CX2">
        <v>102</v>
      </c>
      <c r="CY2">
        <v>103</v>
      </c>
      <c r="CZ2">
        <v>104</v>
      </c>
      <c r="DA2">
        <v>105</v>
      </c>
      <c r="DB2">
        <v>106</v>
      </c>
      <c r="DC2">
        <v>107</v>
      </c>
      <c r="DD2">
        <v>108</v>
      </c>
      <c r="DE2">
        <v>109</v>
      </c>
      <c r="DF2">
        <v>110</v>
      </c>
      <c r="DG2">
        <v>111</v>
      </c>
      <c r="DH2">
        <v>112</v>
      </c>
      <c r="DI2">
        <v>113</v>
      </c>
      <c r="DJ2">
        <v>114</v>
      </c>
      <c r="DK2">
        <v>115</v>
      </c>
      <c r="DL2">
        <v>116</v>
      </c>
      <c r="DM2">
        <v>117</v>
      </c>
      <c r="DN2">
        <v>118</v>
      </c>
      <c r="DO2">
        <v>119</v>
      </c>
      <c r="DP2">
        <v>120</v>
      </c>
      <c r="DQ2">
        <v>121</v>
      </c>
      <c r="DR2">
        <v>122</v>
      </c>
      <c r="DS2">
        <v>123</v>
      </c>
      <c r="DT2">
        <v>124</v>
      </c>
      <c r="DU2">
        <v>125</v>
      </c>
      <c r="DV2">
        <v>126</v>
      </c>
      <c r="DW2">
        <v>127</v>
      </c>
      <c r="DX2">
        <v>128</v>
      </c>
      <c r="DY2">
        <v>129</v>
      </c>
      <c r="DZ2">
        <v>130</v>
      </c>
      <c r="EA2">
        <v>131</v>
      </c>
      <c r="EB2">
        <v>132</v>
      </c>
      <c r="EC2">
        <v>133</v>
      </c>
      <c r="ED2">
        <v>134</v>
      </c>
      <c r="EE2">
        <v>135</v>
      </c>
      <c r="EF2">
        <v>136</v>
      </c>
      <c r="EG2">
        <v>137</v>
      </c>
      <c r="EH2">
        <v>138</v>
      </c>
      <c r="EI2">
        <v>139</v>
      </c>
      <c r="EJ2">
        <v>140</v>
      </c>
      <c r="EK2">
        <v>141</v>
      </c>
      <c r="EL2">
        <v>142</v>
      </c>
      <c r="EM2">
        <v>143</v>
      </c>
      <c r="EN2">
        <v>144</v>
      </c>
      <c r="EO2">
        <v>145</v>
      </c>
      <c r="EP2">
        <v>146</v>
      </c>
      <c r="EQ2">
        <v>147</v>
      </c>
      <c r="ER2">
        <v>148</v>
      </c>
      <c r="ES2">
        <v>149</v>
      </c>
      <c r="ET2">
        <v>150</v>
      </c>
      <c r="EU2">
        <v>151</v>
      </c>
      <c r="EV2">
        <v>152</v>
      </c>
      <c r="EW2">
        <v>153</v>
      </c>
      <c r="EX2">
        <v>154</v>
      </c>
      <c r="EY2">
        <v>155</v>
      </c>
      <c r="EZ2">
        <v>156</v>
      </c>
      <c r="FA2">
        <v>157</v>
      </c>
      <c r="FB2">
        <v>158</v>
      </c>
      <c r="FC2">
        <v>159</v>
      </c>
      <c r="FD2">
        <v>160</v>
      </c>
      <c r="FE2">
        <v>161</v>
      </c>
      <c r="FF2">
        <v>162</v>
      </c>
      <c r="FG2">
        <v>163</v>
      </c>
      <c r="FH2">
        <v>164</v>
      </c>
      <c r="FI2">
        <v>165</v>
      </c>
      <c r="FJ2">
        <v>166</v>
      </c>
      <c r="FK2">
        <v>167</v>
      </c>
      <c r="FL2">
        <v>168</v>
      </c>
      <c r="FM2">
        <v>169</v>
      </c>
      <c r="FN2">
        <v>170</v>
      </c>
      <c r="FO2">
        <v>171</v>
      </c>
      <c r="FP2">
        <v>172</v>
      </c>
      <c r="FQ2">
        <v>173</v>
      </c>
      <c r="FR2">
        <v>174</v>
      </c>
      <c r="FS2">
        <v>175</v>
      </c>
      <c r="FT2">
        <v>176</v>
      </c>
      <c r="FU2">
        <v>177</v>
      </c>
      <c r="FV2">
        <v>178</v>
      </c>
      <c r="FW2">
        <v>179</v>
      </c>
      <c r="FX2">
        <v>180</v>
      </c>
      <c r="FY2">
        <v>181</v>
      </c>
      <c r="FZ2">
        <v>182</v>
      </c>
      <c r="GA2">
        <v>183</v>
      </c>
      <c r="GB2">
        <v>184</v>
      </c>
      <c r="GC2">
        <v>185</v>
      </c>
      <c r="GD2">
        <v>186</v>
      </c>
      <c r="GE2">
        <v>187</v>
      </c>
      <c r="GF2">
        <v>188</v>
      </c>
      <c r="GG2">
        <v>189</v>
      </c>
      <c r="GH2">
        <v>190</v>
      </c>
      <c r="GI2">
        <v>191</v>
      </c>
      <c r="GJ2">
        <v>192</v>
      </c>
      <c r="GK2">
        <v>193</v>
      </c>
      <c r="GL2">
        <v>194</v>
      </c>
      <c r="GM2">
        <v>195</v>
      </c>
      <c r="GN2">
        <v>196</v>
      </c>
      <c r="GO2">
        <v>197</v>
      </c>
      <c r="GP2">
        <v>198</v>
      </c>
      <c r="GQ2">
        <v>199</v>
      </c>
      <c r="GR2">
        <v>200</v>
      </c>
      <c r="GS2">
        <v>201</v>
      </c>
      <c r="GT2">
        <v>202</v>
      </c>
      <c r="GU2">
        <v>203</v>
      </c>
      <c r="GV2">
        <v>204</v>
      </c>
      <c r="GW2">
        <v>205</v>
      </c>
      <c r="GX2">
        <v>206</v>
      </c>
      <c r="GY2">
        <v>207</v>
      </c>
      <c r="GZ2">
        <v>208</v>
      </c>
      <c r="HA2">
        <v>209</v>
      </c>
      <c r="HB2">
        <v>210</v>
      </c>
      <c r="HC2">
        <v>211</v>
      </c>
      <c r="HD2">
        <v>212</v>
      </c>
      <c r="HE2">
        <v>213</v>
      </c>
      <c r="HF2">
        <v>214</v>
      </c>
      <c r="HG2">
        <v>215</v>
      </c>
      <c r="HH2">
        <v>216</v>
      </c>
      <c r="HI2">
        <v>217</v>
      </c>
      <c r="HJ2">
        <v>218</v>
      </c>
      <c r="HK2">
        <v>219</v>
      </c>
      <c r="HL2">
        <v>220</v>
      </c>
      <c r="HM2">
        <v>221</v>
      </c>
      <c r="HN2">
        <v>222</v>
      </c>
      <c r="HO2">
        <v>223</v>
      </c>
      <c r="HP2">
        <v>224</v>
      </c>
      <c r="HQ2">
        <v>225</v>
      </c>
      <c r="HR2">
        <v>226</v>
      </c>
      <c r="HS2">
        <v>227</v>
      </c>
      <c r="HT2">
        <v>228</v>
      </c>
      <c r="HU2">
        <v>229</v>
      </c>
      <c r="HV2">
        <v>230</v>
      </c>
      <c r="HW2">
        <v>231</v>
      </c>
      <c r="HX2">
        <v>232</v>
      </c>
      <c r="HY2">
        <v>233</v>
      </c>
      <c r="HZ2">
        <v>234</v>
      </c>
      <c r="IA2">
        <v>235</v>
      </c>
    </row>
    <row r="3" spans="1:235" x14ac:dyDescent="0.25">
      <c r="A3" cm="1">
        <f t="array" ref="A3">INDEX($1:$1,ROW($A$1),K3)</f>
        <v>3473.95</v>
      </c>
      <c r="B3" cm="1">
        <f t="array" ref="B3">INDEX($1:$1,ROW($A$1),L3)</f>
        <v>108.13</v>
      </c>
      <c r="C3" cm="1">
        <f t="array" ref="C3">INDEX($1:$1,ROW($A$1),M3)</f>
        <v>58117.3</v>
      </c>
      <c r="D3" cm="1">
        <f t="array" ref="D3">INDEX($1:$1,ROW($A$1),N3)</f>
        <v>5539.8</v>
      </c>
      <c r="E3" cm="1">
        <f t="array" ref="E3">INDEX($1:$1,ROW($A$1),O3)</f>
        <v>5.51</v>
      </c>
      <c r="F3" cm="1">
        <f t="array" ref="F3">INDEX($1:$1,ROW($A$1),P3)</f>
        <v>0.15</v>
      </c>
      <c r="G3" cm="1">
        <f t="array" ref="G3">INDEX($1:$1,ROW($A$1),Q3)</f>
        <v>107.32</v>
      </c>
      <c r="H3" cm="1">
        <f t="array" ref="H3">INDEX($1:$1,ROW($A$1),R3)</f>
        <v>19.97</v>
      </c>
      <c r="I3" cm="1">
        <f t="array" ref="I3">INDEX($1:$1,ROW($A$1),S3)</f>
        <v>5.0999999999999996</v>
      </c>
      <c r="K3">
        <f t="shared" ref="K3:S3" si="0">K2+9</f>
        <v>20</v>
      </c>
      <c r="L3">
        <f t="shared" si="0"/>
        <v>21</v>
      </c>
      <c r="M3">
        <f t="shared" si="0"/>
        <v>22</v>
      </c>
      <c r="N3">
        <f t="shared" si="0"/>
        <v>23</v>
      </c>
      <c r="O3">
        <f t="shared" si="0"/>
        <v>24</v>
      </c>
      <c r="P3">
        <f t="shared" si="0"/>
        <v>25</v>
      </c>
      <c r="Q3">
        <f t="shared" si="0"/>
        <v>26</v>
      </c>
      <c r="R3">
        <f t="shared" si="0"/>
        <v>27</v>
      </c>
      <c r="S3">
        <f t="shared" si="0"/>
        <v>28</v>
      </c>
    </row>
    <row r="4" spans="1:235" x14ac:dyDescent="0.25">
      <c r="A4" cm="1">
        <f t="array" ref="A4">INDEX($1:$1,ROW($A$1),K4)</f>
        <v>2295.1</v>
      </c>
      <c r="B4" cm="1">
        <f t="array" ref="B4">INDEX($1:$1,ROW($A$1),L4)</f>
        <v>13.82</v>
      </c>
      <c r="C4" cm="1">
        <f t="array" ref="C4">INDEX($1:$1,ROW($A$1),M4)</f>
        <v>21118.5</v>
      </c>
      <c r="D4" cm="1">
        <f t="array" ref="D4">INDEX($1:$1,ROW($A$1),N4)</f>
        <v>2950.4</v>
      </c>
      <c r="E4" cm="1">
        <f t="array" ref="E4">INDEX($1:$1,ROW($A$1),O4)</f>
        <v>10.91</v>
      </c>
      <c r="F4" cm="1">
        <f t="array" ref="F4">INDEX($1:$1,ROW($A$1),P4)</f>
        <v>-0.72</v>
      </c>
      <c r="G4" cm="1">
        <f t="array" ref="G4">INDEX($1:$1,ROW($A$1),Q4)</f>
        <v>96.75</v>
      </c>
      <c r="H4" cm="1">
        <f t="array" ref="H4">INDEX($1:$1,ROW($A$1),R4)</f>
        <v>17.34</v>
      </c>
      <c r="I4" cm="1">
        <f t="array" ref="I4">INDEX($1:$1,ROW($A$1),S4)</f>
        <v>2.9</v>
      </c>
      <c r="K4">
        <f>K3+9</f>
        <v>29</v>
      </c>
      <c r="L4">
        <f>L3+9</f>
        <v>30</v>
      </c>
      <c r="M4">
        <f>M3+9</f>
        <v>31</v>
      </c>
      <c r="N4">
        <f>N3+9</f>
        <v>32</v>
      </c>
      <c r="O4">
        <f t="shared" ref="O4:Q19" si="1">O3+9</f>
        <v>33</v>
      </c>
      <c r="P4">
        <f t="shared" si="1"/>
        <v>34</v>
      </c>
      <c r="Q4">
        <f t="shared" si="1"/>
        <v>35</v>
      </c>
      <c r="R4">
        <f t="shared" ref="R4:R26" si="2">R3+9</f>
        <v>36</v>
      </c>
      <c r="S4">
        <f t="shared" ref="S4:S26" si="3">S3+9</f>
        <v>37</v>
      </c>
    </row>
    <row r="5" spans="1:235" x14ac:dyDescent="0.25">
      <c r="A5" cm="1">
        <f t="array" ref="A5">INDEX($1:$1,ROW($A$1),K5)</f>
        <v>4675.5600000000004</v>
      </c>
      <c r="B5" cm="1">
        <f t="array" ref="B5">INDEX($1:$1,ROW($A$1),L5)</f>
        <v>186.18</v>
      </c>
      <c r="C5" cm="1">
        <f t="array" ref="C5">INDEX($1:$1,ROW($A$1),M5)</f>
        <v>68521.3</v>
      </c>
      <c r="D5" cm="1">
        <f t="array" ref="D5">INDEX($1:$1,ROW($A$1),N5)</f>
        <v>2243.1</v>
      </c>
      <c r="E5" cm="1">
        <f t="array" ref="E5">INDEX($1:$1,ROW($A$1),O5)</f>
        <v>8.27</v>
      </c>
      <c r="F5" cm="1">
        <f t="array" ref="F5">INDEX($1:$1,ROW($A$1),P5)</f>
        <v>0.17</v>
      </c>
      <c r="G5" cm="1">
        <f t="array" ref="G5">INDEX($1:$1,ROW($A$1),Q5)</f>
        <v>195.12</v>
      </c>
      <c r="H5" cm="1">
        <f t="array" ref="H5">INDEX($1:$1,ROW($A$1),R5)</f>
        <v>13.4</v>
      </c>
      <c r="I5" cm="1">
        <f t="array" ref="I5">INDEX($1:$1,ROW($A$1),S5)</f>
        <v>3.4</v>
      </c>
      <c r="K5">
        <f t="shared" ref="K5:K26" si="4">K4+9</f>
        <v>38</v>
      </c>
      <c r="L5">
        <f t="shared" ref="L5:L26" si="5">L4+9</f>
        <v>39</v>
      </c>
      <c r="M5">
        <f t="shared" ref="M5:Q20" si="6">M4+9</f>
        <v>40</v>
      </c>
      <c r="N5">
        <f t="shared" si="6"/>
        <v>41</v>
      </c>
      <c r="O5">
        <f t="shared" si="1"/>
        <v>42</v>
      </c>
      <c r="P5">
        <f t="shared" si="1"/>
        <v>43</v>
      </c>
      <c r="Q5">
        <f t="shared" si="1"/>
        <v>44</v>
      </c>
      <c r="R5">
        <f t="shared" si="2"/>
        <v>45</v>
      </c>
      <c r="S5">
        <f t="shared" si="3"/>
        <v>46</v>
      </c>
    </row>
    <row r="6" spans="1:235" x14ac:dyDescent="0.25">
      <c r="A6" cm="1">
        <f t="array" ref="A6">INDEX($1:$1,ROW($A$1),K6)</f>
        <v>6125.96</v>
      </c>
      <c r="B6" cm="1">
        <f t="array" ref="B6">INDEX($1:$1,ROW($A$1),L6)</f>
        <v>161.79</v>
      </c>
      <c r="C6" cm="1">
        <f t="array" ref="C6">INDEX($1:$1,ROW($A$1),M6)</f>
        <v>57805.1</v>
      </c>
      <c r="D6" cm="1">
        <f t="array" ref="D6">INDEX($1:$1,ROW($A$1),N6)</f>
        <v>7747.1</v>
      </c>
      <c r="E6" cm="1">
        <f t="array" ref="E6">INDEX($1:$1,ROW($A$1),O6)</f>
        <v>9.15</v>
      </c>
      <c r="F6" cm="1">
        <f t="array" ref="F6">INDEX($1:$1,ROW($A$1),P6)</f>
        <v>0.5</v>
      </c>
      <c r="G6" cm="1">
        <f t="array" ref="G6">INDEX($1:$1,ROW($A$1),Q6)</f>
        <v>180.44</v>
      </c>
      <c r="H6" cm="1">
        <f t="array" ref="H6">INDEX($1:$1,ROW($A$1),R6)</f>
        <v>17.64</v>
      </c>
      <c r="I6" cm="1">
        <f t="array" ref="I6">INDEX($1:$1,ROW($A$1),S6)</f>
        <v>4.5999999999999996</v>
      </c>
      <c r="K6">
        <f t="shared" si="4"/>
        <v>47</v>
      </c>
      <c r="L6">
        <f t="shared" si="5"/>
        <v>48</v>
      </c>
      <c r="M6">
        <f t="shared" si="6"/>
        <v>49</v>
      </c>
      <c r="N6">
        <f t="shared" si="6"/>
        <v>50</v>
      </c>
      <c r="O6">
        <f t="shared" si="1"/>
        <v>51</v>
      </c>
      <c r="P6">
        <f t="shared" si="1"/>
        <v>52</v>
      </c>
      <c r="Q6">
        <f t="shared" si="1"/>
        <v>53</v>
      </c>
      <c r="R6">
        <f t="shared" si="2"/>
        <v>54</v>
      </c>
      <c r="S6">
        <f t="shared" si="3"/>
        <v>55</v>
      </c>
    </row>
    <row r="7" spans="1:235" x14ac:dyDescent="0.25">
      <c r="A7" cm="1">
        <f t="array" ref="A7">INDEX($1:$1,ROW($A$1),K7)</f>
        <v>2134.94</v>
      </c>
      <c r="B7" cm="1">
        <f t="array" ref="B7">INDEX($1:$1,ROW($A$1),L7)</f>
        <v>8.94</v>
      </c>
      <c r="C7" cm="1">
        <f t="array" ref="C7">INDEX($1:$1,ROW($A$1),M7)</f>
        <v>37806.9</v>
      </c>
      <c r="D7" cm="1">
        <f t="array" ref="D7">INDEX($1:$1,ROW($A$1),N7)</f>
        <v>402.4</v>
      </c>
      <c r="E7" cm="1">
        <f t="array" ref="E7">INDEX($1:$1,ROW($A$1),O7)</f>
        <v>5.51</v>
      </c>
      <c r="F7" cm="1">
        <f t="array" ref="F7">INDEX($1:$1,ROW($A$1),P7)</f>
        <v>0.15</v>
      </c>
      <c r="G7" cm="1">
        <f t="array" ref="G7">INDEX($1:$1,ROW($A$1),Q7)</f>
        <v>104.88</v>
      </c>
      <c r="H7" cm="1">
        <f t="array" ref="H7">INDEX($1:$1,ROW($A$1),R7)</f>
        <v>16.22</v>
      </c>
      <c r="I7" cm="1">
        <f t="array" ref="I7">INDEX($1:$1,ROW($A$1),S7)</f>
        <v>4.5</v>
      </c>
      <c r="K7">
        <f t="shared" si="4"/>
        <v>56</v>
      </c>
      <c r="L7">
        <f t="shared" si="5"/>
        <v>57</v>
      </c>
      <c r="M7">
        <f t="shared" si="6"/>
        <v>58</v>
      </c>
      <c r="N7">
        <f t="shared" si="6"/>
        <v>59</v>
      </c>
      <c r="O7">
        <f t="shared" si="1"/>
        <v>60</v>
      </c>
      <c r="P7">
        <f t="shared" si="1"/>
        <v>61</v>
      </c>
      <c r="Q7">
        <f t="shared" si="1"/>
        <v>62</v>
      </c>
      <c r="R7">
        <f t="shared" si="2"/>
        <v>63</v>
      </c>
      <c r="S7">
        <f t="shared" si="3"/>
        <v>64</v>
      </c>
    </row>
    <row r="8" spans="1:235" x14ac:dyDescent="0.25">
      <c r="A8" cm="1">
        <f t="array" ref="A8">INDEX($1:$1,ROW($A$1),K8)</f>
        <v>5031.66</v>
      </c>
      <c r="B8" cm="1">
        <f t="array" ref="B8">INDEX($1:$1,ROW($A$1),L8)</f>
        <v>365.04</v>
      </c>
      <c r="C8" cm="1">
        <f t="array" ref="C8">INDEX($1:$1,ROW($A$1),M8)</f>
        <v>50935.3</v>
      </c>
      <c r="D8" cm="1">
        <f t="array" ref="D8">INDEX($1:$1,ROW($A$1),N8)</f>
        <v>3140.6</v>
      </c>
      <c r="E8" cm="1">
        <f t="array" ref="E8">INDEX($1:$1,ROW($A$1),O8)</f>
        <v>8.5399999999999991</v>
      </c>
      <c r="F8" cm="1">
        <f t="array" ref="F8">INDEX($1:$1,ROW($A$1),P8)</f>
        <v>0.55000000000000004</v>
      </c>
      <c r="G8" cm="1">
        <f t="array" ref="G8">INDEX($1:$1,ROW($A$1),Q8)</f>
        <v>256.10000000000002</v>
      </c>
      <c r="H8" cm="1">
        <f t="array" ref="H8">INDEX($1:$1,ROW($A$1),R8)</f>
        <v>18.8</v>
      </c>
      <c r="I8" cm="1">
        <f t="array" ref="I8">INDEX($1:$1,ROW($A$1),S8)</f>
        <v>4.5999999999999996</v>
      </c>
      <c r="K8">
        <f t="shared" si="4"/>
        <v>65</v>
      </c>
      <c r="L8">
        <f t="shared" si="5"/>
        <v>66</v>
      </c>
      <c r="M8">
        <f t="shared" si="6"/>
        <v>67</v>
      </c>
      <c r="N8">
        <f t="shared" si="6"/>
        <v>68</v>
      </c>
      <c r="O8">
        <f t="shared" si="1"/>
        <v>69</v>
      </c>
      <c r="P8">
        <f t="shared" si="1"/>
        <v>70</v>
      </c>
      <c r="Q8">
        <f t="shared" si="1"/>
        <v>71</v>
      </c>
      <c r="R8">
        <f t="shared" si="2"/>
        <v>72</v>
      </c>
      <c r="S8">
        <f t="shared" si="3"/>
        <v>73</v>
      </c>
    </row>
    <row r="9" spans="1:235" x14ac:dyDescent="0.25">
      <c r="A9" cm="1">
        <f t="array" ref="A9">INDEX($1:$1,ROW($A$1),K9)</f>
        <v>3367.45</v>
      </c>
      <c r="B9" cm="1">
        <f t="array" ref="B9">INDEX($1:$1,ROW($A$1),L9)</f>
        <v>220.32</v>
      </c>
      <c r="C9" cm="1">
        <f t="array" ref="C9">INDEX($1:$1,ROW($A$1),M9)</f>
        <v>35602.1</v>
      </c>
      <c r="D9" cm="1">
        <f t="array" ref="D9">INDEX($1:$1,ROW($A$1),N9)</f>
        <v>2086.1999999999998</v>
      </c>
      <c r="E9" cm="1">
        <f t="array" ref="E9">INDEX($1:$1,ROW($A$1),O9)</f>
        <v>7.07</v>
      </c>
      <c r="F9" cm="1">
        <f t="array" ref="F9">INDEX($1:$1,ROW($A$1),P9)</f>
        <v>-0.49</v>
      </c>
      <c r="G9" cm="1">
        <f t="array" ref="G9">INDEX($1:$1,ROW($A$1),Q9)</f>
        <v>126.83</v>
      </c>
      <c r="H9" cm="1">
        <f t="array" ref="H9">INDEX($1:$1,ROW($A$1),R9)</f>
        <v>19.86</v>
      </c>
      <c r="I9" cm="1">
        <f t="array" ref="I9">INDEX($1:$1,ROW($A$1),S9)</f>
        <v>2.2999999999999998</v>
      </c>
      <c r="K9">
        <f t="shared" si="4"/>
        <v>74</v>
      </c>
      <c r="L9">
        <f t="shared" si="5"/>
        <v>75</v>
      </c>
      <c r="M9">
        <f t="shared" si="6"/>
        <v>76</v>
      </c>
      <c r="N9">
        <f t="shared" si="6"/>
        <v>77</v>
      </c>
      <c r="O9">
        <f t="shared" si="1"/>
        <v>78</v>
      </c>
      <c r="P9">
        <f t="shared" si="1"/>
        <v>79</v>
      </c>
      <c r="Q9">
        <f t="shared" si="1"/>
        <v>80</v>
      </c>
      <c r="R9">
        <f t="shared" si="2"/>
        <v>81</v>
      </c>
      <c r="S9">
        <f t="shared" si="3"/>
        <v>82</v>
      </c>
    </row>
    <row r="10" spans="1:235" x14ac:dyDescent="0.25">
      <c r="A10" cm="1">
        <f t="array" ref="A10">INDEX($1:$1,ROW($A$1),K10)</f>
        <v>6519.45</v>
      </c>
      <c r="B10" cm="1">
        <f t="array" ref="B10">INDEX($1:$1,ROW($A$1),L10)</f>
        <v>127.64</v>
      </c>
      <c r="C10" cm="1">
        <f t="array" ref="C10">INDEX($1:$1,ROW($A$1),M10)</f>
        <v>46176.800000000003</v>
      </c>
      <c r="D10" cm="1">
        <f t="array" ref="D10">INDEX($1:$1,ROW($A$1),N10)</f>
        <v>8846.2000000000007</v>
      </c>
      <c r="E10" cm="1">
        <f t="array" ref="E10">INDEX($1:$1,ROW($A$1),O10)</f>
        <v>12.54</v>
      </c>
      <c r="F10" cm="1">
        <f t="array" ref="F10">INDEX($1:$1,ROW($A$1),P10)</f>
        <v>1.24</v>
      </c>
      <c r="G10" cm="1">
        <f t="array" ref="G10">INDEX($1:$1,ROW($A$1),Q10)</f>
        <v>203.25</v>
      </c>
      <c r="H10" cm="1">
        <f t="array" ref="H10">INDEX($1:$1,ROW($A$1),R10)</f>
        <v>17.420000000000002</v>
      </c>
      <c r="I10" cm="1">
        <f t="array" ref="I10">INDEX($1:$1,ROW($A$1),S10)</f>
        <v>4.9000000000000004</v>
      </c>
      <c r="K10">
        <f t="shared" si="4"/>
        <v>83</v>
      </c>
      <c r="L10">
        <f t="shared" si="5"/>
        <v>84</v>
      </c>
      <c r="M10">
        <f t="shared" si="6"/>
        <v>85</v>
      </c>
      <c r="N10">
        <f t="shared" si="6"/>
        <v>86</v>
      </c>
      <c r="O10">
        <f t="shared" si="1"/>
        <v>87</v>
      </c>
      <c r="P10">
        <f t="shared" si="1"/>
        <v>88</v>
      </c>
      <c r="Q10">
        <f t="shared" si="1"/>
        <v>89</v>
      </c>
      <c r="R10">
        <f t="shared" si="2"/>
        <v>90</v>
      </c>
      <c r="S10">
        <f t="shared" si="3"/>
        <v>91</v>
      </c>
    </row>
    <row r="11" spans="1:235" x14ac:dyDescent="0.25">
      <c r="A11" cm="1">
        <f t="array" ref="A11">INDEX($1:$1,ROW($A$1),K11)</f>
        <v>4876.37</v>
      </c>
      <c r="B11" cm="1">
        <f t="array" ref="B11">INDEX($1:$1,ROW($A$1),L11)</f>
        <v>105.69</v>
      </c>
      <c r="C11" cm="1">
        <f t="array" ref="C11">INDEX($1:$1,ROW($A$1),M11)</f>
        <v>42053.2</v>
      </c>
      <c r="D11" cm="1">
        <f t="array" ref="D11">INDEX($1:$1,ROW($A$1),N11)</f>
        <v>5673.1</v>
      </c>
      <c r="E11" cm="1">
        <f t="array" ref="E11">INDEX($1:$1,ROW($A$1),O11)</f>
        <v>8.85</v>
      </c>
      <c r="F11" cm="1">
        <f t="array" ref="F11">INDEX($1:$1,ROW($A$1),P11)</f>
        <v>0.31</v>
      </c>
      <c r="G11" cm="1">
        <f t="array" ref="G11">INDEX($1:$1,ROW($A$1),Q11)</f>
        <v>119.51</v>
      </c>
      <c r="H11" cm="1">
        <f t="array" ref="H11">INDEX($1:$1,ROW($A$1),R11)</f>
        <v>21.41</v>
      </c>
      <c r="I11" cm="1">
        <f t="array" ref="I11">INDEX($1:$1,ROW($A$1),S11)</f>
        <v>2.8</v>
      </c>
      <c r="K11">
        <f t="shared" si="4"/>
        <v>92</v>
      </c>
      <c r="L11">
        <f t="shared" si="5"/>
        <v>93</v>
      </c>
      <c r="M11">
        <f t="shared" si="6"/>
        <v>94</v>
      </c>
      <c r="N11">
        <f t="shared" si="6"/>
        <v>95</v>
      </c>
      <c r="O11">
        <f t="shared" si="1"/>
        <v>96</v>
      </c>
      <c r="P11">
        <f t="shared" si="1"/>
        <v>97</v>
      </c>
      <c r="Q11">
        <f t="shared" si="1"/>
        <v>98</v>
      </c>
      <c r="R11">
        <f t="shared" si="2"/>
        <v>99</v>
      </c>
      <c r="S11">
        <f t="shared" si="3"/>
        <v>100</v>
      </c>
    </row>
    <row r="12" spans="1:235" x14ac:dyDescent="0.25">
      <c r="A12" cm="1">
        <f t="array" ref="A12">INDEX($1:$1,ROW($A$1),K12)</f>
        <v>2468.27</v>
      </c>
      <c r="B12" cm="1">
        <f t="array" ref="B12">INDEX($1:$1,ROW($A$1),L12)</f>
        <v>57.72</v>
      </c>
      <c r="C12" cm="1">
        <f t="array" ref="C12">INDEX($1:$1,ROW($A$1),M12)</f>
        <v>36829.699999999997</v>
      </c>
      <c r="D12" cm="1">
        <f t="array" ref="D12">INDEX($1:$1,ROW($A$1),N12)</f>
        <v>2761.8</v>
      </c>
      <c r="E12" cm="1">
        <f t="array" ref="E12">INDEX($1:$1,ROW($A$1),O12)</f>
        <v>5.38</v>
      </c>
      <c r="F12" cm="1">
        <f t="array" ref="F12">INDEX($1:$1,ROW($A$1),P12)</f>
        <v>0.37</v>
      </c>
      <c r="G12" cm="1">
        <f t="array" ref="G12">INDEX($1:$1,ROW($A$1),Q12)</f>
        <v>116.26</v>
      </c>
      <c r="H12" cm="1">
        <f t="array" ref="H12">INDEX($1:$1,ROW($A$1),R12)</f>
        <v>16.32</v>
      </c>
      <c r="I12" cm="1">
        <f t="array" ref="I12">INDEX($1:$1,ROW($A$1),S12)</f>
        <v>3.1</v>
      </c>
      <c r="K12">
        <f t="shared" si="4"/>
        <v>101</v>
      </c>
      <c r="L12">
        <f t="shared" si="5"/>
        <v>102</v>
      </c>
      <c r="M12">
        <f t="shared" si="6"/>
        <v>103</v>
      </c>
      <c r="N12">
        <f t="shared" si="6"/>
        <v>104</v>
      </c>
      <c r="O12">
        <f t="shared" si="1"/>
        <v>105</v>
      </c>
      <c r="P12">
        <f t="shared" si="1"/>
        <v>106</v>
      </c>
      <c r="Q12">
        <f t="shared" si="1"/>
        <v>107</v>
      </c>
      <c r="R12">
        <f t="shared" si="2"/>
        <v>108</v>
      </c>
      <c r="S12">
        <f t="shared" si="3"/>
        <v>109</v>
      </c>
    </row>
    <row r="13" spans="1:235" x14ac:dyDescent="0.25">
      <c r="A13" cm="1">
        <f t="array" ref="A13">INDEX($1:$1,ROW($A$1),K13)</f>
        <v>2533.31</v>
      </c>
      <c r="B13" cm="1">
        <f t="array" ref="B13">INDEX($1:$1,ROW($A$1),L13)</f>
        <v>23.58</v>
      </c>
      <c r="C13" cm="1">
        <f t="array" ref="C13">INDEX($1:$1,ROW($A$1),M13)</f>
        <v>33612.699999999997</v>
      </c>
      <c r="D13" cm="1">
        <f t="array" ref="D13">INDEX($1:$1,ROW($A$1),N13)</f>
        <v>1991.8</v>
      </c>
      <c r="E13" cm="1">
        <f t="array" ref="E13">INDEX($1:$1,ROW($A$1),O13)</f>
        <v>5.43</v>
      </c>
      <c r="F13" cm="1">
        <f t="array" ref="F13">INDEX($1:$1,ROW($A$1),P13)</f>
        <v>-0.65</v>
      </c>
      <c r="G13" cm="1">
        <f t="array" ref="G13">INDEX($1:$1,ROW($A$1),Q13)</f>
        <v>142.28</v>
      </c>
      <c r="H13" cm="1">
        <f t="array" ref="H13">INDEX($1:$1,ROW($A$1),R13)</f>
        <v>14.51</v>
      </c>
      <c r="I13" cm="1">
        <f t="array" ref="I13">INDEX($1:$1,ROW($A$1),S13)</f>
        <v>4.2</v>
      </c>
      <c r="K13">
        <f t="shared" si="4"/>
        <v>110</v>
      </c>
      <c r="L13">
        <f t="shared" si="5"/>
        <v>111</v>
      </c>
      <c r="M13">
        <f t="shared" si="6"/>
        <v>112</v>
      </c>
      <c r="N13">
        <f t="shared" si="6"/>
        <v>113</v>
      </c>
      <c r="O13">
        <f t="shared" si="1"/>
        <v>114</v>
      </c>
      <c r="P13">
        <f t="shared" si="1"/>
        <v>115</v>
      </c>
      <c r="Q13">
        <f t="shared" si="1"/>
        <v>116</v>
      </c>
      <c r="R13">
        <f t="shared" si="2"/>
        <v>117</v>
      </c>
      <c r="S13">
        <f t="shared" si="3"/>
        <v>118</v>
      </c>
    </row>
    <row r="14" spans="1:235" x14ac:dyDescent="0.25">
      <c r="A14" cm="1">
        <f t="array" ref="A14">INDEX($1:$1,ROW($A$1),K14)</f>
        <v>2408.11</v>
      </c>
      <c r="B14" cm="1">
        <f t="array" ref="B14">INDEX($1:$1,ROW($A$1),L14)</f>
        <v>13.82</v>
      </c>
      <c r="C14" cm="1">
        <f t="array" ref="C14">INDEX($1:$1,ROW($A$1),M14)</f>
        <v>21412.799999999999</v>
      </c>
      <c r="D14" cm="1">
        <f t="array" ref="D14">INDEX($1:$1,ROW($A$1),N14)</f>
        <v>1971.5</v>
      </c>
      <c r="E14" cm="1">
        <f t="array" ref="E14">INDEX($1:$1,ROW($A$1),O14)</f>
        <v>8.48</v>
      </c>
      <c r="F14" cm="1">
        <f t="array" ref="F14">INDEX($1:$1,ROW($A$1),P14)</f>
        <v>0.64</v>
      </c>
      <c r="G14" cm="1">
        <f t="array" ref="G14">INDEX($1:$1,ROW($A$1),Q14)</f>
        <v>89.43</v>
      </c>
      <c r="H14" cm="1">
        <f t="array" ref="H14">INDEX($1:$1,ROW($A$1),R14)</f>
        <v>19.350000000000001</v>
      </c>
      <c r="I14" cm="1">
        <f t="array" ref="I14">INDEX($1:$1,ROW($A$1),S14)</f>
        <v>4.3</v>
      </c>
      <c r="K14">
        <f t="shared" si="4"/>
        <v>119</v>
      </c>
      <c r="L14">
        <f t="shared" si="5"/>
        <v>120</v>
      </c>
      <c r="M14">
        <f t="shared" si="6"/>
        <v>121</v>
      </c>
      <c r="N14">
        <f t="shared" si="6"/>
        <v>122</v>
      </c>
      <c r="O14">
        <f t="shared" si="1"/>
        <v>123</v>
      </c>
      <c r="P14">
        <f t="shared" si="1"/>
        <v>124</v>
      </c>
      <c r="Q14">
        <f t="shared" si="1"/>
        <v>125</v>
      </c>
      <c r="R14">
        <f t="shared" si="2"/>
        <v>126</v>
      </c>
      <c r="S14">
        <f t="shared" si="3"/>
        <v>127</v>
      </c>
    </row>
    <row r="15" spans="1:235" x14ac:dyDescent="0.25">
      <c r="A15" cm="1">
        <f t="array" ref="A15">INDEX($1:$1,ROW($A$1),K15)</f>
        <v>2337.38</v>
      </c>
      <c r="B15" cm="1">
        <f t="array" ref="B15">INDEX($1:$1,ROW($A$1),L15)</f>
        <v>13.82</v>
      </c>
      <c r="C15" cm="1">
        <f t="array" ref="C15">INDEX($1:$1,ROW($A$1),M15)</f>
        <v>20416.900000000001</v>
      </c>
      <c r="D15" cm="1">
        <f t="array" ref="D15">INDEX($1:$1,ROW($A$1),N15)</f>
        <v>1737.4</v>
      </c>
      <c r="E15" cm="1">
        <f t="array" ref="E15">INDEX($1:$1,ROW($A$1),O15)</f>
        <v>7.8</v>
      </c>
      <c r="F15" cm="1">
        <f t="array" ref="F15">INDEX($1:$1,ROW($A$1),P15)</f>
        <v>1.01</v>
      </c>
      <c r="G15" cm="1">
        <f t="array" ref="G15">INDEX($1:$1,ROW($A$1),Q15)</f>
        <v>84.55</v>
      </c>
      <c r="H15" cm="1">
        <f t="array" ref="H15">INDEX($1:$1,ROW($A$1),R15)</f>
        <v>20.02</v>
      </c>
      <c r="I15" cm="1">
        <f t="array" ref="I15">INDEX($1:$1,ROW($A$1),S15)</f>
        <v>4.2</v>
      </c>
      <c r="K15">
        <f t="shared" si="4"/>
        <v>128</v>
      </c>
      <c r="L15">
        <f t="shared" si="5"/>
        <v>129</v>
      </c>
      <c r="M15">
        <f t="shared" si="6"/>
        <v>130</v>
      </c>
      <c r="N15">
        <f t="shared" si="6"/>
        <v>131</v>
      </c>
      <c r="O15">
        <f t="shared" si="1"/>
        <v>132</v>
      </c>
      <c r="P15">
        <f t="shared" si="1"/>
        <v>133</v>
      </c>
      <c r="Q15">
        <f t="shared" si="1"/>
        <v>134</v>
      </c>
      <c r="R15">
        <f t="shared" si="2"/>
        <v>135</v>
      </c>
      <c r="S15">
        <f t="shared" si="3"/>
        <v>136</v>
      </c>
    </row>
    <row r="16" spans="1:235" x14ac:dyDescent="0.25">
      <c r="A16" cm="1">
        <f t="array" ref="A16">INDEX($1:$1,ROW($A$1),K16)</f>
        <v>4586.95</v>
      </c>
      <c r="B16" cm="1">
        <f t="array" ref="B16">INDEX($1:$1,ROW($A$1),L16)</f>
        <v>86.99</v>
      </c>
      <c r="C16" cm="1">
        <f t="array" ref="C16">INDEX($1:$1,ROW($A$1),M16)</f>
        <v>36272</v>
      </c>
      <c r="D16" cm="1">
        <f t="array" ref="D16">INDEX($1:$1,ROW($A$1),N16)</f>
        <v>10694.2</v>
      </c>
      <c r="E16" cm="1">
        <f t="array" ref="E16">INDEX($1:$1,ROW($A$1),O16)</f>
        <v>10.34</v>
      </c>
      <c r="F16" cm="1">
        <f t="array" ref="F16">INDEX($1:$1,ROW($A$1),P16)</f>
        <v>0.11</v>
      </c>
      <c r="G16" cm="1">
        <f t="array" ref="G16">INDEX($1:$1,ROW($A$1),Q16)</f>
        <v>119.51</v>
      </c>
      <c r="H16" cm="1">
        <f t="array" ref="H16">INDEX($1:$1,ROW($A$1),R16)</f>
        <v>15.26</v>
      </c>
      <c r="I16" cm="1">
        <f t="array" ref="I16">INDEX($1:$1,ROW($A$1),S16)</f>
        <v>5.5</v>
      </c>
      <c r="K16">
        <f t="shared" si="4"/>
        <v>137</v>
      </c>
      <c r="L16">
        <f t="shared" si="5"/>
        <v>138</v>
      </c>
      <c r="M16">
        <f t="shared" si="6"/>
        <v>139</v>
      </c>
      <c r="N16">
        <f t="shared" si="6"/>
        <v>140</v>
      </c>
      <c r="O16">
        <f t="shared" si="1"/>
        <v>141</v>
      </c>
      <c r="P16">
        <f t="shared" si="1"/>
        <v>142</v>
      </c>
      <c r="Q16">
        <f t="shared" si="1"/>
        <v>143</v>
      </c>
      <c r="R16">
        <f t="shared" si="2"/>
        <v>144</v>
      </c>
      <c r="S16">
        <f t="shared" si="3"/>
        <v>145</v>
      </c>
    </row>
    <row r="17" spans="1:19" x14ac:dyDescent="0.25">
      <c r="A17" cm="1">
        <f t="array" ref="A17">INDEX($1:$1,ROW($A$1),K17)</f>
        <v>2729.24</v>
      </c>
      <c r="B17" cm="1">
        <f t="array" ref="B17">INDEX($1:$1,ROW($A$1),L17)</f>
        <v>165.85</v>
      </c>
      <c r="C17" cm="1">
        <f t="array" ref="C17">INDEX($1:$1,ROW($A$1),M17)</f>
        <v>23093.3</v>
      </c>
      <c r="D17" cm="1">
        <f t="array" ref="D17">INDEX($1:$1,ROW($A$1),N17)</f>
        <v>8618.6</v>
      </c>
      <c r="E17" cm="1">
        <f t="array" ref="E17">INDEX($1:$1,ROW($A$1),O17)</f>
        <v>5.15</v>
      </c>
      <c r="F17" cm="1">
        <f t="array" ref="F17">INDEX($1:$1,ROW($A$1),P17)</f>
        <v>0.04</v>
      </c>
      <c r="G17" cm="1">
        <f t="array" ref="G17">INDEX($1:$1,ROW($A$1),Q17)</f>
        <v>80.489999999999995</v>
      </c>
      <c r="H17" cm="1">
        <f t="array" ref="H17">INDEX($1:$1,ROW($A$1),R17)</f>
        <v>15.87</v>
      </c>
      <c r="I17" cm="1">
        <f t="array" ref="I17">INDEX($1:$1,ROW($A$1),S17)</f>
        <v>3.6</v>
      </c>
      <c r="K17">
        <f t="shared" si="4"/>
        <v>146</v>
      </c>
      <c r="L17">
        <f t="shared" si="5"/>
        <v>147</v>
      </c>
      <c r="M17">
        <f t="shared" si="6"/>
        <v>148</v>
      </c>
      <c r="N17">
        <f t="shared" si="6"/>
        <v>149</v>
      </c>
      <c r="O17">
        <f t="shared" si="1"/>
        <v>150</v>
      </c>
      <c r="P17">
        <f t="shared" si="1"/>
        <v>151</v>
      </c>
      <c r="Q17">
        <f t="shared" si="1"/>
        <v>152</v>
      </c>
      <c r="R17">
        <f t="shared" si="2"/>
        <v>153</v>
      </c>
      <c r="S17">
        <f t="shared" si="3"/>
        <v>154</v>
      </c>
    </row>
    <row r="18" spans="1:19" x14ac:dyDescent="0.25">
      <c r="A18" cm="1">
        <f t="array" ref="A18">INDEX($1:$1,ROW($A$1),K18)</f>
        <v>3289.4</v>
      </c>
      <c r="B18" cm="1">
        <f t="array" ref="B18">INDEX($1:$1,ROW($A$1),L18)</f>
        <v>116.26</v>
      </c>
      <c r="C18" cm="1">
        <f t="array" ref="C18">INDEX($1:$1,ROW($A$1),M18)</f>
        <v>26878.6</v>
      </c>
      <c r="D18" cm="1">
        <f t="array" ref="D18">INDEX($1:$1,ROW($A$1),N18)</f>
        <v>7747.9</v>
      </c>
      <c r="E18" cm="1">
        <f t="array" ref="E18">INDEX($1:$1,ROW($A$1),O18)</f>
        <v>6.64</v>
      </c>
      <c r="F18" cm="1">
        <f t="array" ref="F18">INDEX($1:$1,ROW($A$1),P18)</f>
        <v>0.68</v>
      </c>
      <c r="G18" cm="1">
        <f t="array" ref="G18">INDEX($1:$1,ROW($A$1),Q18)</f>
        <v>136.58000000000001</v>
      </c>
      <c r="H18" cm="1">
        <f t="array" ref="H18">INDEX($1:$1,ROW($A$1),R18)</f>
        <v>7.81</v>
      </c>
      <c r="I18" cm="1">
        <f t="array" ref="I18">INDEX($1:$1,ROW($A$1),S18)</f>
        <v>3.4</v>
      </c>
      <c r="K18">
        <f t="shared" si="4"/>
        <v>155</v>
      </c>
      <c r="L18">
        <f t="shared" si="5"/>
        <v>156</v>
      </c>
      <c r="M18">
        <f t="shared" si="6"/>
        <v>157</v>
      </c>
      <c r="N18">
        <f t="shared" si="6"/>
        <v>158</v>
      </c>
      <c r="O18">
        <f t="shared" si="1"/>
        <v>159</v>
      </c>
      <c r="P18">
        <f t="shared" si="1"/>
        <v>160</v>
      </c>
      <c r="Q18">
        <f t="shared" si="1"/>
        <v>161</v>
      </c>
      <c r="R18">
        <f t="shared" si="2"/>
        <v>162</v>
      </c>
      <c r="S18">
        <f t="shared" si="3"/>
        <v>163</v>
      </c>
    </row>
    <row r="19" spans="1:19" x14ac:dyDescent="0.25">
      <c r="A19" cm="1">
        <f t="array" ref="A19">INDEX($1:$1,ROW($A$1),K19)</f>
        <v>2800.78</v>
      </c>
      <c r="B19" cm="1">
        <f t="array" ref="B19">INDEX($1:$1,ROW($A$1),L19)</f>
        <v>42.28</v>
      </c>
      <c r="C19" cm="1">
        <f t="array" ref="C19">INDEX($1:$1,ROW($A$1),M19)</f>
        <v>39572</v>
      </c>
      <c r="D19" cm="1">
        <f t="array" ref="D19">INDEX($1:$1,ROW($A$1),N19)</f>
        <v>4565.8</v>
      </c>
      <c r="E19" cm="1">
        <f t="array" ref="E19">INDEX($1:$1,ROW($A$1),O19)</f>
        <v>5.45</v>
      </c>
      <c r="F19" cm="1">
        <f t="array" ref="F19">INDEX($1:$1,ROW($A$1),P19)</f>
        <v>0.66</v>
      </c>
      <c r="G19" cm="1">
        <f t="array" ref="G19">INDEX($1:$1,ROW($A$1),Q19)</f>
        <v>78.86</v>
      </c>
      <c r="H19" cm="1">
        <f t="array" ref="H19">INDEX($1:$1,ROW($A$1),R19)</f>
        <v>16</v>
      </c>
      <c r="I19" cm="1">
        <f t="array" ref="I19">INDEX($1:$1,ROW($A$1),S19)</f>
        <v>4.2</v>
      </c>
      <c r="K19">
        <f t="shared" si="4"/>
        <v>164</v>
      </c>
      <c r="L19">
        <f t="shared" si="5"/>
        <v>165</v>
      </c>
      <c r="M19">
        <f t="shared" si="6"/>
        <v>166</v>
      </c>
      <c r="N19">
        <f t="shared" si="6"/>
        <v>167</v>
      </c>
      <c r="O19">
        <f t="shared" si="1"/>
        <v>168</v>
      </c>
      <c r="P19">
        <f t="shared" si="1"/>
        <v>169</v>
      </c>
      <c r="Q19">
        <f t="shared" si="1"/>
        <v>170</v>
      </c>
      <c r="R19">
        <f t="shared" si="2"/>
        <v>171</v>
      </c>
      <c r="S19">
        <f t="shared" si="3"/>
        <v>172</v>
      </c>
    </row>
    <row r="20" spans="1:19" x14ac:dyDescent="0.25">
      <c r="A20" cm="1">
        <f t="array" ref="A20">INDEX($1:$1,ROW($A$1),K20)</f>
        <v>3264.2</v>
      </c>
      <c r="B20" cm="1">
        <f t="array" ref="B20">INDEX($1:$1,ROW($A$1),L20)</f>
        <v>52.84</v>
      </c>
      <c r="C20" cm="1">
        <f t="array" ref="C20">INDEX($1:$1,ROW($A$1),M20)</f>
        <v>51866.1</v>
      </c>
      <c r="D20" cm="1">
        <f t="array" ref="D20">INDEX($1:$1,ROW($A$1),N20)</f>
        <v>6022.7</v>
      </c>
      <c r="E20" cm="1">
        <f t="array" ref="E20">INDEX($1:$1,ROW($A$1),O20)</f>
        <v>6.31</v>
      </c>
      <c r="F20" cm="1">
        <f t="array" ref="F20">INDEX($1:$1,ROW($A$1),P20)</f>
        <v>-0.1</v>
      </c>
      <c r="G20" cm="1">
        <f t="array" ref="G20">INDEX($1:$1,ROW($A$1),Q20)</f>
        <v>136.58000000000001</v>
      </c>
      <c r="H20" cm="1">
        <f t="array" ref="H20">INDEX($1:$1,ROW($A$1),R20)</f>
        <v>17.440000000000001</v>
      </c>
      <c r="I20" cm="1">
        <f t="array" ref="I20">INDEX($1:$1,ROW($A$1),S20)</f>
        <v>3.6</v>
      </c>
      <c r="K20">
        <f t="shared" si="4"/>
        <v>173</v>
      </c>
      <c r="L20">
        <f t="shared" si="5"/>
        <v>174</v>
      </c>
      <c r="M20">
        <f t="shared" si="6"/>
        <v>175</v>
      </c>
      <c r="N20">
        <f t="shared" si="6"/>
        <v>176</v>
      </c>
      <c r="O20">
        <f t="shared" si="6"/>
        <v>177</v>
      </c>
      <c r="P20">
        <f t="shared" si="6"/>
        <v>178</v>
      </c>
      <c r="Q20">
        <f t="shared" si="6"/>
        <v>179</v>
      </c>
      <c r="R20">
        <f t="shared" si="2"/>
        <v>180</v>
      </c>
      <c r="S20">
        <f t="shared" si="3"/>
        <v>181</v>
      </c>
    </row>
    <row r="21" spans="1:19" x14ac:dyDescent="0.25">
      <c r="A21" cm="1">
        <f t="array" ref="A21">INDEX($1:$1,ROW($A$1),K21)</f>
        <v>3453.62</v>
      </c>
      <c r="B21" cm="1">
        <f t="array" ref="B21">INDEX($1:$1,ROW($A$1),L21)</f>
        <v>165.04</v>
      </c>
      <c r="C21" cm="1">
        <f t="array" ref="C21">INDEX($1:$1,ROW($A$1),M21)</f>
        <v>58749.8</v>
      </c>
      <c r="D21" cm="1">
        <f t="array" ref="D21">INDEX($1:$1,ROW($A$1),N21)</f>
        <v>3721.1</v>
      </c>
      <c r="E21" cm="1">
        <f t="array" ref="E21">INDEX($1:$1,ROW($A$1),O21)</f>
        <v>6.35</v>
      </c>
      <c r="F21" cm="1">
        <f t="array" ref="F21">INDEX($1:$1,ROW($A$1),P21)</f>
        <v>-0.03</v>
      </c>
      <c r="G21" cm="1">
        <f t="array" ref="G21">INDEX($1:$1,ROW($A$1),Q21)</f>
        <v>138.21</v>
      </c>
      <c r="H21" cm="1">
        <f t="array" ref="H21">INDEX($1:$1,ROW($A$1),R21)</f>
        <v>17.98</v>
      </c>
      <c r="I21" cm="1">
        <f t="array" ref="I21">INDEX($1:$1,ROW($A$1),S21)</f>
        <v>3.1</v>
      </c>
      <c r="K21">
        <f t="shared" si="4"/>
        <v>182</v>
      </c>
      <c r="L21">
        <f t="shared" si="5"/>
        <v>183</v>
      </c>
      <c r="M21">
        <f t="shared" ref="M21:Q26" si="7">M20+9</f>
        <v>184</v>
      </c>
      <c r="N21">
        <f t="shared" si="7"/>
        <v>185</v>
      </c>
      <c r="O21">
        <f t="shared" si="7"/>
        <v>186</v>
      </c>
      <c r="P21">
        <f t="shared" si="7"/>
        <v>187</v>
      </c>
      <c r="Q21">
        <f t="shared" si="7"/>
        <v>188</v>
      </c>
      <c r="R21">
        <f t="shared" si="2"/>
        <v>189</v>
      </c>
      <c r="S21">
        <f t="shared" si="3"/>
        <v>190</v>
      </c>
    </row>
    <row r="22" spans="1:19" x14ac:dyDescent="0.25">
      <c r="A22" cm="1">
        <f t="array" ref="A22">INDEX($1:$1,ROW($A$1),K22)</f>
        <v>1741.45</v>
      </c>
      <c r="B22" cm="1">
        <f t="array" ref="B22">INDEX($1:$1,ROW($A$1),L22)</f>
        <v>10.57</v>
      </c>
      <c r="C22" cm="1">
        <f t="array" ref="C22">INDEX($1:$1,ROW($A$1),M22)</f>
        <v>23990.799999999999</v>
      </c>
      <c r="D22" cm="1">
        <f t="array" ref="D22">INDEX($1:$1,ROW($A$1),N22)</f>
        <v>861</v>
      </c>
      <c r="E22" cm="1">
        <f t="array" ref="E22">INDEX($1:$1,ROW($A$1),O22)</f>
        <v>7.37</v>
      </c>
      <c r="F22" cm="1">
        <f t="array" ref="F22">INDEX($1:$1,ROW($A$1),P22)</f>
        <v>-1.63</v>
      </c>
      <c r="G22" cm="1">
        <f t="array" ref="G22">INDEX($1:$1,ROW($A$1),Q22)</f>
        <v>75.61</v>
      </c>
      <c r="H22" cm="1">
        <f t="array" ref="H22">INDEX($1:$1,ROW($A$1),R22)</f>
        <v>20.99</v>
      </c>
      <c r="I22" cm="1">
        <f t="array" ref="I22">INDEX($1:$1,ROW($A$1),S22)</f>
        <v>1.6</v>
      </c>
      <c r="K22">
        <f t="shared" si="4"/>
        <v>191</v>
      </c>
      <c r="L22">
        <f t="shared" si="5"/>
        <v>192</v>
      </c>
      <c r="M22">
        <f t="shared" si="7"/>
        <v>193</v>
      </c>
      <c r="N22">
        <f t="shared" si="7"/>
        <v>194</v>
      </c>
      <c r="O22">
        <f t="shared" si="7"/>
        <v>195</v>
      </c>
      <c r="P22">
        <f t="shared" si="7"/>
        <v>196</v>
      </c>
      <c r="Q22">
        <f t="shared" si="7"/>
        <v>197</v>
      </c>
      <c r="R22">
        <f t="shared" si="2"/>
        <v>198</v>
      </c>
      <c r="S22">
        <f t="shared" si="3"/>
        <v>199</v>
      </c>
    </row>
    <row r="23" spans="1:19" x14ac:dyDescent="0.25">
      <c r="A23" cm="1">
        <f t="array" ref="A23">INDEX($1:$1,ROW($A$1),K23)</f>
        <v>2035.75</v>
      </c>
      <c r="B23" cm="1">
        <f t="array" ref="B23">INDEX($1:$1,ROW($A$1),L23)</f>
        <v>13.82</v>
      </c>
      <c r="C23" cm="1">
        <f t="array" ref="C23">INDEX($1:$1,ROW($A$1),M23)</f>
        <v>25694.9</v>
      </c>
      <c r="D23" cm="1">
        <f t="array" ref="D23">INDEX($1:$1,ROW($A$1),N23)</f>
        <v>3571.5</v>
      </c>
      <c r="E23" cm="1">
        <f t="array" ref="E23">INDEX($1:$1,ROW($A$1),O23)</f>
        <v>8.39</v>
      </c>
      <c r="F23" cm="1">
        <f t="array" ref="F23">INDEX($1:$1,ROW($A$1),P23)</f>
        <v>-0.43</v>
      </c>
      <c r="G23" cm="1">
        <f t="array" ref="G23">INDEX($1:$1,ROW($A$1),Q23)</f>
        <v>102.44</v>
      </c>
      <c r="H23" cm="1">
        <f t="array" ref="H23">INDEX($1:$1,ROW($A$1),R23)</f>
        <v>21.66</v>
      </c>
      <c r="I23" cm="1">
        <f t="array" ref="I23">INDEX($1:$1,ROW($A$1),S23)</f>
        <v>3.4</v>
      </c>
      <c r="K23">
        <f t="shared" si="4"/>
        <v>200</v>
      </c>
      <c r="L23">
        <f t="shared" si="5"/>
        <v>201</v>
      </c>
      <c r="M23">
        <f t="shared" si="7"/>
        <v>202</v>
      </c>
      <c r="N23">
        <f t="shared" si="7"/>
        <v>203</v>
      </c>
      <c r="O23">
        <f t="shared" si="7"/>
        <v>204</v>
      </c>
      <c r="P23">
        <f t="shared" si="7"/>
        <v>205</v>
      </c>
      <c r="Q23">
        <f t="shared" si="7"/>
        <v>206</v>
      </c>
      <c r="R23">
        <f t="shared" si="2"/>
        <v>207</v>
      </c>
      <c r="S23">
        <f t="shared" si="3"/>
        <v>208</v>
      </c>
    </row>
    <row r="24" spans="1:19" x14ac:dyDescent="0.25">
      <c r="A24" cm="1">
        <f t="array" ref="A24">INDEX($1:$1,ROW($A$1),K24)</f>
        <v>1578</v>
      </c>
      <c r="B24" cm="1">
        <f t="array" ref="B24">INDEX($1:$1,ROW($A$1),L24)</f>
        <v>8.1300000000000008</v>
      </c>
      <c r="C24" cm="1">
        <f t="array" ref="C24">INDEX($1:$1,ROW($A$1),M24)</f>
        <v>23736.3</v>
      </c>
      <c r="D24" cm="1">
        <f t="array" ref="D24">INDEX($1:$1,ROW($A$1),N24)</f>
        <v>2845.5</v>
      </c>
      <c r="E24" cm="1">
        <f t="array" ref="E24">INDEX($1:$1,ROW($A$1),O24)</f>
        <v>5.15</v>
      </c>
      <c r="F24" cm="1">
        <f t="array" ref="F24">INDEX($1:$1,ROW($A$1),P24)</f>
        <v>0.04</v>
      </c>
      <c r="G24" cm="1">
        <f t="array" ref="G24">INDEX($1:$1,ROW($A$1),Q24)</f>
        <v>76.42</v>
      </c>
      <c r="H24" cm="1">
        <f t="array" ref="H24">INDEX($1:$1,ROW($A$1),R24)</f>
        <v>21.46</v>
      </c>
      <c r="I24" cm="1">
        <f t="array" ref="I24">INDEX($1:$1,ROW($A$1),S24)</f>
        <v>2.7</v>
      </c>
      <c r="K24">
        <f t="shared" si="4"/>
        <v>209</v>
      </c>
      <c r="L24">
        <f t="shared" si="5"/>
        <v>210</v>
      </c>
      <c r="M24">
        <f t="shared" si="7"/>
        <v>211</v>
      </c>
      <c r="N24">
        <f t="shared" si="7"/>
        <v>212</v>
      </c>
      <c r="O24">
        <f t="shared" si="7"/>
        <v>213</v>
      </c>
      <c r="P24">
        <f t="shared" si="7"/>
        <v>214</v>
      </c>
      <c r="Q24">
        <f t="shared" si="7"/>
        <v>215</v>
      </c>
      <c r="R24">
        <f t="shared" si="2"/>
        <v>216</v>
      </c>
      <c r="S24">
        <f t="shared" si="3"/>
        <v>217</v>
      </c>
    </row>
    <row r="25" spans="1:19" x14ac:dyDescent="0.25">
      <c r="A25" cm="1">
        <f t="array" ref="A25">INDEX($1:$1,ROW($A$1),K25)</f>
        <v>4167.4399999999996</v>
      </c>
      <c r="B25" cm="1">
        <f t="array" ref="B25">INDEX($1:$1,ROW($A$1),L25)</f>
        <v>58.44</v>
      </c>
      <c r="C25" cm="1">
        <f t="array" ref="C25">INDEX($1:$1,ROW($A$1),M25)</f>
        <v>34314.300000000003</v>
      </c>
      <c r="D25" cm="1">
        <f t="array" ref="D25">INDEX($1:$1,ROW($A$1),N25)</f>
        <v>5060.1000000000004</v>
      </c>
      <c r="E25" cm="1">
        <f t="array" ref="E25">INDEX($1:$1,ROW($A$1),O25)</f>
        <v>12.88</v>
      </c>
      <c r="F25" cm="1">
        <f t="array" ref="F25">INDEX($1:$1,ROW($A$1),P25)</f>
        <v>0.22</v>
      </c>
      <c r="G25" cm="1">
        <f t="array" ref="G25">INDEX($1:$1,ROW($A$1),Q25)</f>
        <v>136.58000000000001</v>
      </c>
      <c r="H25" cm="1">
        <f t="array" ref="H25">INDEX($1:$1,ROW($A$1),R25)</f>
        <v>24.78</v>
      </c>
      <c r="I25" cm="1">
        <f t="array" ref="I25">INDEX($1:$1,ROW($A$1),S25)</f>
        <v>2.8</v>
      </c>
      <c r="K25">
        <f t="shared" si="4"/>
        <v>218</v>
      </c>
      <c r="L25">
        <f t="shared" si="5"/>
        <v>219</v>
      </c>
      <c r="M25">
        <f t="shared" si="7"/>
        <v>220</v>
      </c>
      <c r="N25">
        <f t="shared" si="7"/>
        <v>221</v>
      </c>
      <c r="O25">
        <f t="shared" si="7"/>
        <v>222</v>
      </c>
      <c r="P25">
        <f t="shared" si="7"/>
        <v>223</v>
      </c>
      <c r="Q25">
        <f t="shared" si="7"/>
        <v>224</v>
      </c>
      <c r="R25">
        <f t="shared" si="2"/>
        <v>225</v>
      </c>
      <c r="S25">
        <f t="shared" si="3"/>
        <v>226</v>
      </c>
    </row>
    <row r="26" spans="1:19" x14ac:dyDescent="0.25">
      <c r="A26" cm="1">
        <f t="array" ref="A26">INDEX($1:$1,ROW($A$1),K26)</f>
        <v>2799.97</v>
      </c>
      <c r="B26" cm="1">
        <f t="array" ref="B26">INDEX($1:$1,ROW($A$1),L26)</f>
        <v>21.14</v>
      </c>
      <c r="C26" cm="1">
        <f t="array" ref="C26">INDEX($1:$1,ROW($A$1),M26)</f>
        <v>22809.5</v>
      </c>
      <c r="D26" cm="1">
        <f t="array" ref="D26">INDEX($1:$1,ROW($A$1),N26)</f>
        <v>3552</v>
      </c>
      <c r="E26" cm="1">
        <f t="array" ref="E26">INDEX($1:$1,ROW($A$1),O26)</f>
        <v>9.14</v>
      </c>
      <c r="F26" cm="1">
        <f t="array" ref="F26">INDEX($1:$1,ROW($A$1),P26)</f>
        <v>-0.74</v>
      </c>
      <c r="G26" cm="1">
        <f t="array" ref="G26">INDEX($1:$1,ROW($A$1),Q26)</f>
        <v>88.62</v>
      </c>
      <c r="H26" cm="1">
        <f t="array" ref="H26">INDEX($1:$1,ROW($A$1),R26)</f>
        <v>24.96</v>
      </c>
      <c r="I26" cm="1">
        <f t="array" ref="I26">INDEX($1:$1,ROW($A$1),S26)</f>
        <v>3.9</v>
      </c>
      <c r="K26">
        <f t="shared" si="4"/>
        <v>227</v>
      </c>
      <c r="L26">
        <f t="shared" si="5"/>
        <v>228</v>
      </c>
      <c r="M26">
        <f t="shared" si="7"/>
        <v>229</v>
      </c>
      <c r="N26">
        <f t="shared" si="7"/>
        <v>230</v>
      </c>
      <c r="O26">
        <f t="shared" si="7"/>
        <v>231</v>
      </c>
      <c r="P26">
        <f t="shared" si="7"/>
        <v>232</v>
      </c>
      <c r="Q26">
        <f t="shared" si="7"/>
        <v>233</v>
      </c>
      <c r="R26">
        <f t="shared" si="2"/>
        <v>234</v>
      </c>
      <c r="S26">
        <f t="shared" si="3"/>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9156-DF36-4B26-9193-48BBFA939C8C}">
  <dimension ref="A1:T84"/>
  <sheetViews>
    <sheetView topLeftCell="A37" zoomScale="98" zoomScaleNormal="98" workbookViewId="0">
      <selection activeCell="C41" sqref="C41"/>
    </sheetView>
  </sheetViews>
  <sheetFormatPr defaultRowHeight="15" x14ac:dyDescent="0.25"/>
  <cols>
    <col min="1" max="1" width="18.140625" bestFit="1" customWidth="1"/>
    <col min="2" max="2" width="18.85546875" customWidth="1"/>
    <col min="3" max="3" width="17" customWidth="1"/>
    <col min="6" max="6" width="15.140625" customWidth="1"/>
  </cols>
  <sheetData>
    <row r="1" spans="1:20" x14ac:dyDescent="0.25">
      <c r="A1" t="s">
        <v>0</v>
      </c>
      <c r="B1" t="s">
        <v>1</v>
      </c>
      <c r="C1" t="s">
        <v>2</v>
      </c>
      <c r="D1" t="s">
        <v>3</v>
      </c>
      <c r="E1" t="s">
        <v>4</v>
      </c>
      <c r="F1" t="s">
        <v>5</v>
      </c>
      <c r="G1" t="s">
        <v>6</v>
      </c>
      <c r="H1" t="s">
        <v>7</v>
      </c>
      <c r="I1" t="s">
        <v>8</v>
      </c>
      <c r="L1" t="str">
        <f>A1</f>
        <v>Sales</v>
      </c>
      <c r="M1" t="str">
        <f t="shared" ref="M1:S1" si="0">B1</f>
        <v>Time</v>
      </c>
      <c r="N1" t="str">
        <f t="shared" si="0"/>
        <v>Poten</v>
      </c>
      <c r="O1" t="str">
        <f t="shared" si="0"/>
        <v>AdvExp</v>
      </c>
      <c r="P1" t="str">
        <f t="shared" si="0"/>
        <v>Share</v>
      </c>
      <c r="Q1" t="str">
        <f t="shared" si="0"/>
        <v>Change</v>
      </c>
      <c r="R1" t="str">
        <f t="shared" si="0"/>
        <v>Accounts</v>
      </c>
      <c r="S1" t="str">
        <f t="shared" si="0"/>
        <v>Work</v>
      </c>
      <c r="T1" t="str">
        <f>I1</f>
        <v>Rating</v>
      </c>
    </row>
    <row r="2" spans="1:20" x14ac:dyDescent="0.25">
      <c r="A2">
        <v>3669.88</v>
      </c>
      <c r="B2">
        <v>43.1</v>
      </c>
      <c r="C2">
        <v>74065.100000000006</v>
      </c>
      <c r="D2">
        <v>4582.8999999999996</v>
      </c>
      <c r="E2">
        <v>2.5099999999999998</v>
      </c>
      <c r="F2">
        <v>0.34</v>
      </c>
      <c r="G2">
        <v>74.86</v>
      </c>
      <c r="H2">
        <v>15.05</v>
      </c>
      <c r="I2">
        <v>4.9000000000000004</v>
      </c>
      <c r="K2" t="str">
        <f>B1</f>
        <v>Time</v>
      </c>
      <c r="L2">
        <f>CORREL(A2:A26,B2:B26)</f>
        <v>0.62288090516042594</v>
      </c>
      <c r="M2">
        <v>1</v>
      </c>
    </row>
    <row r="3" spans="1:20" x14ac:dyDescent="0.25">
      <c r="A3">
        <v>3473.95</v>
      </c>
      <c r="B3">
        <v>108.13</v>
      </c>
      <c r="C3">
        <v>58117.3</v>
      </c>
      <c r="D3">
        <v>5539.8</v>
      </c>
      <c r="E3">
        <v>5.51</v>
      </c>
      <c r="F3">
        <v>0.15</v>
      </c>
      <c r="G3">
        <v>107.32</v>
      </c>
      <c r="H3">
        <v>19.97</v>
      </c>
      <c r="I3">
        <v>5.0999999999999996</v>
      </c>
      <c r="K3" t="s">
        <v>2</v>
      </c>
      <c r="L3">
        <f>CORREL(A2:A26,C2:C26)</f>
        <v>0.5978122785604042</v>
      </c>
      <c r="M3">
        <f>CORREL(B2:B26,C2:C26)</f>
        <v>0.45397783996522156</v>
      </c>
      <c r="N3">
        <v>1</v>
      </c>
    </row>
    <row r="4" spans="1:20" x14ac:dyDescent="0.25">
      <c r="A4">
        <v>2295.1</v>
      </c>
      <c r="B4">
        <v>13.82</v>
      </c>
      <c r="C4">
        <v>21118.5</v>
      </c>
      <c r="D4">
        <v>2950.4</v>
      </c>
      <c r="E4">
        <v>10.91</v>
      </c>
      <c r="F4">
        <v>-0.72</v>
      </c>
      <c r="G4">
        <v>96.75</v>
      </c>
      <c r="H4">
        <v>17.34</v>
      </c>
      <c r="I4">
        <v>2.9</v>
      </c>
      <c r="K4" t="s">
        <v>3</v>
      </c>
      <c r="L4">
        <f>CORREL($D$2:$D$26,A2:A26)</f>
        <v>0.59617742883433811</v>
      </c>
      <c r="M4">
        <f t="shared" ref="M4:O4" si="1">CORREL($D$2:$D$26,B2:B26)</f>
        <v>0.2491704621394922</v>
      </c>
      <c r="N4">
        <f t="shared" si="1"/>
        <v>0.17409991268891842</v>
      </c>
      <c r="O4">
        <f t="shared" si="1"/>
        <v>1.0000000000000002</v>
      </c>
    </row>
    <row r="5" spans="1:20" x14ac:dyDescent="0.25">
      <c r="A5">
        <v>4675.5600000000004</v>
      </c>
      <c r="B5">
        <v>186.18</v>
      </c>
      <c r="C5">
        <v>68521.3</v>
      </c>
      <c r="D5">
        <v>2243.1</v>
      </c>
      <c r="E5">
        <v>8.27</v>
      </c>
      <c r="F5">
        <v>0.17</v>
      </c>
      <c r="G5">
        <v>195.12</v>
      </c>
      <c r="H5">
        <v>13.4</v>
      </c>
      <c r="I5">
        <v>3.4</v>
      </c>
      <c r="K5" t="s">
        <v>4</v>
      </c>
      <c r="L5">
        <f>CORREL($E$2:$E$26,A2:A26)</f>
        <v>0.48351058087466553</v>
      </c>
      <c r="M5">
        <f>CORREL($E$2:$E$26,B2:B26)</f>
        <v>0.10610535574690647</v>
      </c>
      <c r="N5">
        <f>CORREL($E$2:$E$26,C2:C26)</f>
        <v>-0.21067126994389887</v>
      </c>
      <c r="O5">
        <f>CORREL($E$2:$E$26,D2:D26)</f>
        <v>0.26445841712056928</v>
      </c>
      <c r="P5">
        <f>CORREL($E$2:$E$26,E2:E26)</f>
        <v>1</v>
      </c>
    </row>
    <row r="6" spans="1:20" x14ac:dyDescent="0.25">
      <c r="A6">
        <v>6125.96</v>
      </c>
      <c r="B6">
        <v>161.79</v>
      </c>
      <c r="C6">
        <v>57805.1</v>
      </c>
      <c r="D6">
        <v>7747.1</v>
      </c>
      <c r="E6">
        <v>9.15</v>
      </c>
      <c r="F6">
        <v>0.5</v>
      </c>
      <c r="G6">
        <v>180.44</v>
      </c>
      <c r="H6">
        <v>17.64</v>
      </c>
      <c r="I6">
        <v>4.5999999999999996</v>
      </c>
      <c r="K6" t="s">
        <v>5</v>
      </c>
      <c r="L6">
        <f>CORREL($F$2:$F$26,A2:A26)</f>
        <v>0.4891807835307031</v>
      </c>
      <c r="M6">
        <f t="shared" ref="M6:Q6" si="2">CORREL($F$2:$F$26,B2:B26)</f>
        <v>0.25146885347174375</v>
      </c>
      <c r="N6">
        <f t="shared" si="2"/>
        <v>0.26828712286362127</v>
      </c>
      <c r="O6">
        <f t="shared" si="2"/>
        <v>0.37651648932662291</v>
      </c>
      <c r="P6">
        <f t="shared" si="2"/>
        <v>8.5469908809607795E-2</v>
      </c>
      <c r="Q6">
        <f t="shared" si="2"/>
        <v>0.99999999999999989</v>
      </c>
    </row>
    <row r="7" spans="1:20" x14ac:dyDescent="0.25">
      <c r="A7">
        <v>2134.94</v>
      </c>
      <c r="B7">
        <v>8.94</v>
      </c>
      <c r="C7">
        <v>37806.9</v>
      </c>
      <c r="D7">
        <v>402.4</v>
      </c>
      <c r="E7">
        <v>5.51</v>
      </c>
      <c r="F7">
        <v>0.15</v>
      </c>
      <c r="G7">
        <v>104.88</v>
      </c>
      <c r="H7">
        <v>16.22</v>
      </c>
      <c r="I7">
        <v>4.5</v>
      </c>
      <c r="K7" t="s">
        <v>6</v>
      </c>
      <c r="L7">
        <f>CORREL($G$2:$G$26,A2:A26)</f>
        <v>0.75398619473196959</v>
      </c>
      <c r="M7" s="13">
        <f t="shared" ref="M7:R7" si="3">CORREL($G$2:$G$26,B2:B26)</f>
        <v>0.75778865344959856</v>
      </c>
      <c r="N7">
        <f t="shared" si="3"/>
        <v>0.47864256792389948</v>
      </c>
      <c r="O7">
        <f t="shared" si="3"/>
        <v>0.20003661293430636</v>
      </c>
      <c r="P7">
        <f t="shared" si="3"/>
        <v>0.40301147294071304</v>
      </c>
      <c r="Q7">
        <f t="shared" si="3"/>
        <v>0.32741500283303143</v>
      </c>
      <c r="R7">
        <f t="shared" si="3"/>
        <v>0.99999999999999989</v>
      </c>
    </row>
    <row r="8" spans="1:20" x14ac:dyDescent="0.25">
      <c r="A8">
        <v>5031.66</v>
      </c>
      <c r="B8">
        <v>365.04</v>
      </c>
      <c r="C8">
        <v>50935.3</v>
      </c>
      <c r="D8">
        <v>3140.6</v>
      </c>
      <c r="E8">
        <v>8.5399999999999991</v>
      </c>
      <c r="F8">
        <v>0.55000000000000004</v>
      </c>
      <c r="G8">
        <v>256.10000000000002</v>
      </c>
      <c r="H8">
        <v>18.8</v>
      </c>
      <c r="I8">
        <v>4.5999999999999996</v>
      </c>
      <c r="K8" t="s">
        <v>7</v>
      </c>
      <c r="L8">
        <f>CORREL($H$2:$H$26,A2:A26)</f>
        <v>-0.11722266336540221</v>
      </c>
      <c r="M8">
        <f t="shared" ref="M8:S8" si="4">CORREL($H$2:$H$26,B2:B26)</f>
        <v>-0.17940560912304201</v>
      </c>
      <c r="N8">
        <f t="shared" si="4"/>
        <v>-0.25883926883285641</v>
      </c>
      <c r="O8">
        <f t="shared" si="4"/>
        <v>-0.27223497236086369</v>
      </c>
      <c r="P8">
        <f t="shared" si="4"/>
        <v>0.34934502875202861</v>
      </c>
      <c r="Q8">
        <f t="shared" si="4"/>
        <v>-0.28766473080151583</v>
      </c>
      <c r="R8">
        <f t="shared" si="4"/>
        <v>-0.19884750918052005</v>
      </c>
      <c r="S8">
        <f t="shared" si="4"/>
        <v>1</v>
      </c>
    </row>
    <row r="9" spans="1:20" x14ac:dyDescent="0.25">
      <c r="A9">
        <v>3367.45</v>
      </c>
      <c r="B9">
        <v>220.32</v>
      </c>
      <c r="C9">
        <v>35602.1</v>
      </c>
      <c r="D9">
        <v>2086.1999999999998</v>
      </c>
      <c r="E9">
        <v>7.07</v>
      </c>
      <c r="F9">
        <v>-0.49</v>
      </c>
      <c r="G9">
        <v>126.83</v>
      </c>
      <c r="H9">
        <v>19.86</v>
      </c>
      <c r="I9">
        <v>2.2999999999999998</v>
      </c>
      <c r="K9" t="s">
        <v>8</v>
      </c>
      <c r="L9">
        <f>CORREL($I$2:$I$26,A2:A26)</f>
        <v>0.40187829540890463</v>
      </c>
      <c r="M9">
        <f t="shared" ref="M9:T9" si="5">CORREL($I$2:$I$26,B2:B26)</f>
        <v>0.10117169219217574</v>
      </c>
      <c r="N9">
        <f t="shared" si="5"/>
        <v>0.35870290364952712</v>
      </c>
      <c r="O9">
        <f t="shared" si="5"/>
        <v>0.41146155806464407</v>
      </c>
      <c r="P9">
        <f t="shared" si="5"/>
        <v>-2.3562877428682974E-2</v>
      </c>
      <c r="Q9">
        <f t="shared" si="5"/>
        <v>0.54933334846716764</v>
      </c>
      <c r="R9">
        <f t="shared" si="5"/>
        <v>0.22861314279949682</v>
      </c>
      <c r="S9">
        <f t="shared" si="5"/>
        <v>-0.27691348920815245</v>
      </c>
      <c r="T9">
        <f t="shared" si="5"/>
        <v>1</v>
      </c>
    </row>
    <row r="10" spans="1:20" x14ac:dyDescent="0.25">
      <c r="A10">
        <v>6519.45</v>
      </c>
      <c r="B10">
        <v>127.64</v>
      </c>
      <c r="C10">
        <v>46176.800000000003</v>
      </c>
      <c r="D10">
        <v>8846.2000000000007</v>
      </c>
      <c r="E10">
        <v>12.54</v>
      </c>
      <c r="F10">
        <v>1.24</v>
      </c>
      <c r="G10">
        <v>203.25</v>
      </c>
      <c r="H10">
        <v>17.420000000000002</v>
      </c>
      <c r="I10">
        <v>4.9000000000000004</v>
      </c>
    </row>
    <row r="11" spans="1:20" x14ac:dyDescent="0.25">
      <c r="A11">
        <v>4876.37</v>
      </c>
      <c r="B11">
        <v>105.69</v>
      </c>
      <c r="C11">
        <v>42053.2</v>
      </c>
      <c r="D11">
        <v>5673.1</v>
      </c>
      <c r="E11">
        <v>8.85</v>
      </c>
      <c r="F11">
        <v>0.31</v>
      </c>
      <c r="G11">
        <v>119.51</v>
      </c>
      <c r="H11">
        <v>21.41</v>
      </c>
      <c r="I11">
        <v>2.8</v>
      </c>
    </row>
    <row r="12" spans="1:20" x14ac:dyDescent="0.25">
      <c r="A12">
        <v>2468.27</v>
      </c>
      <c r="B12">
        <v>57.72</v>
      </c>
      <c r="C12">
        <v>36829.699999999997</v>
      </c>
      <c r="D12">
        <v>2761.8</v>
      </c>
      <c r="E12">
        <v>5.38</v>
      </c>
      <c r="F12">
        <v>0.37</v>
      </c>
      <c r="G12">
        <v>116.26</v>
      </c>
      <c r="H12">
        <v>16.32</v>
      </c>
      <c r="I12">
        <v>3.1</v>
      </c>
    </row>
    <row r="13" spans="1:20" x14ac:dyDescent="0.25">
      <c r="A13">
        <v>2533.31</v>
      </c>
      <c r="B13">
        <v>23.58</v>
      </c>
      <c r="C13">
        <v>33612.699999999997</v>
      </c>
      <c r="D13">
        <v>1991.8</v>
      </c>
      <c r="E13">
        <v>5.43</v>
      </c>
      <c r="F13">
        <v>-0.65</v>
      </c>
      <c r="G13">
        <v>142.28</v>
      </c>
      <c r="H13">
        <v>14.51</v>
      </c>
      <c r="I13">
        <v>4.2</v>
      </c>
    </row>
    <row r="14" spans="1:20" x14ac:dyDescent="0.25">
      <c r="A14">
        <v>2408.11</v>
      </c>
      <c r="B14">
        <v>13.82</v>
      </c>
      <c r="C14">
        <v>21412.799999999999</v>
      </c>
      <c r="D14">
        <v>1971.5</v>
      </c>
      <c r="E14">
        <v>8.48</v>
      </c>
      <c r="F14">
        <v>0.64</v>
      </c>
      <c r="G14">
        <v>89.43</v>
      </c>
      <c r="H14">
        <v>19.350000000000001</v>
      </c>
      <c r="I14">
        <v>4.3</v>
      </c>
    </row>
    <row r="15" spans="1:20" x14ac:dyDescent="0.25">
      <c r="A15">
        <v>2337.38</v>
      </c>
      <c r="B15">
        <v>13.82</v>
      </c>
      <c r="C15">
        <v>20416.900000000001</v>
      </c>
      <c r="D15">
        <v>1737.4</v>
      </c>
      <c r="E15">
        <v>7.8</v>
      </c>
      <c r="F15">
        <v>1.01</v>
      </c>
      <c r="G15">
        <v>84.55</v>
      </c>
      <c r="H15">
        <v>20.02</v>
      </c>
      <c r="I15">
        <v>4.2</v>
      </c>
    </row>
    <row r="16" spans="1:20" x14ac:dyDescent="0.25">
      <c r="A16">
        <v>4586.95</v>
      </c>
      <c r="B16">
        <v>86.99</v>
      </c>
      <c r="C16">
        <v>36272</v>
      </c>
      <c r="D16">
        <v>10694.2</v>
      </c>
      <c r="E16">
        <v>10.34</v>
      </c>
      <c r="F16">
        <v>0.11</v>
      </c>
      <c r="G16">
        <v>119.51</v>
      </c>
      <c r="H16">
        <v>15.26</v>
      </c>
      <c r="I16">
        <v>5.5</v>
      </c>
    </row>
    <row r="17" spans="1:9" x14ac:dyDescent="0.25">
      <c r="A17">
        <v>2729.24</v>
      </c>
      <c r="B17">
        <v>165.85</v>
      </c>
      <c r="C17">
        <v>23093.3</v>
      </c>
      <c r="D17">
        <v>8618.6</v>
      </c>
      <c r="E17">
        <v>5.15</v>
      </c>
      <c r="F17">
        <v>0.04</v>
      </c>
      <c r="G17">
        <v>80.489999999999995</v>
      </c>
      <c r="H17">
        <v>15.87</v>
      </c>
      <c r="I17">
        <v>3.6</v>
      </c>
    </row>
    <row r="18" spans="1:9" x14ac:dyDescent="0.25">
      <c r="A18">
        <v>3289.4</v>
      </c>
      <c r="B18">
        <v>116.26</v>
      </c>
      <c r="C18">
        <v>26878.6</v>
      </c>
      <c r="D18">
        <v>7747.9</v>
      </c>
      <c r="E18">
        <v>6.64</v>
      </c>
      <c r="F18">
        <v>0.68</v>
      </c>
      <c r="G18">
        <v>136.58000000000001</v>
      </c>
      <c r="H18">
        <v>7.81</v>
      </c>
      <c r="I18">
        <v>3.4</v>
      </c>
    </row>
    <row r="19" spans="1:9" x14ac:dyDescent="0.25">
      <c r="A19">
        <v>2800.78</v>
      </c>
      <c r="B19">
        <v>42.28</v>
      </c>
      <c r="C19">
        <v>39572</v>
      </c>
      <c r="D19">
        <v>4565.8</v>
      </c>
      <c r="E19">
        <v>5.45</v>
      </c>
      <c r="F19">
        <v>0.66</v>
      </c>
      <c r="G19">
        <v>78.86</v>
      </c>
      <c r="H19">
        <v>16</v>
      </c>
      <c r="I19">
        <v>4.2</v>
      </c>
    </row>
    <row r="20" spans="1:9" x14ac:dyDescent="0.25">
      <c r="A20">
        <v>3264.2</v>
      </c>
      <c r="B20">
        <v>52.84</v>
      </c>
      <c r="C20">
        <v>51866.1</v>
      </c>
      <c r="D20">
        <v>6022.7</v>
      </c>
      <c r="E20">
        <v>6.31</v>
      </c>
      <c r="F20">
        <v>-0.1</v>
      </c>
      <c r="G20">
        <v>136.58000000000001</v>
      </c>
      <c r="H20">
        <v>17.440000000000001</v>
      </c>
      <c r="I20">
        <v>3.6</v>
      </c>
    </row>
    <row r="21" spans="1:9" x14ac:dyDescent="0.25">
      <c r="A21">
        <v>3453.62</v>
      </c>
      <c r="B21">
        <v>165.04</v>
      </c>
      <c r="C21">
        <v>58749.8</v>
      </c>
      <c r="D21">
        <v>3721.1</v>
      </c>
      <c r="E21">
        <v>6.35</v>
      </c>
      <c r="F21">
        <v>-0.03</v>
      </c>
      <c r="G21">
        <v>138.21</v>
      </c>
      <c r="H21">
        <v>17.98</v>
      </c>
      <c r="I21">
        <v>3.1</v>
      </c>
    </row>
    <row r="22" spans="1:9" x14ac:dyDescent="0.25">
      <c r="A22">
        <v>1741.45</v>
      </c>
      <c r="B22">
        <v>10.57</v>
      </c>
      <c r="C22">
        <v>23990.799999999999</v>
      </c>
      <c r="D22">
        <v>861</v>
      </c>
      <c r="E22">
        <v>7.37</v>
      </c>
      <c r="F22">
        <v>-1.63</v>
      </c>
      <c r="G22">
        <v>75.61</v>
      </c>
      <c r="H22">
        <v>20.99</v>
      </c>
      <c r="I22">
        <v>1.6</v>
      </c>
    </row>
    <row r="23" spans="1:9" x14ac:dyDescent="0.25">
      <c r="A23">
        <v>2035.75</v>
      </c>
      <c r="B23">
        <v>13.82</v>
      </c>
      <c r="C23">
        <v>25694.9</v>
      </c>
      <c r="D23">
        <v>3571.5</v>
      </c>
      <c r="E23">
        <v>8.39</v>
      </c>
      <c r="F23">
        <v>-0.43</v>
      </c>
      <c r="G23">
        <v>102.44</v>
      </c>
      <c r="H23">
        <v>21.66</v>
      </c>
      <c r="I23">
        <v>3.4</v>
      </c>
    </row>
    <row r="24" spans="1:9" x14ac:dyDescent="0.25">
      <c r="A24">
        <v>1578</v>
      </c>
      <c r="B24">
        <v>8.1300000000000008</v>
      </c>
      <c r="C24">
        <v>23736.3</v>
      </c>
      <c r="D24">
        <v>2845.5</v>
      </c>
      <c r="E24">
        <v>5.15</v>
      </c>
      <c r="F24">
        <v>0.04</v>
      </c>
      <c r="G24">
        <v>76.42</v>
      </c>
      <c r="H24">
        <v>21.46</v>
      </c>
      <c r="I24">
        <v>2.7</v>
      </c>
    </row>
    <row r="25" spans="1:9" x14ac:dyDescent="0.25">
      <c r="A25">
        <v>4167.4399999999996</v>
      </c>
      <c r="B25">
        <v>58.44</v>
      </c>
      <c r="C25">
        <v>34314.300000000003</v>
      </c>
      <c r="D25">
        <v>5060.1000000000004</v>
      </c>
      <c r="E25">
        <v>12.88</v>
      </c>
      <c r="F25">
        <v>0.22</v>
      </c>
      <c r="G25">
        <v>136.58000000000001</v>
      </c>
      <c r="H25">
        <v>24.78</v>
      </c>
      <c r="I25">
        <v>2.8</v>
      </c>
    </row>
    <row r="26" spans="1:9" x14ac:dyDescent="0.25">
      <c r="A26">
        <v>2799.97</v>
      </c>
      <c r="B26">
        <v>21.14</v>
      </c>
      <c r="C26">
        <v>22809.5</v>
      </c>
      <c r="D26">
        <v>3552</v>
      </c>
      <c r="E26">
        <v>9.14</v>
      </c>
      <c r="F26">
        <v>-0.74</v>
      </c>
      <c r="G26">
        <v>88.62</v>
      </c>
      <c r="H26">
        <v>24.96</v>
      </c>
      <c r="I26">
        <v>3.9</v>
      </c>
    </row>
    <row r="29" spans="1:9" x14ac:dyDescent="0.25">
      <c r="A29" t="s">
        <v>9</v>
      </c>
    </row>
    <row r="30" spans="1:9" ht="15.75" thickBot="1" x14ac:dyDescent="0.3"/>
    <row r="31" spans="1:9" x14ac:dyDescent="0.25">
      <c r="A31" s="4" t="s">
        <v>10</v>
      </c>
      <c r="B31" s="4"/>
    </row>
    <row r="32" spans="1:9" x14ac:dyDescent="0.25">
      <c r="A32" t="s">
        <v>11</v>
      </c>
      <c r="B32">
        <v>0.96023055903113019</v>
      </c>
    </row>
    <row r="33" spans="1:9" x14ac:dyDescent="0.25">
      <c r="A33" t="s">
        <v>12</v>
      </c>
      <c r="B33">
        <v>0.92204272649723673</v>
      </c>
    </row>
    <row r="34" spans="1:9" x14ac:dyDescent="0.25">
      <c r="A34" t="s">
        <v>13</v>
      </c>
      <c r="B34">
        <v>0.88306408974585504</v>
      </c>
    </row>
    <row r="35" spans="1:9" x14ac:dyDescent="0.25">
      <c r="A35" t="s">
        <v>14</v>
      </c>
      <c r="B35">
        <v>449.01536813286572</v>
      </c>
    </row>
    <row r="36" spans="1:9" ht="15.75" thickBot="1" x14ac:dyDescent="0.3">
      <c r="A36" s="2" t="s">
        <v>15</v>
      </c>
      <c r="B36" s="2">
        <v>25</v>
      </c>
    </row>
    <row r="38" spans="1:9" ht="15.75" thickBot="1" x14ac:dyDescent="0.3">
      <c r="A38" t="s">
        <v>16</v>
      </c>
    </row>
    <row r="39" spans="1:9" x14ac:dyDescent="0.25">
      <c r="A39" s="3"/>
      <c r="B39" s="3" t="s">
        <v>21</v>
      </c>
      <c r="C39" s="3" t="s">
        <v>22</v>
      </c>
      <c r="D39" s="3" t="s">
        <v>23</v>
      </c>
      <c r="E39" s="3" t="s">
        <v>24</v>
      </c>
      <c r="F39" s="3" t="s">
        <v>25</v>
      </c>
    </row>
    <row r="40" spans="1:9" x14ac:dyDescent="0.25">
      <c r="A40" t="s">
        <v>17</v>
      </c>
      <c r="B40">
        <v>8</v>
      </c>
      <c r="C40">
        <v>38153712.113744102</v>
      </c>
      <c r="D40">
        <v>4769214.0142180147</v>
      </c>
      <c r="E40">
        <v>23.65507886738893</v>
      </c>
      <c r="F40">
        <v>1.8149445080306584E-7</v>
      </c>
    </row>
    <row r="41" spans="1:9" x14ac:dyDescent="0.25">
      <c r="A41" t="s">
        <v>18</v>
      </c>
      <c r="B41">
        <v>16</v>
      </c>
      <c r="C41" s="43">
        <v>3225836.8131118901</v>
      </c>
      <c r="D41">
        <v>201614.8008194929</v>
      </c>
    </row>
    <row r="42" spans="1:9" ht="15.75" thickBot="1" x14ac:dyDescent="0.3">
      <c r="A42" s="2" t="s">
        <v>19</v>
      </c>
      <c r="B42" s="2">
        <v>24</v>
      </c>
      <c r="C42" s="2">
        <v>41379548.926856004</v>
      </c>
      <c r="D42" s="2"/>
      <c r="E42" s="2"/>
      <c r="F42" s="2"/>
    </row>
    <row r="43" spans="1:9" ht="15.75" thickBot="1" x14ac:dyDescent="0.3"/>
    <row r="44" spans="1:9" x14ac:dyDescent="0.25">
      <c r="A44" s="3"/>
      <c r="B44" s="3" t="s">
        <v>26</v>
      </c>
      <c r="C44" s="3" t="s">
        <v>14</v>
      </c>
      <c r="D44" s="3" t="s">
        <v>27</v>
      </c>
      <c r="E44" s="3" t="s">
        <v>28</v>
      </c>
      <c r="F44" s="3" t="s">
        <v>29</v>
      </c>
      <c r="G44" s="3" t="s">
        <v>30</v>
      </c>
      <c r="H44" s="3" t="s">
        <v>31</v>
      </c>
      <c r="I44" s="3" t="s">
        <v>32</v>
      </c>
    </row>
    <row r="45" spans="1:9" x14ac:dyDescent="0.25">
      <c r="A45" t="s">
        <v>20</v>
      </c>
      <c r="B45">
        <v>-1507.8357777801173</v>
      </c>
      <c r="C45">
        <v>778.60841457855213</v>
      </c>
      <c r="D45">
        <v>-1.9365778092653723</v>
      </c>
      <c r="E45">
        <v>7.0662983165648272E-2</v>
      </c>
      <c r="F45">
        <v>-3158.4118818634497</v>
      </c>
      <c r="G45">
        <v>142.74032630321517</v>
      </c>
      <c r="H45">
        <v>-3158.4118818634497</v>
      </c>
      <c r="I45">
        <v>142.74032630321517</v>
      </c>
    </row>
    <row r="46" spans="1:9" x14ac:dyDescent="0.25">
      <c r="A46" t="s">
        <v>1</v>
      </c>
      <c r="B46">
        <v>2.0101369027184406</v>
      </c>
      <c r="C46">
        <v>1.9305144468374125</v>
      </c>
      <c r="D46">
        <v>1.0412441647414068</v>
      </c>
      <c r="E46" s="5">
        <v>0.31324133874061449</v>
      </c>
      <c r="F46">
        <v>-2.0823709033553799</v>
      </c>
      <c r="G46">
        <v>6.1026447087922611</v>
      </c>
      <c r="H46">
        <v>-2.0823709033553799</v>
      </c>
      <c r="I46">
        <v>6.1026447087922611</v>
      </c>
    </row>
    <row r="47" spans="1:9" x14ac:dyDescent="0.25">
      <c r="A47" t="s">
        <v>2</v>
      </c>
      <c r="B47">
        <v>3.7205572167131447E-2</v>
      </c>
      <c r="C47">
        <v>8.2021598167310739E-3</v>
      </c>
      <c r="D47">
        <v>4.5360701325568078</v>
      </c>
      <c r="E47" s="7">
        <v>3.3743134261110552E-4</v>
      </c>
      <c r="F47">
        <v>1.9817770106583605E-2</v>
      </c>
      <c r="G47">
        <v>5.4593374227679292E-2</v>
      </c>
      <c r="H47">
        <v>1.9817770106583605E-2</v>
      </c>
      <c r="I47">
        <v>5.4593374227679292E-2</v>
      </c>
    </row>
    <row r="48" spans="1:9" x14ac:dyDescent="0.25">
      <c r="A48" t="s">
        <v>3</v>
      </c>
      <c r="B48">
        <v>0.15098365871045819</v>
      </c>
      <c r="C48">
        <v>4.7106901691601297E-2</v>
      </c>
      <c r="D48">
        <v>3.2051281932935338</v>
      </c>
      <c r="E48" s="7">
        <v>5.5179142560371972E-3</v>
      </c>
      <c r="F48">
        <v>5.1121488184537892E-2</v>
      </c>
      <c r="G48">
        <v>0.25084582923637849</v>
      </c>
      <c r="H48">
        <v>5.1121488184537892E-2</v>
      </c>
      <c r="I48">
        <v>0.25084582923637849</v>
      </c>
    </row>
    <row r="49" spans="1:9" x14ac:dyDescent="0.25">
      <c r="A49" t="s">
        <v>4</v>
      </c>
      <c r="B49">
        <v>199.04018212735821</v>
      </c>
      <c r="C49">
        <v>67.02914901650098</v>
      </c>
      <c r="D49">
        <v>2.9694570951267671</v>
      </c>
      <c r="E49" s="7">
        <v>9.0369234553500915E-3</v>
      </c>
      <c r="F49">
        <v>56.944733924986593</v>
      </c>
      <c r="G49">
        <v>341.13563032972979</v>
      </c>
      <c r="H49">
        <v>56.944733924986593</v>
      </c>
      <c r="I49">
        <v>341.13563032972979</v>
      </c>
    </row>
    <row r="50" spans="1:9" x14ac:dyDescent="0.25">
      <c r="A50" t="s">
        <v>5</v>
      </c>
      <c r="B50">
        <v>290.86657482851928</v>
      </c>
      <c r="C50">
        <v>186.77687255494493</v>
      </c>
      <c r="D50">
        <v>1.5572943847368139</v>
      </c>
      <c r="E50" s="5">
        <v>0.13895817060686258</v>
      </c>
      <c r="F50">
        <v>-105.0827070726815</v>
      </c>
      <c r="G50">
        <v>686.81585672972005</v>
      </c>
      <c r="H50">
        <v>-105.0827070726815</v>
      </c>
      <c r="I50">
        <v>686.81585672972005</v>
      </c>
    </row>
    <row r="51" spans="1:9" x14ac:dyDescent="0.25">
      <c r="A51" t="s">
        <v>6</v>
      </c>
      <c r="B51">
        <v>5.549744788437029</v>
      </c>
      <c r="C51">
        <v>4.77544308204084</v>
      </c>
      <c r="D51">
        <v>1.162142379899392</v>
      </c>
      <c r="E51" s="5">
        <v>0.26222022774730902</v>
      </c>
      <c r="F51">
        <v>-4.5737423073108294</v>
      </c>
      <c r="G51">
        <v>15.673231884184887</v>
      </c>
      <c r="H51">
        <v>-4.5737423073108294</v>
      </c>
      <c r="I51">
        <v>15.673231884184887</v>
      </c>
    </row>
    <row r="52" spans="1:9" x14ac:dyDescent="0.25">
      <c r="A52" t="s">
        <v>7</v>
      </c>
      <c r="B52">
        <v>19.793893585583156</v>
      </c>
      <c r="C52">
        <v>33.675171436330615</v>
      </c>
      <c r="D52">
        <v>0.58778894780112156</v>
      </c>
      <c r="E52" s="5">
        <v>0.56487845007907356</v>
      </c>
      <c r="F52">
        <v>-51.594280794478358</v>
      </c>
      <c r="G52">
        <v>91.182067965644677</v>
      </c>
      <c r="H52">
        <v>-51.594280794478358</v>
      </c>
      <c r="I52">
        <v>91.182067965644677</v>
      </c>
    </row>
    <row r="53" spans="1:9" ht="15.75" thickBot="1" x14ac:dyDescent="0.3">
      <c r="A53" s="2" t="s">
        <v>8</v>
      </c>
      <c r="B53" s="2">
        <v>8.1890347093874691</v>
      </c>
      <c r="C53" s="2">
        <v>128.49846640514085</v>
      </c>
      <c r="D53" s="2">
        <v>6.3728657146524897E-2</v>
      </c>
      <c r="E53" s="10">
        <v>0.9499756855350403</v>
      </c>
      <c r="F53" s="2">
        <v>-264.21554516467506</v>
      </c>
      <c r="G53" s="2">
        <v>280.59361458344995</v>
      </c>
      <c r="H53" s="2">
        <v>-264.21554516467506</v>
      </c>
      <c r="I53" s="2">
        <v>280.59361458344995</v>
      </c>
    </row>
    <row r="57" spans="1:9" x14ac:dyDescent="0.25">
      <c r="A57" t="s">
        <v>33</v>
      </c>
      <c r="F57" t="s">
        <v>38</v>
      </c>
    </row>
    <row r="58" spans="1:9" ht="15.75" thickBot="1" x14ac:dyDescent="0.3"/>
    <row r="59" spans="1:9" x14ac:dyDescent="0.25">
      <c r="A59" s="3" t="s">
        <v>34</v>
      </c>
      <c r="B59" s="3" t="s">
        <v>35</v>
      </c>
      <c r="C59" s="3" t="s">
        <v>36</v>
      </c>
      <c r="D59" s="3" t="s">
        <v>37</v>
      </c>
      <c r="F59" s="3" t="s">
        <v>39</v>
      </c>
      <c r="G59" s="3" t="s">
        <v>0</v>
      </c>
    </row>
    <row r="60" spans="1:9" x14ac:dyDescent="0.25">
      <c r="A60">
        <v>1</v>
      </c>
      <c r="B60">
        <v>3378.3423113298009</v>
      </c>
      <c r="C60">
        <v>291.53768867019926</v>
      </c>
      <c r="D60">
        <v>0.79520505166880828</v>
      </c>
      <c r="F60">
        <v>2</v>
      </c>
      <c r="G60">
        <v>1578</v>
      </c>
    </row>
    <row r="61" spans="1:9" x14ac:dyDescent="0.25">
      <c r="A61">
        <v>2</v>
      </c>
      <c r="B61">
        <v>3881.2151297069072</v>
      </c>
      <c r="C61">
        <v>-407.26512970690737</v>
      </c>
      <c r="D61">
        <v>-1.1108659397991234</v>
      </c>
      <c r="F61">
        <v>6</v>
      </c>
      <c r="G61">
        <v>1741.45</v>
      </c>
    </row>
    <row r="62" spans="1:9" x14ac:dyDescent="0.25">
      <c r="A62">
        <v>3</v>
      </c>
      <c r="B62">
        <v>2617.1489535318151</v>
      </c>
      <c r="C62">
        <v>-322.04895353181519</v>
      </c>
      <c r="D62">
        <v>-0.87842829481597151</v>
      </c>
      <c r="F62">
        <v>10</v>
      </c>
      <c r="G62">
        <v>2035.75</v>
      </c>
    </row>
    <row r="63" spans="1:9" x14ac:dyDescent="0.25">
      <c r="A63">
        <v>4</v>
      </c>
      <c r="B63">
        <v>4825.9138468497595</v>
      </c>
      <c r="C63">
        <v>-150.35384684975907</v>
      </c>
      <c r="D63">
        <v>-0.41010868645535875</v>
      </c>
      <c r="F63">
        <v>14</v>
      </c>
      <c r="G63">
        <v>2134.94</v>
      </c>
    </row>
    <row r="64" spans="1:9" x14ac:dyDescent="0.25">
      <c r="A64">
        <v>5</v>
      </c>
      <c r="B64">
        <v>5492.6223398027741</v>
      </c>
      <c r="C64">
        <v>633.33766019722589</v>
      </c>
      <c r="D64">
        <v>1.727506687379518</v>
      </c>
      <c r="F64">
        <v>18</v>
      </c>
      <c r="G64">
        <v>2295.1</v>
      </c>
    </row>
    <row r="65" spans="1:7" x14ac:dyDescent="0.25">
      <c r="A65">
        <v>6</v>
      </c>
      <c r="B65">
        <v>2057.824250068496</v>
      </c>
      <c r="C65">
        <v>77.11574993150407</v>
      </c>
      <c r="D65">
        <v>0.210342731975665</v>
      </c>
      <c r="F65">
        <v>22</v>
      </c>
      <c r="G65">
        <v>2337.38</v>
      </c>
    </row>
    <row r="66" spans="1:7" x14ac:dyDescent="0.25">
      <c r="A66">
        <v>7</v>
      </c>
      <c r="B66">
        <v>5286.065026652971</v>
      </c>
      <c r="C66">
        <v>-254.40502665297117</v>
      </c>
      <c r="D66">
        <v>-0.69392113001635336</v>
      </c>
      <c r="F66">
        <v>26</v>
      </c>
      <c r="G66">
        <v>2408.11</v>
      </c>
    </row>
    <row r="67" spans="1:7" x14ac:dyDescent="0.25">
      <c r="A67">
        <v>8</v>
      </c>
      <c r="B67">
        <v>2955.1212982131874</v>
      </c>
      <c r="C67">
        <v>412.32870178681242</v>
      </c>
      <c r="D67">
        <v>1.124677458014131</v>
      </c>
      <c r="F67">
        <v>30</v>
      </c>
      <c r="G67">
        <v>2468.27</v>
      </c>
    </row>
    <row r="68" spans="1:7" x14ac:dyDescent="0.25">
      <c r="A68">
        <v>9</v>
      </c>
      <c r="B68">
        <v>6171.9639642656339</v>
      </c>
      <c r="C68">
        <v>347.48603573436594</v>
      </c>
      <c r="D68">
        <v>0.94781107808302822</v>
      </c>
      <c r="F68">
        <v>34</v>
      </c>
      <c r="G68">
        <v>2533.31</v>
      </c>
    </row>
    <row r="69" spans="1:7" x14ac:dyDescent="0.25">
      <c r="A69">
        <v>10</v>
      </c>
      <c r="B69">
        <v>4087.4151617009984</v>
      </c>
      <c r="C69">
        <v>788.95483829900149</v>
      </c>
      <c r="D69">
        <v>2.1519717598627039</v>
      </c>
      <c r="F69">
        <v>38</v>
      </c>
      <c r="G69">
        <v>2729.24</v>
      </c>
    </row>
    <row r="70" spans="1:7" x14ac:dyDescent="0.25">
      <c r="A70">
        <v>11</v>
      </c>
      <c r="B70">
        <v>2567.538546666382</v>
      </c>
      <c r="C70">
        <v>-99.268546666382008</v>
      </c>
      <c r="D70">
        <v>-0.27076722101006651</v>
      </c>
      <c r="F70">
        <v>42</v>
      </c>
      <c r="G70">
        <v>2799.97</v>
      </c>
    </row>
    <row r="71" spans="1:7" x14ac:dyDescent="0.25">
      <c r="A71">
        <v>12</v>
      </c>
      <c r="B71">
        <v>2093.8181829056898</v>
      </c>
      <c r="C71">
        <v>439.49181709431014</v>
      </c>
      <c r="D71">
        <v>1.1987682097454437</v>
      </c>
      <c r="F71">
        <v>46</v>
      </c>
      <c r="G71">
        <v>2800.78</v>
      </c>
    </row>
    <row r="72" spans="1:7" x14ac:dyDescent="0.25">
      <c r="A72">
        <v>13</v>
      </c>
      <c r="B72">
        <v>2402.8377919550462</v>
      </c>
      <c r="C72">
        <v>5.2722080449539135</v>
      </c>
      <c r="D72">
        <v>1.4380598576875648E-2</v>
      </c>
      <c r="F72">
        <v>50</v>
      </c>
      <c r="G72">
        <v>3264.2</v>
      </c>
    </row>
    <row r="73" spans="1:7" x14ac:dyDescent="0.25">
      <c r="A73">
        <v>14</v>
      </c>
      <c r="B73">
        <v>2288.0730476334588</v>
      </c>
      <c r="C73">
        <v>49.306952366541282</v>
      </c>
      <c r="D73">
        <v>0.13449080214332801</v>
      </c>
      <c r="F73">
        <v>54</v>
      </c>
      <c r="G73">
        <v>3289.4</v>
      </c>
    </row>
    <row r="74" spans="1:7" x14ac:dyDescent="0.25">
      <c r="A74">
        <v>15</v>
      </c>
      <c r="B74">
        <v>4731.6113011266934</v>
      </c>
      <c r="C74">
        <v>-144.66130112669362</v>
      </c>
      <c r="D74">
        <v>-0.39458156494840951</v>
      </c>
      <c r="F74">
        <v>58</v>
      </c>
      <c r="G74">
        <v>3367.45</v>
      </c>
    </row>
    <row r="75" spans="1:7" x14ac:dyDescent="0.25">
      <c r="A75">
        <v>16</v>
      </c>
      <c r="B75">
        <v>2813.0128033522396</v>
      </c>
      <c r="C75">
        <v>-83.772803352239862</v>
      </c>
      <c r="D75">
        <v>-0.22850066734774213</v>
      </c>
      <c r="F75">
        <v>62</v>
      </c>
      <c r="G75">
        <v>3453.62</v>
      </c>
    </row>
    <row r="76" spans="1:7" x14ac:dyDescent="0.25">
      <c r="A76">
        <v>17</v>
      </c>
      <c r="B76">
        <v>3355.5359702332503</v>
      </c>
      <c r="C76">
        <v>-66.135970233250191</v>
      </c>
      <c r="D76">
        <v>-0.1803940268113759</v>
      </c>
      <c r="F76">
        <v>66</v>
      </c>
      <c r="G76">
        <v>3473.95</v>
      </c>
    </row>
    <row r="77" spans="1:7" x14ac:dyDescent="0.25">
      <c r="A77">
        <v>18</v>
      </c>
      <c r="B77">
        <v>2804.3029503505809</v>
      </c>
      <c r="C77">
        <v>-3.5229503505806861</v>
      </c>
      <c r="D77">
        <v>-9.6092821766495824E-3</v>
      </c>
      <c r="F77">
        <v>70</v>
      </c>
      <c r="G77">
        <v>3669.88</v>
      </c>
    </row>
    <row r="78" spans="1:7" x14ac:dyDescent="0.25">
      <c r="A78">
        <v>19</v>
      </c>
      <c r="B78">
        <v>3796.9441280845303</v>
      </c>
      <c r="C78">
        <v>-532.74412808453053</v>
      </c>
      <c r="D78">
        <v>-1.4531254049247648</v>
      </c>
      <c r="F78">
        <v>74</v>
      </c>
      <c r="G78">
        <v>4167.4399999999996</v>
      </c>
    </row>
    <row r="79" spans="1:7" x14ac:dyDescent="0.25">
      <c r="A79">
        <v>20</v>
      </c>
      <c r="B79">
        <v>3975.0520335181959</v>
      </c>
      <c r="C79">
        <v>-521.43203351819602</v>
      </c>
      <c r="D79">
        <v>-1.4222702699158551</v>
      </c>
      <c r="F79">
        <v>78</v>
      </c>
      <c r="G79">
        <v>4586.95</v>
      </c>
    </row>
    <row r="80" spans="1:7" x14ac:dyDescent="0.25">
      <c r="A80">
        <v>21</v>
      </c>
      <c r="B80">
        <v>1377.0058508368159</v>
      </c>
      <c r="C80">
        <v>364.44414916318419</v>
      </c>
      <c r="D80">
        <v>0.994066426840437</v>
      </c>
      <c r="F80">
        <v>82</v>
      </c>
      <c r="G80">
        <v>4675.5600000000004</v>
      </c>
    </row>
    <row r="81" spans="1:7" x14ac:dyDescent="0.25">
      <c r="A81">
        <v>22</v>
      </c>
      <c r="B81">
        <v>2585.1447176524889</v>
      </c>
      <c r="C81">
        <v>-549.39471765248891</v>
      </c>
      <c r="D81">
        <v>-1.4985419443715149</v>
      </c>
      <c r="F81">
        <v>86</v>
      </c>
      <c r="G81">
        <v>4876.37</v>
      </c>
    </row>
    <row r="82" spans="1:7" x14ac:dyDescent="0.25">
      <c r="A82">
        <v>23</v>
      </c>
      <c r="B82">
        <v>1728.9437064736285</v>
      </c>
      <c r="C82">
        <v>-150.94370647362848</v>
      </c>
      <c r="D82">
        <v>-0.41171760142898001</v>
      </c>
      <c r="F82">
        <v>90</v>
      </c>
      <c r="G82">
        <v>5031.66</v>
      </c>
    </row>
    <row r="83" spans="1:7" x14ac:dyDescent="0.25">
      <c r="A83">
        <v>24</v>
      </c>
      <c r="B83">
        <v>4549.3465149745489</v>
      </c>
      <c r="C83">
        <v>-381.90651497454928</v>
      </c>
      <c r="D83">
        <v>-1.0416971862479965</v>
      </c>
      <c r="F83">
        <v>94</v>
      </c>
      <c r="G83">
        <v>6125.96</v>
      </c>
    </row>
    <row r="84" spans="1:7" ht="15.75" thickBot="1" x14ac:dyDescent="0.3">
      <c r="A84" s="2">
        <v>25</v>
      </c>
      <c r="B84" s="2">
        <v>2541.3901721140892</v>
      </c>
      <c r="C84" s="2">
        <v>258.57982788591062</v>
      </c>
      <c r="D84" s="2">
        <v>0.70530841598026917</v>
      </c>
      <c r="F84" s="2">
        <v>98</v>
      </c>
      <c r="G84" s="2">
        <v>6519.45</v>
      </c>
    </row>
  </sheetData>
  <sortState xmlns:xlrd2="http://schemas.microsoft.com/office/spreadsheetml/2017/richdata2" ref="G60:G84">
    <sortCondition ref="G60"/>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0E91-747C-4895-BC38-C4E7A3F80335}">
  <dimension ref="A1:R51"/>
  <sheetViews>
    <sheetView topLeftCell="A36" zoomScale="93" zoomScaleNormal="93" workbookViewId="0">
      <selection activeCell="R3" sqref="R3"/>
    </sheetView>
  </sheetViews>
  <sheetFormatPr defaultRowHeight="15" x14ac:dyDescent="0.25"/>
  <cols>
    <col min="1" max="1" width="17.5703125" customWidth="1"/>
    <col min="3" max="3" width="10.7109375" bestFit="1" customWidth="1"/>
    <col min="11" max="11" width="13.85546875" bestFit="1" customWidth="1"/>
    <col min="12" max="12" width="15.42578125" customWidth="1"/>
  </cols>
  <sheetData>
    <row r="1" spans="1:18" x14ac:dyDescent="0.25">
      <c r="A1" t="s">
        <v>0</v>
      </c>
      <c r="B1" t="s">
        <v>1</v>
      </c>
      <c r="C1" t="s">
        <v>2</v>
      </c>
      <c r="D1" t="s">
        <v>3</v>
      </c>
      <c r="E1" t="s">
        <v>4</v>
      </c>
      <c r="F1" t="s">
        <v>5</v>
      </c>
      <c r="G1" t="s">
        <v>6</v>
      </c>
      <c r="H1" t="s">
        <v>7</v>
      </c>
      <c r="K1" t="s">
        <v>52</v>
      </c>
      <c r="L1" t="s">
        <v>51</v>
      </c>
      <c r="M1" t="s">
        <v>41</v>
      </c>
    </row>
    <row r="2" spans="1:18" x14ac:dyDescent="0.25">
      <c r="A2">
        <v>3669.88</v>
      </c>
      <c r="B2">
        <v>43.1</v>
      </c>
      <c r="C2">
        <v>74065.100000000006</v>
      </c>
      <c r="D2">
        <v>4582.8999999999996</v>
      </c>
      <c r="E2">
        <v>2.5099999999999998</v>
      </c>
      <c r="F2">
        <v>0.34</v>
      </c>
      <c r="G2">
        <v>74.86</v>
      </c>
      <c r="H2">
        <v>15.05</v>
      </c>
      <c r="K2" s="16">
        <f>C40</f>
        <v>3226655.6397182001</v>
      </c>
      <c r="L2" s="43">
        <v>3225836.8131118901</v>
      </c>
      <c r="M2">
        <f>(K2-L2)/1</f>
        <v>818.8266063099727</v>
      </c>
      <c r="R2" t="s">
        <v>53</v>
      </c>
    </row>
    <row r="3" spans="1:18" x14ac:dyDescent="0.25">
      <c r="A3">
        <v>3473.95</v>
      </c>
      <c r="B3">
        <v>108.13</v>
      </c>
      <c r="C3">
        <v>58117.3</v>
      </c>
      <c r="D3">
        <v>5539.8</v>
      </c>
      <c r="E3">
        <v>5.51</v>
      </c>
      <c r="F3">
        <v>0.15</v>
      </c>
      <c r="G3">
        <v>107.32</v>
      </c>
      <c r="H3">
        <v>19.97</v>
      </c>
      <c r="O3" t="s">
        <v>45</v>
      </c>
      <c r="P3">
        <f>M2/M5</f>
        <v>4.0613417416862805E-3</v>
      </c>
      <c r="R3">
        <f>8-7</f>
        <v>1</v>
      </c>
    </row>
    <row r="4" spans="1:18" x14ac:dyDescent="0.25">
      <c r="A4">
        <v>2295.1</v>
      </c>
      <c r="B4">
        <v>13.82</v>
      </c>
      <c r="C4">
        <v>21118.5</v>
      </c>
      <c r="D4">
        <v>2950.4</v>
      </c>
      <c r="E4">
        <v>10.91</v>
      </c>
      <c r="F4">
        <v>-0.72</v>
      </c>
      <c r="G4">
        <v>96.75</v>
      </c>
      <c r="H4">
        <v>17.34</v>
      </c>
      <c r="K4" t="s">
        <v>51</v>
      </c>
      <c r="L4" t="s">
        <v>43</v>
      </c>
      <c r="M4" t="s">
        <v>44</v>
      </c>
      <c r="R4" t="s">
        <v>54</v>
      </c>
    </row>
    <row r="5" spans="1:18" x14ac:dyDescent="0.25">
      <c r="A5">
        <v>4675.5600000000004</v>
      </c>
      <c r="B5">
        <v>186.18</v>
      </c>
      <c r="C5">
        <v>68521.3</v>
      </c>
      <c r="D5">
        <v>2243.1</v>
      </c>
      <c r="E5">
        <v>8.27</v>
      </c>
      <c r="F5">
        <v>0.17</v>
      </c>
      <c r="G5">
        <v>195.12</v>
      </c>
      <c r="H5">
        <v>13.4</v>
      </c>
      <c r="K5" s="43">
        <f>L2</f>
        <v>3225836.8131118901</v>
      </c>
      <c r="L5">
        <f>25-8-1</f>
        <v>16</v>
      </c>
      <c r="M5">
        <f>K5/L5</f>
        <v>201614.80081949313</v>
      </c>
      <c r="O5" t="s">
        <v>46</v>
      </c>
      <c r="P5" s="11">
        <f>_xlfn.F.DIST.RT(P3,1,L5)</f>
        <v>0.94997568553512046</v>
      </c>
      <c r="R5">
        <f>L5</f>
        <v>16</v>
      </c>
    </row>
    <row r="6" spans="1:18" x14ac:dyDescent="0.25">
      <c r="A6">
        <v>6125.96</v>
      </c>
      <c r="B6">
        <v>161.79</v>
      </c>
      <c r="C6">
        <v>57805.1</v>
      </c>
      <c r="D6">
        <v>7747.1</v>
      </c>
      <c r="E6">
        <v>9.15</v>
      </c>
      <c r="F6">
        <v>0.5</v>
      </c>
      <c r="G6">
        <v>180.44</v>
      </c>
      <c r="H6">
        <v>17.64</v>
      </c>
    </row>
    <row r="7" spans="1:18" x14ac:dyDescent="0.25">
      <c r="A7">
        <v>2134.94</v>
      </c>
      <c r="B7">
        <v>8.94</v>
      </c>
      <c r="C7">
        <v>37806.9</v>
      </c>
      <c r="D7">
        <v>402.4</v>
      </c>
      <c r="E7">
        <v>5.51</v>
      </c>
      <c r="F7">
        <v>0.15</v>
      </c>
      <c r="G7">
        <v>104.88</v>
      </c>
      <c r="H7">
        <v>16.22</v>
      </c>
    </row>
    <row r="8" spans="1:18" x14ac:dyDescent="0.25">
      <c r="A8">
        <v>5031.66</v>
      </c>
      <c r="B8">
        <v>365.04</v>
      </c>
      <c r="C8">
        <v>50935.3</v>
      </c>
      <c r="D8">
        <v>3140.6</v>
      </c>
      <c r="E8">
        <v>8.5399999999999991</v>
      </c>
      <c r="F8">
        <v>0.55000000000000004</v>
      </c>
      <c r="G8">
        <v>256.10000000000002</v>
      </c>
      <c r="H8">
        <v>18.8</v>
      </c>
    </row>
    <row r="9" spans="1:18" x14ac:dyDescent="0.25">
      <c r="A9">
        <v>3367.45</v>
      </c>
      <c r="B9">
        <v>220.32</v>
      </c>
      <c r="C9">
        <v>35602.1</v>
      </c>
      <c r="D9">
        <v>2086.1999999999998</v>
      </c>
      <c r="E9">
        <v>7.07</v>
      </c>
      <c r="F9">
        <v>-0.49</v>
      </c>
      <c r="G9">
        <v>126.83</v>
      </c>
      <c r="H9">
        <v>19.86</v>
      </c>
    </row>
    <row r="10" spans="1:18" x14ac:dyDescent="0.25">
      <c r="A10">
        <v>6519.45</v>
      </c>
      <c r="B10">
        <v>127.64</v>
      </c>
      <c r="C10">
        <v>46176.800000000003</v>
      </c>
      <c r="D10">
        <v>8846.2000000000007</v>
      </c>
      <c r="E10">
        <v>12.54</v>
      </c>
      <c r="F10">
        <v>1.24</v>
      </c>
      <c r="G10">
        <v>203.25</v>
      </c>
      <c r="H10">
        <v>17.420000000000002</v>
      </c>
    </row>
    <row r="11" spans="1:18" x14ac:dyDescent="0.25">
      <c r="A11">
        <v>4876.37</v>
      </c>
      <c r="B11">
        <v>105.69</v>
      </c>
      <c r="C11">
        <v>42053.2</v>
      </c>
      <c r="D11">
        <v>5673.1</v>
      </c>
      <c r="E11">
        <v>8.85</v>
      </c>
      <c r="F11">
        <v>0.31</v>
      </c>
      <c r="G11">
        <v>119.51</v>
      </c>
      <c r="H11">
        <v>21.41</v>
      </c>
    </row>
    <row r="12" spans="1:18" x14ac:dyDescent="0.25">
      <c r="A12">
        <v>2468.27</v>
      </c>
      <c r="B12">
        <v>57.72</v>
      </c>
      <c r="C12">
        <v>36829.699999999997</v>
      </c>
      <c r="D12">
        <v>2761.8</v>
      </c>
      <c r="E12">
        <v>5.38</v>
      </c>
      <c r="F12">
        <v>0.37</v>
      </c>
      <c r="G12">
        <v>116.26</v>
      </c>
      <c r="H12">
        <v>16.32</v>
      </c>
    </row>
    <row r="13" spans="1:18" x14ac:dyDescent="0.25">
      <c r="A13">
        <v>2533.31</v>
      </c>
      <c r="B13">
        <v>23.58</v>
      </c>
      <c r="C13">
        <v>33612.699999999997</v>
      </c>
      <c r="D13">
        <v>1991.8</v>
      </c>
      <c r="E13">
        <v>5.43</v>
      </c>
      <c r="F13">
        <v>-0.65</v>
      </c>
      <c r="G13">
        <v>142.28</v>
      </c>
      <c r="H13">
        <v>14.51</v>
      </c>
    </row>
    <row r="14" spans="1:18" x14ac:dyDescent="0.25">
      <c r="A14">
        <v>2408.11</v>
      </c>
      <c r="B14">
        <v>13.82</v>
      </c>
      <c r="C14">
        <v>21412.799999999999</v>
      </c>
      <c r="D14">
        <v>1971.5</v>
      </c>
      <c r="E14">
        <v>8.48</v>
      </c>
      <c r="F14">
        <v>0.64</v>
      </c>
      <c r="G14">
        <v>89.43</v>
      </c>
      <c r="H14">
        <v>19.350000000000001</v>
      </c>
    </row>
    <row r="15" spans="1:18" x14ac:dyDescent="0.25">
      <c r="A15">
        <v>2337.38</v>
      </c>
      <c r="B15">
        <v>13.82</v>
      </c>
      <c r="C15">
        <v>20416.900000000001</v>
      </c>
      <c r="D15">
        <v>1737.4</v>
      </c>
      <c r="E15">
        <v>7.8</v>
      </c>
      <c r="F15">
        <v>1.01</v>
      </c>
      <c r="G15">
        <v>84.55</v>
      </c>
      <c r="H15">
        <v>20.02</v>
      </c>
    </row>
    <row r="16" spans="1:18" x14ac:dyDescent="0.25">
      <c r="A16">
        <v>4586.95</v>
      </c>
      <c r="B16">
        <v>86.99</v>
      </c>
      <c r="C16">
        <v>36272</v>
      </c>
      <c r="D16">
        <v>10694.2</v>
      </c>
      <c r="E16">
        <v>10.34</v>
      </c>
      <c r="F16">
        <v>0.11</v>
      </c>
      <c r="G16">
        <v>119.51</v>
      </c>
      <c r="H16">
        <v>15.26</v>
      </c>
    </row>
    <row r="17" spans="1:8" x14ac:dyDescent="0.25">
      <c r="A17">
        <v>2729.24</v>
      </c>
      <c r="B17">
        <v>165.85</v>
      </c>
      <c r="C17">
        <v>23093.3</v>
      </c>
      <c r="D17">
        <v>8618.6</v>
      </c>
      <c r="E17">
        <v>5.15</v>
      </c>
      <c r="F17">
        <v>0.04</v>
      </c>
      <c r="G17">
        <v>80.489999999999995</v>
      </c>
      <c r="H17">
        <v>15.87</v>
      </c>
    </row>
    <row r="18" spans="1:8" x14ac:dyDescent="0.25">
      <c r="A18">
        <v>3289.4</v>
      </c>
      <c r="B18">
        <v>116.26</v>
      </c>
      <c r="C18">
        <v>26878.6</v>
      </c>
      <c r="D18">
        <v>7747.9</v>
      </c>
      <c r="E18">
        <v>6.64</v>
      </c>
      <c r="F18">
        <v>0.68</v>
      </c>
      <c r="G18">
        <v>136.58000000000001</v>
      </c>
      <c r="H18">
        <v>7.81</v>
      </c>
    </row>
    <row r="19" spans="1:8" x14ac:dyDescent="0.25">
      <c r="A19">
        <v>2800.78</v>
      </c>
      <c r="B19">
        <v>42.28</v>
      </c>
      <c r="C19">
        <v>39572</v>
      </c>
      <c r="D19">
        <v>4565.8</v>
      </c>
      <c r="E19">
        <v>5.45</v>
      </c>
      <c r="F19">
        <v>0.66</v>
      </c>
      <c r="G19">
        <v>78.86</v>
      </c>
      <c r="H19">
        <v>16</v>
      </c>
    </row>
    <row r="20" spans="1:8" x14ac:dyDescent="0.25">
      <c r="A20">
        <v>3264.2</v>
      </c>
      <c r="B20">
        <v>52.84</v>
      </c>
      <c r="C20">
        <v>51866.1</v>
      </c>
      <c r="D20">
        <v>6022.7</v>
      </c>
      <c r="E20">
        <v>6.31</v>
      </c>
      <c r="F20">
        <v>-0.1</v>
      </c>
      <c r="G20">
        <v>136.58000000000001</v>
      </c>
      <c r="H20">
        <v>17.440000000000001</v>
      </c>
    </row>
    <row r="21" spans="1:8" x14ac:dyDescent="0.25">
      <c r="A21">
        <v>3453.62</v>
      </c>
      <c r="B21">
        <v>165.04</v>
      </c>
      <c r="C21">
        <v>58749.8</v>
      </c>
      <c r="D21">
        <v>3721.1</v>
      </c>
      <c r="E21">
        <v>6.35</v>
      </c>
      <c r="F21">
        <v>-0.03</v>
      </c>
      <c r="G21">
        <v>138.21</v>
      </c>
      <c r="H21">
        <v>17.98</v>
      </c>
    </row>
    <row r="22" spans="1:8" x14ac:dyDescent="0.25">
      <c r="A22">
        <v>1741.45</v>
      </c>
      <c r="B22">
        <v>10.57</v>
      </c>
      <c r="C22">
        <v>23990.799999999999</v>
      </c>
      <c r="D22">
        <v>861</v>
      </c>
      <c r="E22">
        <v>7.37</v>
      </c>
      <c r="F22">
        <v>-1.63</v>
      </c>
      <c r="G22">
        <v>75.61</v>
      </c>
      <c r="H22">
        <v>20.99</v>
      </c>
    </row>
    <row r="23" spans="1:8" x14ac:dyDescent="0.25">
      <c r="A23">
        <v>2035.75</v>
      </c>
      <c r="B23">
        <v>13.82</v>
      </c>
      <c r="C23">
        <v>25694.9</v>
      </c>
      <c r="D23">
        <v>3571.5</v>
      </c>
      <c r="E23">
        <v>8.39</v>
      </c>
      <c r="F23">
        <v>-0.43</v>
      </c>
      <c r="G23">
        <v>102.44</v>
      </c>
      <c r="H23">
        <v>21.66</v>
      </c>
    </row>
    <row r="24" spans="1:8" x14ac:dyDescent="0.25">
      <c r="A24">
        <v>1578</v>
      </c>
      <c r="B24">
        <v>8.1300000000000008</v>
      </c>
      <c r="C24">
        <v>23736.3</v>
      </c>
      <c r="D24">
        <v>2845.5</v>
      </c>
      <c r="E24">
        <v>5.15</v>
      </c>
      <c r="F24">
        <v>0.04</v>
      </c>
      <c r="G24">
        <v>76.42</v>
      </c>
      <c r="H24">
        <v>21.46</v>
      </c>
    </row>
    <row r="25" spans="1:8" x14ac:dyDescent="0.25">
      <c r="A25">
        <v>4167.4399999999996</v>
      </c>
      <c r="B25">
        <v>58.44</v>
      </c>
      <c r="C25">
        <v>34314.300000000003</v>
      </c>
      <c r="D25">
        <v>5060.1000000000004</v>
      </c>
      <c r="E25">
        <v>12.88</v>
      </c>
      <c r="F25">
        <v>0.22</v>
      </c>
      <c r="G25">
        <v>136.58000000000001</v>
      </c>
      <c r="H25">
        <v>24.78</v>
      </c>
    </row>
    <row r="26" spans="1:8" x14ac:dyDescent="0.25">
      <c r="A26">
        <v>2799.97</v>
      </c>
      <c r="B26">
        <v>21.14</v>
      </c>
      <c r="C26">
        <v>22809.5</v>
      </c>
      <c r="D26">
        <v>3552</v>
      </c>
      <c r="E26">
        <v>9.14</v>
      </c>
      <c r="F26">
        <v>-0.74</v>
      </c>
      <c r="G26">
        <v>88.62</v>
      </c>
      <c r="H26">
        <v>24.96</v>
      </c>
    </row>
    <row r="28" spans="1:8" x14ac:dyDescent="0.25">
      <c r="A28" t="s">
        <v>9</v>
      </c>
    </row>
    <row r="29" spans="1:8" ht="15.75" thickBot="1" x14ac:dyDescent="0.3"/>
    <row r="30" spans="1:8" x14ac:dyDescent="0.25">
      <c r="A30" s="4" t="s">
        <v>10</v>
      </c>
      <c r="B30" s="4"/>
    </row>
    <row r="31" spans="1:8" x14ac:dyDescent="0.25">
      <c r="A31" t="s">
        <v>11</v>
      </c>
      <c r="B31">
        <v>0.96022025509862985</v>
      </c>
    </row>
    <row r="32" spans="1:8" x14ac:dyDescent="0.25">
      <c r="A32" t="s">
        <v>12</v>
      </c>
      <c r="B32">
        <v>0.9220229383016777</v>
      </c>
    </row>
    <row r="33" spans="1:9" x14ac:dyDescent="0.25">
      <c r="A33" t="s">
        <v>13</v>
      </c>
      <c r="B33">
        <v>0.88991473642589791</v>
      </c>
    </row>
    <row r="34" spans="1:9" x14ac:dyDescent="0.25">
      <c r="A34" t="s">
        <v>14</v>
      </c>
      <c r="B34">
        <v>435.6641744791508</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7</v>
      </c>
      <c r="C39">
        <v>38152893.287137806</v>
      </c>
      <c r="D39">
        <v>5450413.3267339719</v>
      </c>
      <c r="E39">
        <v>28.716118762078292</v>
      </c>
      <c r="F39">
        <v>3.2078449531868179E-8</v>
      </c>
    </row>
    <row r="40" spans="1:9" x14ac:dyDescent="0.25">
      <c r="A40" t="s">
        <v>18</v>
      </c>
      <c r="B40">
        <v>17</v>
      </c>
      <c r="C40">
        <v>3226655.6397182001</v>
      </c>
      <c r="D40">
        <v>189803.27292459997</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-1485.9001351567194</v>
      </c>
      <c r="C44">
        <v>677.62814862080847</v>
      </c>
      <c r="D44">
        <v>-2.192795765909378</v>
      </c>
      <c r="E44">
        <v>4.2522722695446769E-2</v>
      </c>
      <c r="F44">
        <v>-2915.5705590952512</v>
      </c>
      <c r="G44">
        <v>-56.229711218187731</v>
      </c>
      <c r="H44">
        <v>-2915.5705590952512</v>
      </c>
      <c r="I44">
        <v>-56.229711218187731</v>
      </c>
    </row>
    <row r="45" spans="1:9" x14ac:dyDescent="0.25">
      <c r="A45" t="s">
        <v>1</v>
      </c>
      <c r="B45">
        <v>1.9751282954973879</v>
      </c>
      <c r="C45">
        <v>1.795676536301803</v>
      </c>
      <c r="D45">
        <v>1.0999354591808421</v>
      </c>
      <c r="E45">
        <v>0.2866928147877103</v>
      </c>
      <c r="F45">
        <v>-1.8134180335419299</v>
      </c>
      <c r="G45">
        <v>5.7636746245367059</v>
      </c>
      <c r="H45">
        <v>-1.8134180335419299</v>
      </c>
      <c r="I45">
        <v>5.7636746245367059</v>
      </c>
    </row>
    <row r="46" spans="1:9" x14ac:dyDescent="0.25">
      <c r="A46" t="s">
        <v>2</v>
      </c>
      <c r="B46">
        <v>3.7291153962744822E-2</v>
      </c>
      <c r="C46">
        <v>7.8508831868667611E-3</v>
      </c>
      <c r="D46">
        <v>4.7499310682811844</v>
      </c>
      <c r="E46">
        <v>1.8549823663557426E-4</v>
      </c>
      <c r="F46">
        <v>2.0727238315343652E-2</v>
      </c>
      <c r="G46">
        <v>5.3855069610145995E-2</v>
      </c>
      <c r="H46">
        <v>2.0727238315343652E-2</v>
      </c>
      <c r="I46">
        <v>5.3855069610145995E-2</v>
      </c>
    </row>
    <row r="47" spans="1:9" x14ac:dyDescent="0.25">
      <c r="A47" t="s">
        <v>3</v>
      </c>
      <c r="B47">
        <v>0.15195556469711505</v>
      </c>
      <c r="C47">
        <v>4.324464882422753E-2</v>
      </c>
      <c r="D47">
        <v>3.5138582189614853</v>
      </c>
      <c r="E47">
        <v>2.6628174918612631E-3</v>
      </c>
      <c r="F47">
        <v>6.0717330949828577E-2</v>
      </c>
      <c r="G47">
        <v>0.24319379844440153</v>
      </c>
      <c r="H47">
        <v>6.0717330949828577E-2</v>
      </c>
      <c r="I47">
        <v>0.24319379844440153</v>
      </c>
    </row>
    <row r="48" spans="1:9" x14ac:dyDescent="0.25">
      <c r="A48" t="s">
        <v>4</v>
      </c>
      <c r="B48">
        <v>198.32523081155523</v>
      </c>
      <c r="C48">
        <v>64.118688293358232</v>
      </c>
      <c r="D48">
        <v>3.0930955715152839</v>
      </c>
      <c r="E48">
        <v>6.6014716287980529E-3</v>
      </c>
      <c r="F48">
        <v>63.046623419989288</v>
      </c>
      <c r="G48">
        <v>333.6038382031212</v>
      </c>
      <c r="H48">
        <v>63.046623419989288</v>
      </c>
      <c r="I48">
        <v>333.6038382031212</v>
      </c>
    </row>
    <row r="49" spans="1:9" x14ac:dyDescent="0.25">
      <c r="A49" t="s">
        <v>5</v>
      </c>
      <c r="B49">
        <v>295.87737364170107</v>
      </c>
      <c r="C49">
        <v>164.38310160061832</v>
      </c>
      <c r="D49">
        <v>1.7999257269190505</v>
      </c>
      <c r="E49">
        <v>8.9644302077015153E-2</v>
      </c>
      <c r="F49">
        <v>-50.940654847840335</v>
      </c>
      <c r="G49">
        <v>642.69540213124242</v>
      </c>
      <c r="H49">
        <v>-50.940654847840335</v>
      </c>
      <c r="I49">
        <v>642.69540213124242</v>
      </c>
    </row>
    <row r="50" spans="1:9" x14ac:dyDescent="0.25">
      <c r="A50" t="s">
        <v>6</v>
      </c>
      <c r="B50">
        <v>5.6089487219499139</v>
      </c>
      <c r="C50">
        <v>4.5449270889450277</v>
      </c>
      <c r="D50">
        <v>1.2341119257100928</v>
      </c>
      <c r="E50">
        <v>0.23395043045463759</v>
      </c>
      <c r="F50">
        <v>-3.9800092504229356</v>
      </c>
      <c r="G50">
        <v>15.197906694322764</v>
      </c>
      <c r="H50">
        <v>-3.9800092504229356</v>
      </c>
      <c r="I50">
        <v>15.197906694322764</v>
      </c>
    </row>
    <row r="51" spans="1:9" ht="15.75" thickBot="1" x14ac:dyDescent="0.3">
      <c r="A51" s="2" t="s">
        <v>7</v>
      </c>
      <c r="B51" s="2">
        <v>19.898918300377883</v>
      </c>
      <c r="C51" s="2">
        <v>32.634711734750979</v>
      </c>
      <c r="D51" s="2">
        <v>0.60974702219258692</v>
      </c>
      <c r="E51" s="37">
        <v>0.55009330404218515</v>
      </c>
      <c r="F51" s="2">
        <v>-48.95430489569948</v>
      </c>
      <c r="G51" s="2">
        <v>88.752141496455252</v>
      </c>
      <c r="H51" s="2">
        <v>-48.95430489569948</v>
      </c>
      <c r="I51" s="2">
        <v>88.752141496455252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6733-72ED-4EDB-A5F8-AFEFC5ED3614}">
  <dimension ref="A1:P50"/>
  <sheetViews>
    <sheetView topLeftCell="A42" zoomScale="95" zoomScaleNormal="95" workbookViewId="0">
      <selection activeCell="A44" sqref="A44:A50"/>
    </sheetView>
  </sheetViews>
  <sheetFormatPr defaultRowHeight="15" x14ac:dyDescent="0.25"/>
  <cols>
    <col min="1" max="1" width="18.28515625" bestFit="1" customWidth="1"/>
    <col min="3" max="3" width="13.5703125" bestFit="1" customWidth="1"/>
    <col min="11" max="12" width="13.28515625" bestFit="1" customWidth="1"/>
    <col min="13" max="13" width="10.5703125" bestFit="1" customWidth="1"/>
  </cols>
  <sheetData>
    <row r="1" spans="1:16" x14ac:dyDescent="0.25">
      <c r="A1" t="s">
        <v>0</v>
      </c>
      <c r="B1" t="s">
        <v>1</v>
      </c>
      <c r="C1" t="s">
        <v>2</v>
      </c>
      <c r="D1" t="s">
        <v>3</v>
      </c>
      <c r="E1" t="s">
        <v>4</v>
      </c>
      <c r="F1" t="s">
        <v>5</v>
      </c>
      <c r="G1" t="s">
        <v>6</v>
      </c>
      <c r="K1" t="s">
        <v>52</v>
      </c>
      <c r="L1" t="s">
        <v>51</v>
      </c>
      <c r="M1" t="s">
        <v>41</v>
      </c>
    </row>
    <row r="2" spans="1:16" x14ac:dyDescent="0.25">
      <c r="A2">
        <v>3669.88</v>
      </c>
      <c r="B2">
        <v>43.1</v>
      </c>
      <c r="C2">
        <v>74065.100000000006</v>
      </c>
      <c r="D2">
        <v>4582.8999999999996</v>
      </c>
      <c r="E2">
        <v>2.5099999999999998</v>
      </c>
      <c r="F2">
        <v>0.34</v>
      </c>
      <c r="G2">
        <v>74.86</v>
      </c>
      <c r="K2" s="14">
        <f>C40</f>
        <v>3297222.8701811242</v>
      </c>
      <c r="L2" s="14">
        <v>3226655.6397182001</v>
      </c>
      <c r="M2" s="15">
        <f>(K2-L2)/1</f>
        <v>70567.230462924112</v>
      </c>
    </row>
    <row r="3" spans="1:16" x14ac:dyDescent="0.25">
      <c r="A3">
        <v>3473.95</v>
      </c>
      <c r="B3">
        <v>108.13</v>
      </c>
      <c r="C3">
        <v>58117.3</v>
      </c>
      <c r="D3">
        <v>5539.8</v>
      </c>
      <c r="E3">
        <v>5.51</v>
      </c>
      <c r="F3">
        <v>0.15</v>
      </c>
      <c r="G3">
        <v>107.32</v>
      </c>
      <c r="O3" t="s">
        <v>45</v>
      </c>
      <c r="P3">
        <f>M2/M5</f>
        <v>0.37179143107272544</v>
      </c>
    </row>
    <row r="4" spans="1:16" x14ac:dyDescent="0.25">
      <c r="A4">
        <v>2295.1</v>
      </c>
      <c r="B4">
        <v>13.82</v>
      </c>
      <c r="C4">
        <v>21118.5</v>
      </c>
      <c r="D4">
        <v>2950.4</v>
      </c>
      <c r="E4">
        <v>10.91</v>
      </c>
      <c r="F4">
        <v>-0.72</v>
      </c>
      <c r="G4">
        <v>96.75</v>
      </c>
      <c r="K4" t="s">
        <v>51</v>
      </c>
      <c r="L4" t="s">
        <v>43</v>
      </c>
      <c r="M4" t="s">
        <v>44</v>
      </c>
    </row>
    <row r="5" spans="1:16" x14ac:dyDescent="0.25">
      <c r="A5">
        <v>4675.5600000000004</v>
      </c>
      <c r="B5">
        <v>186.18</v>
      </c>
      <c r="C5">
        <v>68521.3</v>
      </c>
      <c r="D5">
        <v>2243.1</v>
      </c>
      <c r="E5">
        <v>8.27</v>
      </c>
      <c r="F5">
        <v>0.17</v>
      </c>
      <c r="G5">
        <v>195.12</v>
      </c>
      <c r="K5" s="15">
        <f>L2</f>
        <v>3226655.6397182001</v>
      </c>
      <c r="L5">
        <f>COUNTA(A2:A26)-7-1</f>
        <v>17</v>
      </c>
      <c r="M5">
        <f>K5/L5</f>
        <v>189803.27292459999</v>
      </c>
      <c r="O5" t="s">
        <v>46</v>
      </c>
      <c r="P5" s="11">
        <f>_xlfn.F.DIST.RT(P3,1,L5)</f>
        <v>0.55009330404218604</v>
      </c>
    </row>
    <row r="6" spans="1:16" x14ac:dyDescent="0.25">
      <c r="A6">
        <v>6125.96</v>
      </c>
      <c r="B6">
        <v>161.79</v>
      </c>
      <c r="C6">
        <v>57805.1</v>
      </c>
      <c r="D6">
        <v>7747.1</v>
      </c>
      <c r="E6">
        <v>9.15</v>
      </c>
      <c r="F6">
        <v>0.5</v>
      </c>
      <c r="G6">
        <v>180.44</v>
      </c>
    </row>
    <row r="7" spans="1:16" x14ac:dyDescent="0.25">
      <c r="A7">
        <v>2134.94</v>
      </c>
      <c r="B7">
        <v>8.94</v>
      </c>
      <c r="C7">
        <v>37806.9</v>
      </c>
      <c r="D7">
        <v>402.4</v>
      </c>
      <c r="E7">
        <v>5.51</v>
      </c>
      <c r="F7">
        <v>0.15</v>
      </c>
      <c r="G7">
        <v>104.88</v>
      </c>
    </row>
    <row r="8" spans="1:16" x14ac:dyDescent="0.25">
      <c r="A8">
        <v>5031.66</v>
      </c>
      <c r="B8">
        <v>365.04</v>
      </c>
      <c r="C8">
        <v>50935.3</v>
      </c>
      <c r="D8">
        <v>3140.6</v>
      </c>
      <c r="E8">
        <v>8.5399999999999991</v>
      </c>
      <c r="F8">
        <v>0.55000000000000004</v>
      </c>
      <c r="G8">
        <v>256.10000000000002</v>
      </c>
    </row>
    <row r="9" spans="1:16" x14ac:dyDescent="0.25">
      <c r="A9">
        <v>3367.45</v>
      </c>
      <c r="B9">
        <v>220.32</v>
      </c>
      <c r="C9">
        <v>35602.1</v>
      </c>
      <c r="D9">
        <v>2086.1999999999998</v>
      </c>
      <c r="E9">
        <v>7.07</v>
      </c>
      <c r="F9">
        <v>-0.49</v>
      </c>
      <c r="G9">
        <v>126.83</v>
      </c>
    </row>
    <row r="10" spans="1:16" x14ac:dyDescent="0.25">
      <c r="A10">
        <v>6519.45</v>
      </c>
      <c r="B10">
        <v>127.64</v>
      </c>
      <c r="C10">
        <v>46176.800000000003</v>
      </c>
      <c r="D10">
        <v>8846.2000000000007</v>
      </c>
      <c r="E10">
        <v>12.54</v>
      </c>
      <c r="F10">
        <v>1.24</v>
      </c>
      <c r="G10">
        <v>203.25</v>
      </c>
    </row>
    <row r="11" spans="1:16" x14ac:dyDescent="0.25">
      <c r="A11">
        <v>4876.37</v>
      </c>
      <c r="B11">
        <v>105.69</v>
      </c>
      <c r="C11">
        <v>42053.2</v>
      </c>
      <c r="D11">
        <v>5673.1</v>
      </c>
      <c r="E11">
        <v>8.85</v>
      </c>
      <c r="F11">
        <v>0.31</v>
      </c>
      <c r="G11">
        <v>119.51</v>
      </c>
    </row>
    <row r="12" spans="1:16" x14ac:dyDescent="0.25">
      <c r="A12">
        <v>2468.27</v>
      </c>
      <c r="B12">
        <v>57.72</v>
      </c>
      <c r="C12">
        <v>36829.699999999997</v>
      </c>
      <c r="D12">
        <v>2761.8</v>
      </c>
      <c r="E12">
        <v>5.38</v>
      </c>
      <c r="F12">
        <v>0.37</v>
      </c>
      <c r="G12">
        <v>116.26</v>
      </c>
    </row>
    <row r="13" spans="1:16" x14ac:dyDescent="0.25">
      <c r="A13">
        <v>2533.31</v>
      </c>
      <c r="B13">
        <v>23.58</v>
      </c>
      <c r="C13">
        <v>33612.699999999997</v>
      </c>
      <c r="D13">
        <v>1991.8</v>
      </c>
      <c r="E13">
        <v>5.43</v>
      </c>
      <c r="F13">
        <v>-0.65</v>
      </c>
      <c r="G13">
        <v>142.28</v>
      </c>
    </row>
    <row r="14" spans="1:16" x14ac:dyDescent="0.25">
      <c r="A14">
        <v>2408.11</v>
      </c>
      <c r="B14">
        <v>13.82</v>
      </c>
      <c r="C14">
        <v>21412.799999999999</v>
      </c>
      <c r="D14">
        <v>1971.5</v>
      </c>
      <c r="E14">
        <v>8.48</v>
      </c>
      <c r="F14">
        <v>0.64</v>
      </c>
      <c r="G14">
        <v>89.43</v>
      </c>
    </row>
    <row r="15" spans="1:16" x14ac:dyDescent="0.25">
      <c r="A15">
        <v>2337.38</v>
      </c>
      <c r="B15">
        <v>13.82</v>
      </c>
      <c r="C15">
        <v>20416.900000000001</v>
      </c>
      <c r="D15">
        <v>1737.4</v>
      </c>
      <c r="E15">
        <v>7.8</v>
      </c>
      <c r="F15">
        <v>1.01</v>
      </c>
      <c r="G15">
        <v>84.55</v>
      </c>
    </row>
    <row r="16" spans="1:16" x14ac:dyDescent="0.25">
      <c r="A16">
        <v>4586.95</v>
      </c>
      <c r="B16">
        <v>86.99</v>
      </c>
      <c r="C16">
        <v>36272</v>
      </c>
      <c r="D16">
        <v>10694.2</v>
      </c>
      <c r="E16">
        <v>10.34</v>
      </c>
      <c r="F16">
        <v>0.11</v>
      </c>
      <c r="G16">
        <v>119.51</v>
      </c>
    </row>
    <row r="17" spans="1:7" x14ac:dyDescent="0.25">
      <c r="A17">
        <v>2729.24</v>
      </c>
      <c r="B17">
        <v>165.85</v>
      </c>
      <c r="C17">
        <v>23093.3</v>
      </c>
      <c r="D17">
        <v>8618.6</v>
      </c>
      <c r="E17">
        <v>5.15</v>
      </c>
      <c r="F17">
        <v>0.04</v>
      </c>
      <c r="G17">
        <v>80.489999999999995</v>
      </c>
    </row>
    <row r="18" spans="1:7" x14ac:dyDescent="0.25">
      <c r="A18">
        <v>3289.4</v>
      </c>
      <c r="B18">
        <v>116.26</v>
      </c>
      <c r="C18">
        <v>26878.6</v>
      </c>
      <c r="D18">
        <v>7747.9</v>
      </c>
      <c r="E18">
        <v>6.64</v>
      </c>
      <c r="F18">
        <v>0.68</v>
      </c>
      <c r="G18">
        <v>136.58000000000001</v>
      </c>
    </row>
    <row r="19" spans="1:7" x14ac:dyDescent="0.25">
      <c r="A19">
        <v>2800.78</v>
      </c>
      <c r="B19">
        <v>42.28</v>
      </c>
      <c r="C19">
        <v>39572</v>
      </c>
      <c r="D19">
        <v>4565.8</v>
      </c>
      <c r="E19">
        <v>5.45</v>
      </c>
      <c r="F19">
        <v>0.66</v>
      </c>
      <c r="G19">
        <v>78.86</v>
      </c>
    </row>
    <row r="20" spans="1:7" x14ac:dyDescent="0.25">
      <c r="A20">
        <v>3264.2</v>
      </c>
      <c r="B20">
        <v>52.84</v>
      </c>
      <c r="C20">
        <v>51866.1</v>
      </c>
      <c r="D20">
        <v>6022.7</v>
      </c>
      <c r="E20">
        <v>6.31</v>
      </c>
      <c r="F20">
        <v>-0.1</v>
      </c>
      <c r="G20">
        <v>136.58000000000001</v>
      </c>
    </row>
    <row r="21" spans="1:7" x14ac:dyDescent="0.25">
      <c r="A21">
        <v>3453.62</v>
      </c>
      <c r="B21">
        <v>165.04</v>
      </c>
      <c r="C21">
        <v>58749.8</v>
      </c>
      <c r="D21">
        <v>3721.1</v>
      </c>
      <c r="E21">
        <v>6.35</v>
      </c>
      <c r="F21">
        <v>-0.03</v>
      </c>
      <c r="G21">
        <v>138.21</v>
      </c>
    </row>
    <row r="22" spans="1:7" x14ac:dyDescent="0.25">
      <c r="A22">
        <v>1741.45</v>
      </c>
      <c r="B22">
        <v>10.57</v>
      </c>
      <c r="C22">
        <v>23990.799999999999</v>
      </c>
      <c r="D22">
        <v>861</v>
      </c>
      <c r="E22">
        <v>7.37</v>
      </c>
      <c r="F22">
        <v>-1.63</v>
      </c>
      <c r="G22">
        <v>75.61</v>
      </c>
    </row>
    <row r="23" spans="1:7" x14ac:dyDescent="0.25">
      <c r="A23">
        <v>2035.75</v>
      </c>
      <c r="B23">
        <v>13.82</v>
      </c>
      <c r="C23">
        <v>25694.9</v>
      </c>
      <c r="D23">
        <v>3571.5</v>
      </c>
      <c r="E23">
        <v>8.39</v>
      </c>
      <c r="F23">
        <v>-0.43</v>
      </c>
      <c r="G23">
        <v>102.44</v>
      </c>
    </row>
    <row r="24" spans="1:7" x14ac:dyDescent="0.25">
      <c r="A24">
        <v>1578</v>
      </c>
      <c r="B24">
        <v>8.1300000000000008</v>
      </c>
      <c r="C24">
        <v>23736.3</v>
      </c>
      <c r="D24">
        <v>2845.5</v>
      </c>
      <c r="E24">
        <v>5.15</v>
      </c>
      <c r="F24">
        <v>0.04</v>
      </c>
      <c r="G24">
        <v>76.42</v>
      </c>
    </row>
    <row r="25" spans="1:7" x14ac:dyDescent="0.25">
      <c r="A25">
        <v>4167.4399999999996</v>
      </c>
      <c r="B25">
        <v>58.44</v>
      </c>
      <c r="C25">
        <v>34314.300000000003</v>
      </c>
      <c r="D25">
        <v>5060.1000000000004</v>
      </c>
      <c r="E25">
        <v>12.88</v>
      </c>
      <c r="F25">
        <v>0.22</v>
      </c>
      <c r="G25">
        <v>136.58000000000001</v>
      </c>
    </row>
    <row r="26" spans="1:7" x14ac:dyDescent="0.25">
      <c r="A26">
        <v>2799.97</v>
      </c>
      <c r="B26">
        <v>21.14</v>
      </c>
      <c r="C26">
        <v>22809.5</v>
      </c>
      <c r="D26">
        <v>3552</v>
      </c>
      <c r="E26">
        <v>9.14</v>
      </c>
      <c r="F26">
        <v>-0.74</v>
      </c>
      <c r="G26">
        <v>88.62</v>
      </c>
    </row>
    <row r="28" spans="1:7" x14ac:dyDescent="0.25">
      <c r="A28" t="s">
        <v>9</v>
      </c>
    </row>
    <row r="29" spans="1:7" ht="15.75" thickBot="1" x14ac:dyDescent="0.3"/>
    <row r="30" spans="1:7" x14ac:dyDescent="0.25">
      <c r="A30" s="41" t="s">
        <v>10</v>
      </c>
      <c r="B30" s="41"/>
    </row>
    <row r="31" spans="1:7" x14ac:dyDescent="0.25">
      <c r="A31" s="38" t="s">
        <v>11</v>
      </c>
      <c r="B31" s="38">
        <v>0.95933183695641411</v>
      </c>
    </row>
    <row r="32" spans="1:7" x14ac:dyDescent="0.25">
      <c r="A32" s="38" t="s">
        <v>12</v>
      </c>
      <c r="B32" s="38">
        <v>0.920317573398168</v>
      </c>
    </row>
    <row r="33" spans="1:9" x14ac:dyDescent="0.25">
      <c r="A33" s="38" t="s">
        <v>13</v>
      </c>
      <c r="B33" s="38">
        <v>0.8937567645308907</v>
      </c>
    </row>
    <row r="34" spans="1:9" x14ac:dyDescent="0.25">
      <c r="A34" s="38" t="s">
        <v>14</v>
      </c>
      <c r="B34" s="38">
        <v>427.99421531534256</v>
      </c>
    </row>
    <row r="35" spans="1:9" ht="15.75" thickBot="1" x14ac:dyDescent="0.3">
      <c r="A35" s="39" t="s">
        <v>15</v>
      </c>
      <c r="B35" s="39">
        <v>25</v>
      </c>
    </row>
    <row r="37" spans="1:9" ht="15.75" thickBot="1" x14ac:dyDescent="0.3">
      <c r="A37" t="s">
        <v>16</v>
      </c>
    </row>
    <row r="38" spans="1:9" x14ac:dyDescent="0.25">
      <c r="A38" s="40"/>
      <c r="B38" s="40" t="s">
        <v>21</v>
      </c>
      <c r="C38" s="40" t="s">
        <v>22</v>
      </c>
      <c r="D38" s="40" t="s">
        <v>23</v>
      </c>
      <c r="E38" s="40" t="s">
        <v>24</v>
      </c>
      <c r="F38" s="40" t="s">
        <v>25</v>
      </c>
    </row>
    <row r="39" spans="1:9" x14ac:dyDescent="0.25">
      <c r="A39" s="38" t="s">
        <v>17</v>
      </c>
      <c r="B39" s="38">
        <v>6</v>
      </c>
      <c r="C39" s="38">
        <v>38082326.056674883</v>
      </c>
      <c r="D39" s="38">
        <v>6347054.3427791474</v>
      </c>
      <c r="E39" s="38">
        <v>34.649455820300311</v>
      </c>
      <c r="F39" s="38">
        <v>6.1378357411181431E-9</v>
      </c>
    </row>
    <row r="40" spans="1:9" x14ac:dyDescent="0.25">
      <c r="A40" s="38" t="s">
        <v>18</v>
      </c>
      <c r="B40" s="38">
        <v>18</v>
      </c>
      <c r="C40" s="14">
        <v>3297222.8701811242</v>
      </c>
      <c r="D40" s="38">
        <v>183179.04834339579</v>
      </c>
      <c r="E40" s="38"/>
      <c r="F40" s="38"/>
    </row>
    <row r="41" spans="1:9" ht="15.75" thickBot="1" x14ac:dyDescent="0.3">
      <c r="A41" s="39" t="s">
        <v>19</v>
      </c>
      <c r="B41" s="39">
        <v>24</v>
      </c>
      <c r="C41" s="39">
        <v>41379548.926856004</v>
      </c>
      <c r="D41" s="39"/>
      <c r="E41" s="39"/>
      <c r="F41" s="39"/>
    </row>
    <row r="42" spans="1:9" ht="15.75" thickBot="1" x14ac:dyDescent="0.3"/>
    <row r="43" spans="1:9" x14ac:dyDescent="0.25">
      <c r="A43" s="40"/>
      <c r="B43" s="40" t="s">
        <v>26</v>
      </c>
      <c r="C43" s="40" t="s">
        <v>14</v>
      </c>
      <c r="D43" s="40" t="s">
        <v>27</v>
      </c>
      <c r="E43" s="40" t="s">
        <v>28</v>
      </c>
      <c r="F43" s="40" t="s">
        <v>29</v>
      </c>
      <c r="G43" s="40" t="s">
        <v>30</v>
      </c>
      <c r="H43" s="40" t="s">
        <v>31</v>
      </c>
      <c r="I43" s="40" t="s">
        <v>32</v>
      </c>
    </row>
    <row r="44" spans="1:9" x14ac:dyDescent="0.25">
      <c r="A44" s="38" t="s">
        <v>20</v>
      </c>
      <c r="B44" s="38">
        <v>-1165.5114338985754</v>
      </c>
      <c r="C44" s="38">
        <v>420.35380997393918</v>
      </c>
      <c r="D44" s="38">
        <v>-2.7726914952212138</v>
      </c>
      <c r="E44" s="38">
        <v>1.2549198071019365E-2</v>
      </c>
      <c r="F44" s="38">
        <v>-2048.6420179721172</v>
      </c>
      <c r="G44" s="38">
        <v>-282.38084982503358</v>
      </c>
      <c r="H44" s="38">
        <v>-2048.6420179721172</v>
      </c>
      <c r="I44" s="38">
        <v>-282.38084982503358</v>
      </c>
    </row>
    <row r="45" spans="1:9" x14ac:dyDescent="0.25">
      <c r="A45" s="38" t="s">
        <v>1</v>
      </c>
      <c r="B45" s="38">
        <v>2.269859584997123</v>
      </c>
      <c r="C45" s="38">
        <v>1.6989497673199696</v>
      </c>
      <c r="D45" s="38">
        <v>1.3360369027141648</v>
      </c>
      <c r="E45" s="38">
        <v>0.19818398869344583</v>
      </c>
      <c r="F45" s="38">
        <v>-1.299501426427784</v>
      </c>
      <c r="G45" s="38">
        <v>5.8392205964220301</v>
      </c>
      <c r="H45" s="38">
        <v>-1.299501426427784</v>
      </c>
      <c r="I45" s="38">
        <v>5.8392205964220301</v>
      </c>
    </row>
    <row r="46" spans="1:9" x14ac:dyDescent="0.25">
      <c r="A46" s="38" t="s">
        <v>2</v>
      </c>
      <c r="B46" s="38">
        <v>3.8278723326045747E-2</v>
      </c>
      <c r="C46" s="38">
        <v>7.5467578025664034E-3</v>
      </c>
      <c r="D46" s="38">
        <v>5.0722077384050159</v>
      </c>
      <c r="E46" s="38">
        <v>7.9429868068075824E-5</v>
      </c>
      <c r="F46" s="38">
        <v>2.2423573526272968E-2</v>
      </c>
      <c r="G46" s="38">
        <v>5.4133873125818521E-2</v>
      </c>
      <c r="H46" s="38">
        <v>2.2423573526272968E-2</v>
      </c>
      <c r="I46" s="38">
        <v>5.4133873125818521E-2</v>
      </c>
    </row>
    <row r="47" spans="1:9" x14ac:dyDescent="0.25">
      <c r="A47" s="38" t="s">
        <v>3</v>
      </c>
      <c r="B47" s="38">
        <v>0.14066510880848429</v>
      </c>
      <c r="C47" s="38">
        <v>3.8391836510497976E-2</v>
      </c>
      <c r="D47" s="38">
        <v>3.6639327938901909</v>
      </c>
      <c r="E47" s="38">
        <v>1.775694824347475E-3</v>
      </c>
      <c r="F47" s="38">
        <v>6.0006853318248524E-2</v>
      </c>
      <c r="G47" s="38">
        <v>0.22132336429872007</v>
      </c>
      <c r="H47" s="38">
        <v>6.0006853318248524E-2</v>
      </c>
      <c r="I47" s="38">
        <v>0.22132336429872007</v>
      </c>
    </row>
    <row r="48" spans="1:9" x14ac:dyDescent="0.25">
      <c r="A48" s="38" t="s">
        <v>4</v>
      </c>
      <c r="B48" s="38">
        <v>221.62205149125867</v>
      </c>
      <c r="C48" s="38">
        <v>50.585264398642437</v>
      </c>
      <c r="D48" s="38">
        <v>4.3811583101502256</v>
      </c>
      <c r="E48" s="38">
        <v>3.6016795553687331E-4</v>
      </c>
      <c r="F48" s="38">
        <v>115.34635460473046</v>
      </c>
      <c r="G48" s="38">
        <v>327.89774837778691</v>
      </c>
      <c r="H48" s="38">
        <v>115.34635460473046</v>
      </c>
      <c r="I48" s="38">
        <v>327.89774837778691</v>
      </c>
    </row>
    <row r="49" spans="1:9" x14ac:dyDescent="0.25">
      <c r="A49" s="38" t="s">
        <v>5</v>
      </c>
      <c r="B49" s="38">
        <v>285.12053749459295</v>
      </c>
      <c r="C49" s="38">
        <v>160.55644006905351</v>
      </c>
      <c r="D49" s="38">
        <v>1.7758274745750831</v>
      </c>
      <c r="E49" s="38">
        <v>9.2669706158662976E-2</v>
      </c>
      <c r="F49" s="38">
        <v>-52.196026149120883</v>
      </c>
      <c r="G49" s="38">
        <v>622.43710113830684</v>
      </c>
      <c r="H49" s="38">
        <v>-52.196026149120883</v>
      </c>
      <c r="I49" s="38">
        <v>622.43710113830684</v>
      </c>
    </row>
    <row r="50" spans="1:9" ht="15.75" thickBot="1" x14ac:dyDescent="0.3">
      <c r="A50" s="39" t="s">
        <v>6</v>
      </c>
      <c r="B50" s="39">
        <v>4.3765565092939314</v>
      </c>
      <c r="C50" s="39">
        <v>3.9991193062461159</v>
      </c>
      <c r="D50" s="39">
        <v>1.0943800807488555</v>
      </c>
      <c r="E50" s="42">
        <v>0.28821727366980238</v>
      </c>
      <c r="F50" s="39">
        <v>-4.0252813827519818</v>
      </c>
      <c r="G50" s="39">
        <v>12.778394401339845</v>
      </c>
      <c r="H50" s="39">
        <v>-4.0252813827519818</v>
      </c>
      <c r="I50" s="39">
        <v>12.778394401339845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1391-5EDA-4CAF-8ADC-35376B869B07}">
  <dimension ref="A1:I49"/>
  <sheetViews>
    <sheetView topLeftCell="A36" workbookViewId="0">
      <selection sqref="A1:E26"/>
    </sheetView>
  </sheetViews>
  <sheetFormatPr defaultRowHeight="15" x14ac:dyDescent="0.25"/>
  <cols>
    <col min="1" max="1" width="18" bestFit="1" customWidth="1"/>
    <col min="3" max="3" width="13.28515625" bestFit="1" customWidth="1"/>
  </cols>
  <sheetData>
    <row r="1" spans="1:6" x14ac:dyDescent="0.25">
      <c r="A1" t="s">
        <v>0</v>
      </c>
      <c r="B1" t="s">
        <v>1</v>
      </c>
      <c r="C1" t="s">
        <v>2</v>
      </c>
      <c r="D1" t="s">
        <v>3</v>
      </c>
      <c r="E1" t="s">
        <v>4</v>
      </c>
      <c r="F1" t="s">
        <v>5</v>
      </c>
    </row>
    <row r="2" spans="1:6" x14ac:dyDescent="0.25">
      <c r="A2">
        <v>3669.88</v>
      </c>
      <c r="B2">
        <v>43.1</v>
      </c>
      <c r="C2">
        <v>74065.100000000006</v>
      </c>
      <c r="D2">
        <v>4582.8999999999996</v>
      </c>
      <c r="E2">
        <v>2.5099999999999998</v>
      </c>
      <c r="F2">
        <v>0.34</v>
      </c>
    </row>
    <row r="3" spans="1:6" x14ac:dyDescent="0.25">
      <c r="A3">
        <v>3473.95</v>
      </c>
      <c r="B3">
        <v>108.13</v>
      </c>
      <c r="C3">
        <v>58117.3</v>
      </c>
      <c r="D3">
        <v>5539.8</v>
      </c>
      <c r="E3">
        <v>5.51</v>
      </c>
      <c r="F3">
        <v>0.15</v>
      </c>
    </row>
    <row r="4" spans="1:6" x14ac:dyDescent="0.25">
      <c r="A4">
        <v>2295.1</v>
      </c>
      <c r="B4">
        <v>13.82</v>
      </c>
      <c r="C4">
        <v>21118.5</v>
      </c>
      <c r="D4">
        <v>2950.4</v>
      </c>
      <c r="E4">
        <v>10.91</v>
      </c>
      <c r="F4">
        <v>-0.72</v>
      </c>
    </row>
    <row r="5" spans="1:6" x14ac:dyDescent="0.25">
      <c r="A5">
        <v>4675.5600000000004</v>
      </c>
      <c r="B5">
        <v>186.18</v>
      </c>
      <c r="C5">
        <v>68521.3</v>
      </c>
      <c r="D5">
        <v>2243.1</v>
      </c>
      <c r="E5">
        <v>8.27</v>
      </c>
      <c r="F5">
        <v>0.17</v>
      </c>
    </row>
    <row r="6" spans="1:6" x14ac:dyDescent="0.25">
      <c r="A6">
        <v>6125.96</v>
      </c>
      <c r="B6">
        <v>161.79</v>
      </c>
      <c r="C6">
        <v>57805.1</v>
      </c>
      <c r="D6">
        <v>7747.1</v>
      </c>
      <c r="E6">
        <v>9.15</v>
      </c>
      <c r="F6">
        <v>0.5</v>
      </c>
    </row>
    <row r="7" spans="1:6" x14ac:dyDescent="0.25">
      <c r="A7">
        <v>2134.94</v>
      </c>
      <c r="B7">
        <v>8.94</v>
      </c>
      <c r="C7">
        <v>37806.9</v>
      </c>
      <c r="D7">
        <v>402.4</v>
      </c>
      <c r="E7">
        <v>5.51</v>
      </c>
      <c r="F7">
        <v>0.15</v>
      </c>
    </row>
    <row r="8" spans="1:6" x14ac:dyDescent="0.25">
      <c r="A8">
        <v>5031.66</v>
      </c>
      <c r="B8">
        <v>365.04</v>
      </c>
      <c r="C8">
        <v>50935.3</v>
      </c>
      <c r="D8">
        <v>3140.6</v>
      </c>
      <c r="E8">
        <v>8.5399999999999991</v>
      </c>
      <c r="F8">
        <v>0.55000000000000004</v>
      </c>
    </row>
    <row r="9" spans="1:6" x14ac:dyDescent="0.25">
      <c r="A9">
        <v>3367.45</v>
      </c>
      <c r="B9">
        <v>220.32</v>
      </c>
      <c r="C9">
        <v>35602.1</v>
      </c>
      <c r="D9">
        <v>2086.1999999999998</v>
      </c>
      <c r="E9">
        <v>7.07</v>
      </c>
      <c r="F9">
        <v>-0.49</v>
      </c>
    </row>
    <row r="10" spans="1:6" x14ac:dyDescent="0.25">
      <c r="A10">
        <v>6519.45</v>
      </c>
      <c r="B10">
        <v>127.64</v>
      </c>
      <c r="C10">
        <v>46176.800000000003</v>
      </c>
      <c r="D10">
        <v>8846.2000000000007</v>
      </c>
      <c r="E10">
        <v>12.54</v>
      </c>
      <c r="F10">
        <v>1.24</v>
      </c>
    </row>
    <row r="11" spans="1:6" x14ac:dyDescent="0.25">
      <c r="A11">
        <v>4876.37</v>
      </c>
      <c r="B11">
        <v>105.69</v>
      </c>
      <c r="C11">
        <v>42053.2</v>
      </c>
      <c r="D11">
        <v>5673.1</v>
      </c>
      <c r="E11">
        <v>8.85</v>
      </c>
      <c r="F11">
        <v>0.31</v>
      </c>
    </row>
    <row r="12" spans="1:6" x14ac:dyDescent="0.25">
      <c r="A12">
        <v>2468.27</v>
      </c>
      <c r="B12">
        <v>57.72</v>
      </c>
      <c r="C12">
        <v>36829.699999999997</v>
      </c>
      <c r="D12">
        <v>2761.8</v>
      </c>
      <c r="E12">
        <v>5.38</v>
      </c>
      <c r="F12">
        <v>0.37</v>
      </c>
    </row>
    <row r="13" spans="1:6" x14ac:dyDescent="0.25">
      <c r="A13">
        <v>2533.31</v>
      </c>
      <c r="B13">
        <v>23.58</v>
      </c>
      <c r="C13">
        <v>33612.699999999997</v>
      </c>
      <c r="D13">
        <v>1991.8</v>
      </c>
      <c r="E13">
        <v>5.43</v>
      </c>
      <c r="F13">
        <v>-0.65</v>
      </c>
    </row>
    <row r="14" spans="1:6" x14ac:dyDescent="0.25">
      <c r="A14">
        <v>2408.11</v>
      </c>
      <c r="B14">
        <v>13.82</v>
      </c>
      <c r="C14">
        <v>21412.799999999999</v>
      </c>
      <c r="D14">
        <v>1971.5</v>
      </c>
      <c r="E14">
        <v>8.48</v>
      </c>
      <c r="F14">
        <v>0.64</v>
      </c>
    </row>
    <row r="15" spans="1:6" x14ac:dyDescent="0.25">
      <c r="A15">
        <v>2337.38</v>
      </c>
      <c r="B15">
        <v>13.82</v>
      </c>
      <c r="C15">
        <v>20416.900000000001</v>
      </c>
      <c r="D15">
        <v>1737.4</v>
      </c>
      <c r="E15">
        <v>7.8</v>
      </c>
      <c r="F15">
        <v>1.01</v>
      </c>
    </row>
    <row r="16" spans="1:6" x14ac:dyDescent="0.25">
      <c r="A16">
        <v>4586.95</v>
      </c>
      <c r="B16">
        <v>86.99</v>
      </c>
      <c r="C16">
        <v>36272</v>
      </c>
      <c r="D16">
        <v>10694.2</v>
      </c>
      <c r="E16">
        <v>10.34</v>
      </c>
      <c r="F16">
        <v>0.11</v>
      </c>
    </row>
    <row r="17" spans="1:6" x14ac:dyDescent="0.25">
      <c r="A17">
        <v>2729.24</v>
      </c>
      <c r="B17">
        <v>165.85</v>
      </c>
      <c r="C17">
        <v>23093.3</v>
      </c>
      <c r="D17">
        <v>8618.6</v>
      </c>
      <c r="E17">
        <v>5.15</v>
      </c>
      <c r="F17">
        <v>0.04</v>
      </c>
    </row>
    <row r="18" spans="1:6" x14ac:dyDescent="0.25">
      <c r="A18">
        <v>3289.4</v>
      </c>
      <c r="B18">
        <v>116.26</v>
      </c>
      <c r="C18">
        <v>26878.6</v>
      </c>
      <c r="D18">
        <v>7747.9</v>
      </c>
      <c r="E18">
        <v>6.64</v>
      </c>
      <c r="F18">
        <v>0.68</v>
      </c>
    </row>
    <row r="19" spans="1:6" x14ac:dyDescent="0.25">
      <c r="A19">
        <v>2800.78</v>
      </c>
      <c r="B19">
        <v>42.28</v>
      </c>
      <c r="C19">
        <v>39572</v>
      </c>
      <c r="D19">
        <v>4565.8</v>
      </c>
      <c r="E19">
        <v>5.45</v>
      </c>
      <c r="F19">
        <v>0.66</v>
      </c>
    </row>
    <row r="20" spans="1:6" x14ac:dyDescent="0.25">
      <c r="A20">
        <v>3264.2</v>
      </c>
      <c r="B20">
        <v>52.84</v>
      </c>
      <c r="C20">
        <v>51866.1</v>
      </c>
      <c r="D20">
        <v>6022.7</v>
      </c>
      <c r="E20">
        <v>6.31</v>
      </c>
      <c r="F20">
        <v>-0.1</v>
      </c>
    </row>
    <row r="21" spans="1:6" x14ac:dyDescent="0.25">
      <c r="A21">
        <v>3453.62</v>
      </c>
      <c r="B21">
        <v>165.04</v>
      </c>
      <c r="C21">
        <v>58749.8</v>
      </c>
      <c r="D21">
        <v>3721.1</v>
      </c>
      <c r="E21">
        <v>6.35</v>
      </c>
      <c r="F21">
        <v>-0.03</v>
      </c>
    </row>
    <row r="22" spans="1:6" x14ac:dyDescent="0.25">
      <c r="A22">
        <v>1741.45</v>
      </c>
      <c r="B22">
        <v>10.57</v>
      </c>
      <c r="C22">
        <v>23990.799999999999</v>
      </c>
      <c r="D22">
        <v>861</v>
      </c>
      <c r="E22">
        <v>7.37</v>
      </c>
      <c r="F22">
        <v>-1.63</v>
      </c>
    </row>
    <row r="23" spans="1:6" x14ac:dyDescent="0.25">
      <c r="A23">
        <v>2035.75</v>
      </c>
      <c r="B23">
        <v>13.82</v>
      </c>
      <c r="C23">
        <v>25694.9</v>
      </c>
      <c r="D23">
        <v>3571.5</v>
      </c>
      <c r="E23">
        <v>8.39</v>
      </c>
      <c r="F23">
        <v>-0.43</v>
      </c>
    </row>
    <row r="24" spans="1:6" x14ac:dyDescent="0.25">
      <c r="A24">
        <v>1578</v>
      </c>
      <c r="B24">
        <v>8.1300000000000008</v>
      </c>
      <c r="C24">
        <v>23736.3</v>
      </c>
      <c r="D24">
        <v>2845.5</v>
      </c>
      <c r="E24">
        <v>5.15</v>
      </c>
      <c r="F24">
        <v>0.04</v>
      </c>
    </row>
    <row r="25" spans="1:6" x14ac:dyDescent="0.25">
      <c r="A25">
        <v>4167.4399999999996</v>
      </c>
      <c r="B25">
        <v>58.44</v>
      </c>
      <c r="C25">
        <v>34314.300000000003</v>
      </c>
      <c r="D25">
        <v>5060.1000000000004</v>
      </c>
      <c r="E25">
        <v>12.88</v>
      </c>
      <c r="F25">
        <v>0.22</v>
      </c>
    </row>
    <row r="26" spans="1:6" x14ac:dyDescent="0.25">
      <c r="A26">
        <v>2799.97</v>
      </c>
      <c r="B26">
        <v>21.14</v>
      </c>
      <c r="C26">
        <v>22809.5</v>
      </c>
      <c r="D26">
        <v>3552</v>
      </c>
      <c r="E26">
        <v>9.14</v>
      </c>
      <c r="F26">
        <v>-0.74</v>
      </c>
    </row>
    <row r="28" spans="1:6" x14ac:dyDescent="0.25">
      <c r="A28" t="s">
        <v>9</v>
      </c>
    </row>
    <row r="29" spans="1:6" ht="15.75" thickBot="1" x14ac:dyDescent="0.3"/>
    <row r="30" spans="1:6" x14ac:dyDescent="0.25">
      <c r="A30" s="41" t="s">
        <v>10</v>
      </c>
      <c r="B30" s="41"/>
    </row>
    <row r="31" spans="1:6" x14ac:dyDescent="0.25">
      <c r="A31" s="38" t="s">
        <v>11</v>
      </c>
      <c r="B31" s="38">
        <v>0.95656454878024055</v>
      </c>
    </row>
    <row r="32" spans="1:6" x14ac:dyDescent="0.25">
      <c r="A32" s="38" t="s">
        <v>12</v>
      </c>
      <c r="B32" s="38">
        <v>0.91501573598314523</v>
      </c>
    </row>
    <row r="33" spans="1:9" x14ac:dyDescent="0.25">
      <c r="A33" s="38" t="s">
        <v>13</v>
      </c>
      <c r="B33" s="38">
        <v>0.89265145597870987</v>
      </c>
    </row>
    <row r="34" spans="1:9" x14ac:dyDescent="0.25">
      <c r="A34" s="38" t="s">
        <v>14</v>
      </c>
      <c r="B34" s="38">
        <v>430.21478790423873</v>
      </c>
    </row>
    <row r="35" spans="1:9" ht="15.75" thickBot="1" x14ac:dyDescent="0.3">
      <c r="A35" s="39" t="s">
        <v>15</v>
      </c>
      <c r="B35" s="39">
        <v>25</v>
      </c>
    </row>
    <row r="37" spans="1:9" ht="15.75" thickBot="1" x14ac:dyDescent="0.3">
      <c r="A37" t="s">
        <v>16</v>
      </c>
    </row>
    <row r="38" spans="1:9" x14ac:dyDescent="0.25">
      <c r="A38" s="40"/>
      <c r="B38" s="40" t="s">
        <v>21</v>
      </c>
      <c r="C38" s="40" t="s">
        <v>22</v>
      </c>
      <c r="D38" s="40" t="s">
        <v>23</v>
      </c>
      <c r="E38" s="40" t="s">
        <v>24</v>
      </c>
      <c r="F38" s="40" t="s">
        <v>25</v>
      </c>
    </row>
    <row r="39" spans="1:9" x14ac:dyDescent="0.25">
      <c r="A39" s="38" t="s">
        <v>17</v>
      </c>
      <c r="B39" s="38">
        <v>5</v>
      </c>
      <c r="C39" s="38">
        <v>37862938.415957712</v>
      </c>
      <c r="D39" s="38">
        <v>7572587.6831915425</v>
      </c>
      <c r="E39" s="38">
        <v>40.914160250259386</v>
      </c>
      <c r="F39" s="38">
        <v>1.5841232375717448E-9</v>
      </c>
    </row>
    <row r="40" spans="1:9" x14ac:dyDescent="0.25">
      <c r="A40" s="38" t="s">
        <v>18</v>
      </c>
      <c r="B40" s="38">
        <v>19</v>
      </c>
      <c r="C40" s="14">
        <v>3516610.5108982935</v>
      </c>
      <c r="D40" s="38">
        <v>185084.76373148913</v>
      </c>
      <c r="E40" s="38"/>
      <c r="F40" s="38"/>
    </row>
    <row r="41" spans="1:9" ht="15.75" thickBot="1" x14ac:dyDescent="0.3">
      <c r="A41" s="39" t="s">
        <v>19</v>
      </c>
      <c r="B41" s="39">
        <v>24</v>
      </c>
      <c r="C41" s="39">
        <v>41379548.926856004</v>
      </c>
      <c r="D41" s="39"/>
      <c r="E41" s="39"/>
      <c r="F41" s="39"/>
    </row>
    <row r="42" spans="1:9" ht="15.75" thickBot="1" x14ac:dyDescent="0.3"/>
    <row r="43" spans="1:9" x14ac:dyDescent="0.25">
      <c r="A43" s="40"/>
      <c r="B43" s="40" t="s">
        <v>26</v>
      </c>
      <c r="C43" s="40" t="s">
        <v>14</v>
      </c>
      <c r="D43" s="40" t="s">
        <v>27</v>
      </c>
      <c r="E43" s="40" t="s">
        <v>28</v>
      </c>
      <c r="F43" s="40" t="s">
        <v>29</v>
      </c>
      <c r="G43" s="40" t="s">
        <v>30</v>
      </c>
      <c r="H43" s="40" t="s">
        <v>31</v>
      </c>
      <c r="I43" s="40" t="s">
        <v>32</v>
      </c>
    </row>
    <row r="44" spans="1:9" x14ac:dyDescent="0.25">
      <c r="A44" s="38" t="s">
        <v>20</v>
      </c>
      <c r="B44" s="38">
        <v>-1113.8684010376721</v>
      </c>
      <c r="C44" s="38">
        <v>419.86380012070737</v>
      </c>
      <c r="D44" s="38">
        <v>-2.6529279273836996</v>
      </c>
      <c r="E44" s="38">
        <v>1.570190262287605E-2</v>
      </c>
      <c r="F44" s="38">
        <v>-1992.653434265595</v>
      </c>
      <c r="G44" s="38">
        <v>-235.08336780974912</v>
      </c>
      <c r="H44" s="38">
        <v>-1992.653434265595</v>
      </c>
      <c r="I44" s="38">
        <v>-235.08336780974912</v>
      </c>
    </row>
    <row r="45" spans="1:9" x14ac:dyDescent="0.25">
      <c r="A45" s="38" t="s">
        <v>1</v>
      </c>
      <c r="B45" s="38">
        <v>3.6122553547773473</v>
      </c>
      <c r="C45" s="38">
        <v>1.1816061982749808</v>
      </c>
      <c r="D45" s="38">
        <v>3.0570721108698105</v>
      </c>
      <c r="E45" s="38">
        <v>6.4862072813844842E-3</v>
      </c>
      <c r="F45" s="38">
        <v>1.1391251589498581</v>
      </c>
      <c r="G45" s="38">
        <v>6.0853855506048369</v>
      </c>
      <c r="H45" s="38">
        <v>1.1391251589498581</v>
      </c>
      <c r="I45" s="38">
        <v>6.0853855506048369</v>
      </c>
    </row>
    <row r="46" spans="1:9" x14ac:dyDescent="0.25">
      <c r="A46" s="38" t="s">
        <v>2</v>
      </c>
      <c r="B46" s="38">
        <v>4.2087948016149769E-2</v>
      </c>
      <c r="C46" s="38">
        <v>6.7308733758570721E-3</v>
      </c>
      <c r="D46" s="38">
        <v>6.2529698102945703</v>
      </c>
      <c r="E46" s="38">
        <v>5.2697689146830453E-6</v>
      </c>
      <c r="F46" s="38">
        <v>2.8000068133304454E-2</v>
      </c>
      <c r="G46" s="38">
        <v>5.6175827898995084E-2</v>
      </c>
      <c r="H46" s="38">
        <v>2.8000068133304454E-2</v>
      </c>
      <c r="I46" s="38">
        <v>5.6175827898995084E-2</v>
      </c>
    </row>
    <row r="47" spans="1:9" x14ac:dyDescent="0.25">
      <c r="A47" s="38" t="s">
        <v>3</v>
      </c>
      <c r="B47" s="38">
        <v>0.12885358945059097</v>
      </c>
      <c r="C47" s="38">
        <v>3.7034700098659383E-2</v>
      </c>
      <c r="D47" s="38">
        <v>3.4792664476107187</v>
      </c>
      <c r="E47" s="38">
        <v>2.5107072748677324E-3</v>
      </c>
      <c r="F47" s="38">
        <v>5.1339071296299083E-2</v>
      </c>
      <c r="G47" s="38">
        <v>0.20636810760488286</v>
      </c>
      <c r="H47" s="38">
        <v>5.1339071296299083E-2</v>
      </c>
      <c r="I47" s="38">
        <v>0.20636810760488286</v>
      </c>
    </row>
    <row r="48" spans="1:9" x14ac:dyDescent="0.25">
      <c r="A48" s="38" t="s">
        <v>4</v>
      </c>
      <c r="B48" s="38">
        <v>256.96896514108266</v>
      </c>
      <c r="C48" s="38">
        <v>39.133612383011908</v>
      </c>
      <c r="D48" s="38">
        <v>6.5664514337713973</v>
      </c>
      <c r="E48" s="38">
        <v>2.7541483150439962E-6</v>
      </c>
      <c r="F48" s="38">
        <v>175.06137308754785</v>
      </c>
      <c r="G48" s="38">
        <v>338.87655719461748</v>
      </c>
      <c r="H48" s="38">
        <v>175.06137308754785</v>
      </c>
      <c r="I48" s="38">
        <v>338.87655719461748</v>
      </c>
    </row>
    <row r="49" spans="1:9" ht="15.75" thickBot="1" x14ac:dyDescent="0.3">
      <c r="A49" s="39" t="s">
        <v>5</v>
      </c>
      <c r="B49" s="39">
        <v>324.53537387715181</v>
      </c>
      <c r="C49" s="39">
        <v>157.27661582670888</v>
      </c>
      <c r="D49" s="39">
        <v>2.0634686992167519</v>
      </c>
      <c r="E49" s="42">
        <v>5.3001392730417679E-2</v>
      </c>
      <c r="F49" s="39">
        <v>-4.6483662440845137</v>
      </c>
      <c r="G49" s="39">
        <v>653.71911399838814</v>
      </c>
      <c r="H49" s="39">
        <v>-4.6483662440845137</v>
      </c>
      <c r="I49" s="39">
        <v>653.71911399838814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6248-6C9A-45E6-A204-2AD8A1D51AC0}">
  <dimension ref="A1:I48"/>
  <sheetViews>
    <sheetView topLeftCell="A25" workbookViewId="0">
      <selection activeCell="C40" sqref="C40"/>
    </sheetView>
  </sheetViews>
  <sheetFormatPr defaultRowHeight="15" x14ac:dyDescent="0.25"/>
  <cols>
    <col min="1" max="1" width="18" bestFit="1" customWidth="1"/>
    <col min="3" max="3" width="13.28515625" bestFit="1" customWidth="1"/>
  </cols>
  <sheetData>
    <row r="1" spans="1:5" x14ac:dyDescent="0.25">
      <c r="A1" t="s">
        <v>0</v>
      </c>
      <c r="B1" t="s">
        <v>1</v>
      </c>
      <c r="C1" t="s">
        <v>2</v>
      </c>
      <c r="D1" t="s">
        <v>3</v>
      </c>
      <c r="E1" t="s">
        <v>4</v>
      </c>
    </row>
    <row r="2" spans="1:5" x14ac:dyDescent="0.25">
      <c r="A2">
        <v>3669.88</v>
      </c>
      <c r="B2">
        <v>43.1</v>
      </c>
      <c r="C2">
        <v>74065.100000000006</v>
      </c>
      <c r="D2">
        <v>4582.8999999999996</v>
      </c>
      <c r="E2">
        <v>2.5099999999999998</v>
      </c>
    </row>
    <row r="3" spans="1:5" x14ac:dyDescent="0.25">
      <c r="A3">
        <v>3473.95</v>
      </c>
      <c r="B3">
        <v>108.13</v>
      </c>
      <c r="C3">
        <v>58117.3</v>
      </c>
      <c r="D3">
        <v>5539.8</v>
      </c>
      <c r="E3">
        <v>5.51</v>
      </c>
    </row>
    <row r="4" spans="1:5" x14ac:dyDescent="0.25">
      <c r="A4">
        <v>2295.1</v>
      </c>
      <c r="B4">
        <v>13.82</v>
      </c>
      <c r="C4">
        <v>21118.5</v>
      </c>
      <c r="D4">
        <v>2950.4</v>
      </c>
      <c r="E4">
        <v>10.91</v>
      </c>
    </row>
    <row r="5" spans="1:5" x14ac:dyDescent="0.25">
      <c r="A5">
        <v>4675.5600000000004</v>
      </c>
      <c r="B5">
        <v>186.18</v>
      </c>
      <c r="C5">
        <v>68521.3</v>
      </c>
      <c r="D5">
        <v>2243.1</v>
      </c>
      <c r="E5">
        <v>8.27</v>
      </c>
    </row>
    <row r="6" spans="1:5" x14ac:dyDescent="0.25">
      <c r="A6">
        <v>6125.96</v>
      </c>
      <c r="B6">
        <v>161.79</v>
      </c>
      <c r="C6">
        <v>57805.1</v>
      </c>
      <c r="D6">
        <v>7747.1</v>
      </c>
      <c r="E6">
        <v>9.15</v>
      </c>
    </row>
    <row r="7" spans="1:5" x14ac:dyDescent="0.25">
      <c r="A7">
        <v>2134.94</v>
      </c>
      <c r="B7">
        <v>8.94</v>
      </c>
      <c r="C7">
        <v>37806.9</v>
      </c>
      <c r="D7">
        <v>402.4</v>
      </c>
      <c r="E7">
        <v>5.51</v>
      </c>
    </row>
    <row r="8" spans="1:5" x14ac:dyDescent="0.25">
      <c r="A8">
        <v>5031.66</v>
      </c>
      <c r="B8">
        <v>365.04</v>
      </c>
      <c r="C8">
        <v>50935.3</v>
      </c>
      <c r="D8">
        <v>3140.6</v>
      </c>
      <c r="E8">
        <v>8.5399999999999991</v>
      </c>
    </row>
    <row r="9" spans="1:5" x14ac:dyDescent="0.25">
      <c r="A9">
        <v>3367.45</v>
      </c>
      <c r="B9">
        <v>220.32</v>
      </c>
      <c r="C9">
        <v>35602.1</v>
      </c>
      <c r="D9">
        <v>2086.1999999999998</v>
      </c>
      <c r="E9">
        <v>7.07</v>
      </c>
    </row>
    <row r="10" spans="1:5" x14ac:dyDescent="0.25">
      <c r="A10">
        <v>6519.45</v>
      </c>
      <c r="B10">
        <v>127.64</v>
      </c>
      <c r="C10">
        <v>46176.800000000003</v>
      </c>
      <c r="D10">
        <v>8846.2000000000007</v>
      </c>
      <c r="E10">
        <v>12.54</v>
      </c>
    </row>
    <row r="11" spans="1:5" x14ac:dyDescent="0.25">
      <c r="A11">
        <v>4876.37</v>
      </c>
      <c r="B11">
        <v>105.69</v>
      </c>
      <c r="C11">
        <v>42053.2</v>
      </c>
      <c r="D11">
        <v>5673.1</v>
      </c>
      <c r="E11">
        <v>8.85</v>
      </c>
    </row>
    <row r="12" spans="1:5" x14ac:dyDescent="0.25">
      <c r="A12">
        <v>2468.27</v>
      </c>
      <c r="B12">
        <v>57.72</v>
      </c>
      <c r="C12">
        <v>36829.699999999997</v>
      </c>
      <c r="D12">
        <v>2761.8</v>
      </c>
      <c r="E12">
        <v>5.38</v>
      </c>
    </row>
    <row r="13" spans="1:5" x14ac:dyDescent="0.25">
      <c r="A13">
        <v>2533.31</v>
      </c>
      <c r="B13">
        <v>23.58</v>
      </c>
      <c r="C13">
        <v>33612.699999999997</v>
      </c>
      <c r="D13">
        <v>1991.8</v>
      </c>
      <c r="E13">
        <v>5.43</v>
      </c>
    </row>
    <row r="14" spans="1:5" x14ac:dyDescent="0.25">
      <c r="A14">
        <v>2408.11</v>
      </c>
      <c r="B14">
        <v>13.82</v>
      </c>
      <c r="C14">
        <v>21412.799999999999</v>
      </c>
      <c r="D14">
        <v>1971.5</v>
      </c>
      <c r="E14">
        <v>8.48</v>
      </c>
    </row>
    <row r="15" spans="1:5" x14ac:dyDescent="0.25">
      <c r="A15">
        <v>2337.38</v>
      </c>
      <c r="B15">
        <v>13.82</v>
      </c>
      <c r="C15">
        <v>20416.900000000001</v>
      </c>
      <c r="D15">
        <v>1737.4</v>
      </c>
      <c r="E15">
        <v>7.8</v>
      </c>
    </row>
    <row r="16" spans="1:5" x14ac:dyDescent="0.25">
      <c r="A16">
        <v>4586.95</v>
      </c>
      <c r="B16">
        <v>86.99</v>
      </c>
      <c r="C16">
        <v>36272</v>
      </c>
      <c r="D16">
        <v>10694.2</v>
      </c>
      <c r="E16">
        <v>10.34</v>
      </c>
    </row>
    <row r="17" spans="1:5" x14ac:dyDescent="0.25">
      <c r="A17">
        <v>2729.24</v>
      </c>
      <c r="B17">
        <v>165.85</v>
      </c>
      <c r="C17">
        <v>23093.3</v>
      </c>
      <c r="D17">
        <v>8618.6</v>
      </c>
      <c r="E17">
        <v>5.15</v>
      </c>
    </row>
    <row r="18" spans="1:5" x14ac:dyDescent="0.25">
      <c r="A18">
        <v>3289.4</v>
      </c>
      <c r="B18">
        <v>116.26</v>
      </c>
      <c r="C18">
        <v>26878.6</v>
      </c>
      <c r="D18">
        <v>7747.9</v>
      </c>
      <c r="E18">
        <v>6.64</v>
      </c>
    </row>
    <row r="19" spans="1:5" x14ac:dyDescent="0.25">
      <c r="A19">
        <v>2800.78</v>
      </c>
      <c r="B19">
        <v>42.28</v>
      </c>
      <c r="C19">
        <v>39572</v>
      </c>
      <c r="D19">
        <v>4565.8</v>
      </c>
      <c r="E19">
        <v>5.45</v>
      </c>
    </row>
    <row r="20" spans="1:5" x14ac:dyDescent="0.25">
      <c r="A20">
        <v>3264.2</v>
      </c>
      <c r="B20">
        <v>52.84</v>
      </c>
      <c r="C20">
        <v>51866.1</v>
      </c>
      <c r="D20">
        <v>6022.7</v>
      </c>
      <c r="E20">
        <v>6.31</v>
      </c>
    </row>
    <row r="21" spans="1:5" x14ac:dyDescent="0.25">
      <c r="A21">
        <v>3453.62</v>
      </c>
      <c r="B21">
        <v>165.04</v>
      </c>
      <c r="C21">
        <v>58749.8</v>
      </c>
      <c r="D21">
        <v>3721.1</v>
      </c>
      <c r="E21">
        <v>6.35</v>
      </c>
    </row>
    <row r="22" spans="1:5" x14ac:dyDescent="0.25">
      <c r="A22">
        <v>1741.45</v>
      </c>
      <c r="B22">
        <v>10.57</v>
      </c>
      <c r="C22">
        <v>23990.799999999999</v>
      </c>
      <c r="D22">
        <v>861</v>
      </c>
      <c r="E22">
        <v>7.37</v>
      </c>
    </row>
    <row r="23" spans="1:5" x14ac:dyDescent="0.25">
      <c r="A23">
        <v>2035.75</v>
      </c>
      <c r="B23">
        <v>13.82</v>
      </c>
      <c r="C23">
        <v>25694.9</v>
      </c>
      <c r="D23">
        <v>3571.5</v>
      </c>
      <c r="E23">
        <v>8.39</v>
      </c>
    </row>
    <row r="24" spans="1:5" x14ac:dyDescent="0.25">
      <c r="A24">
        <v>1578</v>
      </c>
      <c r="B24">
        <v>8.1300000000000008</v>
      </c>
      <c r="C24">
        <v>23736.3</v>
      </c>
      <c r="D24">
        <v>2845.5</v>
      </c>
      <c r="E24">
        <v>5.15</v>
      </c>
    </row>
    <row r="25" spans="1:5" x14ac:dyDescent="0.25">
      <c r="A25">
        <v>4167.4399999999996</v>
      </c>
      <c r="B25">
        <v>58.44</v>
      </c>
      <c r="C25">
        <v>34314.300000000003</v>
      </c>
      <c r="D25">
        <v>5060.1000000000004</v>
      </c>
      <c r="E25">
        <v>12.88</v>
      </c>
    </row>
    <row r="26" spans="1:5" x14ac:dyDescent="0.25">
      <c r="A26">
        <v>2799.97</v>
      </c>
      <c r="B26">
        <v>21.14</v>
      </c>
      <c r="C26">
        <v>22809.5</v>
      </c>
      <c r="D26">
        <v>3552</v>
      </c>
      <c r="E26">
        <v>9.14</v>
      </c>
    </row>
    <row r="28" spans="1:5" x14ac:dyDescent="0.25">
      <c r="A28" t="s">
        <v>9</v>
      </c>
    </row>
    <row r="29" spans="1:5" ht="15.75" thickBot="1" x14ac:dyDescent="0.3"/>
    <row r="30" spans="1:5" x14ac:dyDescent="0.25">
      <c r="A30" s="41" t="s">
        <v>10</v>
      </c>
      <c r="B30" s="41"/>
    </row>
    <row r="31" spans="1:5" x14ac:dyDescent="0.25">
      <c r="A31" s="38" t="s">
        <v>11</v>
      </c>
      <c r="B31" s="38">
        <v>0.94655731399290299</v>
      </c>
    </row>
    <row r="32" spans="1:5" x14ac:dyDescent="0.25">
      <c r="A32" s="38" t="s">
        <v>12</v>
      </c>
      <c r="B32" s="38">
        <v>0.89597074867345916</v>
      </c>
    </row>
    <row r="33" spans="1:9" x14ac:dyDescent="0.25">
      <c r="A33" s="38" t="s">
        <v>13</v>
      </c>
      <c r="B33" s="38">
        <v>0.87516489840815093</v>
      </c>
    </row>
    <row r="34" spans="1:9" x14ac:dyDescent="0.25">
      <c r="A34" s="38" t="s">
        <v>14</v>
      </c>
      <c r="B34" s="38">
        <v>463.93337318470617</v>
      </c>
    </row>
    <row r="35" spans="1:9" ht="15.75" thickBot="1" x14ac:dyDescent="0.3">
      <c r="A35" s="39" t="s">
        <v>15</v>
      </c>
      <c r="B35" s="39">
        <v>25</v>
      </c>
    </row>
    <row r="37" spans="1:9" ht="15.75" thickBot="1" x14ac:dyDescent="0.3">
      <c r="A37" t="s">
        <v>16</v>
      </c>
    </row>
    <row r="38" spans="1:9" x14ac:dyDescent="0.25">
      <c r="A38" s="40"/>
      <c r="B38" s="40" t="s">
        <v>21</v>
      </c>
      <c r="C38" s="40" t="s">
        <v>22</v>
      </c>
      <c r="D38" s="40" t="s">
        <v>23</v>
      </c>
      <c r="E38" s="40" t="s">
        <v>24</v>
      </c>
      <c r="F38" s="40" t="s">
        <v>25</v>
      </c>
    </row>
    <row r="39" spans="1:9" x14ac:dyDescent="0.25">
      <c r="A39" s="38" t="s">
        <v>17</v>
      </c>
      <c r="B39" s="38">
        <v>4</v>
      </c>
      <c r="C39" s="38">
        <v>37074865.431765206</v>
      </c>
      <c r="D39" s="38">
        <v>9268716.3579413015</v>
      </c>
      <c r="E39" s="38">
        <v>43.06340463131216</v>
      </c>
      <c r="F39" s="38">
        <v>1.4784318614591653E-9</v>
      </c>
    </row>
    <row r="40" spans="1:9" x14ac:dyDescent="0.25">
      <c r="A40" s="38" t="s">
        <v>18</v>
      </c>
      <c r="B40" s="38">
        <v>20</v>
      </c>
      <c r="C40" s="14">
        <v>4304683.4950907966</v>
      </c>
      <c r="D40" s="38">
        <v>215234.17475453982</v>
      </c>
      <c r="E40" s="38"/>
      <c r="F40" s="38"/>
    </row>
    <row r="41" spans="1:9" ht="15.75" thickBot="1" x14ac:dyDescent="0.3">
      <c r="A41" s="39" t="s">
        <v>19</v>
      </c>
      <c r="B41" s="39">
        <v>24</v>
      </c>
      <c r="C41" s="39">
        <v>41379548.926856004</v>
      </c>
      <c r="D41" s="39"/>
      <c r="E41" s="39"/>
      <c r="F41" s="39"/>
    </row>
    <row r="42" spans="1:9" ht="15.75" thickBot="1" x14ac:dyDescent="0.3"/>
    <row r="43" spans="1:9" x14ac:dyDescent="0.25">
      <c r="A43" s="40"/>
      <c r="B43" s="40" t="s">
        <v>26</v>
      </c>
      <c r="C43" s="40" t="s">
        <v>14</v>
      </c>
      <c r="D43" s="40" t="s">
        <v>27</v>
      </c>
      <c r="E43" s="40" t="s">
        <v>28</v>
      </c>
      <c r="F43" s="40" t="s">
        <v>29</v>
      </c>
      <c r="G43" s="40" t="s">
        <v>30</v>
      </c>
      <c r="H43" s="40" t="s">
        <v>31</v>
      </c>
      <c r="I43" s="40" t="s">
        <v>32</v>
      </c>
    </row>
    <row r="44" spans="1:9" x14ac:dyDescent="0.25">
      <c r="A44" s="38" t="s">
        <v>20</v>
      </c>
      <c r="B44" s="38">
        <v>-1312.3816582524514</v>
      </c>
      <c r="C44" s="38">
        <v>440.72544538285075</v>
      </c>
      <c r="D44" s="38">
        <v>-2.9777760099882764</v>
      </c>
      <c r="E44" s="38">
        <v>7.4385487537714061E-3</v>
      </c>
      <c r="F44" s="38">
        <v>-2231.7188276010465</v>
      </c>
      <c r="G44" s="38">
        <v>-393.0444889038564</v>
      </c>
      <c r="H44" s="38">
        <v>-2231.7188276010465</v>
      </c>
      <c r="I44" s="38">
        <v>-393.0444889038564</v>
      </c>
    </row>
    <row r="45" spans="1:9" x14ac:dyDescent="0.25">
      <c r="A45" s="38" t="s">
        <v>1</v>
      </c>
      <c r="B45" s="38">
        <v>3.8165956689443892</v>
      </c>
      <c r="C45" s="38">
        <v>1.2697332113247033</v>
      </c>
      <c r="D45" s="38">
        <v>3.0058248732129824</v>
      </c>
      <c r="E45" s="38">
        <v>6.9837073665654833E-3</v>
      </c>
      <c r="F45" s="38">
        <v>1.1679786023415542</v>
      </c>
      <c r="G45" s="38">
        <v>6.4652127355472242</v>
      </c>
      <c r="H45" s="38">
        <v>1.1679786023415542</v>
      </c>
      <c r="I45" s="38">
        <v>6.4652127355472242</v>
      </c>
    </row>
    <row r="46" spans="1:9" x14ac:dyDescent="0.25">
      <c r="A46" s="38" t="s">
        <v>2</v>
      </c>
      <c r="B46" s="38">
        <v>4.4395804049387373E-2</v>
      </c>
      <c r="C46" s="38">
        <v>7.1575067555168037E-3</v>
      </c>
      <c r="D46" s="38">
        <v>6.2026911836539087</v>
      </c>
      <c r="E46" s="38">
        <v>4.6542795425186249E-6</v>
      </c>
      <c r="F46" s="38">
        <v>2.9465506583820827E-2</v>
      </c>
      <c r="G46" s="38">
        <v>5.9326101514953919E-2</v>
      </c>
      <c r="H46" s="38">
        <v>2.9465506583820827E-2</v>
      </c>
      <c r="I46" s="38">
        <v>5.9326101514953919E-2</v>
      </c>
    </row>
    <row r="47" spans="1:9" x14ac:dyDescent="0.25">
      <c r="A47" s="38" t="s">
        <v>3</v>
      </c>
      <c r="B47" s="38">
        <v>0.15247414116453456</v>
      </c>
      <c r="C47" s="38">
        <v>3.7981733051443138E-2</v>
      </c>
      <c r="D47" s="38">
        <v>4.014407161411536</v>
      </c>
      <c r="E47" s="38">
        <v>6.8021821998425836E-4</v>
      </c>
      <c r="F47" s="38">
        <v>7.3245634355414396E-2</v>
      </c>
      <c r="G47" s="38">
        <v>0.23170264797365472</v>
      </c>
      <c r="H47" s="38">
        <v>7.3245634355414396E-2</v>
      </c>
      <c r="I47" s="38">
        <v>0.23170264797365472</v>
      </c>
    </row>
    <row r="48" spans="1:9" ht="15.75" thickBot="1" x14ac:dyDescent="0.3">
      <c r="A48" s="39" t="s">
        <v>4</v>
      </c>
      <c r="B48" s="39">
        <v>259.48432102156676</v>
      </c>
      <c r="C48" s="39">
        <v>42.18027631843534</v>
      </c>
      <c r="D48" s="39">
        <v>6.1517928204789012</v>
      </c>
      <c r="E48" s="39">
        <v>5.1985898303582257E-6</v>
      </c>
      <c r="F48" s="39">
        <v>171.49780642573666</v>
      </c>
      <c r="G48" s="39">
        <v>347.47083561739686</v>
      </c>
      <c r="H48" s="39">
        <v>171.49780642573666</v>
      </c>
      <c r="I48" s="39">
        <v>347.47083561739686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9581-805A-472F-A21D-3E5D90D62A89}">
  <dimension ref="A1:I47"/>
  <sheetViews>
    <sheetView topLeftCell="A24" workbookViewId="0">
      <selection activeCell="D29" sqref="D29"/>
    </sheetView>
  </sheetViews>
  <sheetFormatPr defaultRowHeight="15" x14ac:dyDescent="0.25"/>
  <cols>
    <col min="1" max="1" width="18" bestFit="1" customWidth="1"/>
    <col min="3" max="3" width="13.28515625" bestFit="1" customWidth="1"/>
    <col min="6" max="6" width="13.28515625" bestFit="1" customWidth="1"/>
  </cols>
  <sheetData>
    <row r="1" spans="1:4" x14ac:dyDescent="0.25">
      <c r="A1" t="s">
        <v>0</v>
      </c>
      <c r="B1" t="s">
        <v>2</v>
      </c>
      <c r="C1" t="s">
        <v>3</v>
      </c>
      <c r="D1" t="s">
        <v>4</v>
      </c>
    </row>
    <row r="2" spans="1:4" x14ac:dyDescent="0.25">
      <c r="A2">
        <v>3669.88</v>
      </c>
      <c r="B2">
        <v>74065.100000000006</v>
      </c>
      <c r="C2">
        <v>4582.8999999999996</v>
      </c>
      <c r="D2">
        <v>2.5099999999999998</v>
      </c>
    </row>
    <row r="3" spans="1:4" x14ac:dyDescent="0.25">
      <c r="A3">
        <v>3473.95</v>
      </c>
      <c r="B3">
        <v>58117.3</v>
      </c>
      <c r="C3">
        <v>5539.8</v>
      </c>
      <c r="D3">
        <v>5.51</v>
      </c>
    </row>
    <row r="4" spans="1:4" x14ac:dyDescent="0.25">
      <c r="A4">
        <v>2295.1</v>
      </c>
      <c r="B4">
        <v>21118.5</v>
      </c>
      <c r="C4">
        <v>2950.4</v>
      </c>
      <c r="D4">
        <v>10.91</v>
      </c>
    </row>
    <row r="5" spans="1:4" x14ac:dyDescent="0.25">
      <c r="A5">
        <v>4675.5600000000004</v>
      </c>
      <c r="B5">
        <v>68521.3</v>
      </c>
      <c r="C5">
        <v>2243.1</v>
      </c>
      <c r="D5">
        <v>8.27</v>
      </c>
    </row>
    <row r="6" spans="1:4" x14ac:dyDescent="0.25">
      <c r="A6">
        <v>6125.96</v>
      </c>
      <c r="B6">
        <v>57805.1</v>
      </c>
      <c r="C6">
        <v>7747.1</v>
      </c>
      <c r="D6">
        <v>9.15</v>
      </c>
    </row>
    <row r="7" spans="1:4" x14ac:dyDescent="0.25">
      <c r="A7">
        <v>2134.94</v>
      </c>
      <c r="B7">
        <v>37806.9</v>
      </c>
      <c r="C7">
        <v>402.4</v>
      </c>
      <c r="D7">
        <v>5.51</v>
      </c>
    </row>
    <row r="8" spans="1:4" x14ac:dyDescent="0.25">
      <c r="A8">
        <v>5031.66</v>
      </c>
      <c r="B8">
        <v>50935.3</v>
      </c>
      <c r="C8">
        <v>3140.6</v>
      </c>
      <c r="D8">
        <v>8.5399999999999991</v>
      </c>
    </row>
    <row r="9" spans="1:4" x14ac:dyDescent="0.25">
      <c r="A9">
        <v>3367.45</v>
      </c>
      <c r="B9">
        <v>35602.1</v>
      </c>
      <c r="C9">
        <v>2086.1999999999998</v>
      </c>
      <c r="D9">
        <v>7.07</v>
      </c>
    </row>
    <row r="10" spans="1:4" x14ac:dyDescent="0.25">
      <c r="A10">
        <v>6519.45</v>
      </c>
      <c r="B10">
        <v>46176.800000000003</v>
      </c>
      <c r="C10">
        <v>8846.2000000000007</v>
      </c>
      <c r="D10">
        <v>12.54</v>
      </c>
    </row>
    <row r="11" spans="1:4" x14ac:dyDescent="0.25">
      <c r="A11">
        <v>4876.37</v>
      </c>
      <c r="B11">
        <v>42053.2</v>
      </c>
      <c r="C11">
        <v>5673.1</v>
      </c>
      <c r="D11">
        <v>8.85</v>
      </c>
    </row>
    <row r="12" spans="1:4" x14ac:dyDescent="0.25">
      <c r="A12">
        <v>2468.27</v>
      </c>
      <c r="B12">
        <v>36829.699999999997</v>
      </c>
      <c r="C12">
        <v>2761.8</v>
      </c>
      <c r="D12">
        <v>5.38</v>
      </c>
    </row>
    <row r="13" spans="1:4" x14ac:dyDescent="0.25">
      <c r="A13">
        <v>2533.31</v>
      </c>
      <c r="B13">
        <v>33612.699999999997</v>
      </c>
      <c r="C13">
        <v>1991.8</v>
      </c>
      <c r="D13">
        <v>5.43</v>
      </c>
    </row>
    <row r="14" spans="1:4" x14ac:dyDescent="0.25">
      <c r="A14">
        <v>2408.11</v>
      </c>
      <c r="B14">
        <v>21412.799999999999</v>
      </c>
      <c r="C14">
        <v>1971.5</v>
      </c>
      <c r="D14">
        <v>8.48</v>
      </c>
    </row>
    <row r="15" spans="1:4" x14ac:dyDescent="0.25">
      <c r="A15">
        <v>2337.38</v>
      </c>
      <c r="B15">
        <v>20416.900000000001</v>
      </c>
      <c r="C15">
        <v>1737.4</v>
      </c>
      <c r="D15">
        <v>7.8</v>
      </c>
    </row>
    <row r="16" spans="1:4" x14ac:dyDescent="0.25">
      <c r="A16">
        <v>4586.95</v>
      </c>
      <c r="B16">
        <v>36272</v>
      </c>
      <c r="C16">
        <v>10694.2</v>
      </c>
      <c r="D16">
        <v>10.34</v>
      </c>
    </row>
    <row r="17" spans="1:4" x14ac:dyDescent="0.25">
      <c r="A17">
        <v>2729.24</v>
      </c>
      <c r="B17">
        <v>23093.3</v>
      </c>
      <c r="C17">
        <v>8618.6</v>
      </c>
      <c r="D17">
        <v>5.15</v>
      </c>
    </row>
    <row r="18" spans="1:4" x14ac:dyDescent="0.25">
      <c r="A18">
        <v>3289.4</v>
      </c>
      <c r="B18">
        <v>26878.6</v>
      </c>
      <c r="C18">
        <v>7747.9</v>
      </c>
      <c r="D18">
        <v>6.64</v>
      </c>
    </row>
    <row r="19" spans="1:4" x14ac:dyDescent="0.25">
      <c r="A19">
        <v>2800.78</v>
      </c>
      <c r="B19">
        <v>39572</v>
      </c>
      <c r="C19">
        <v>4565.8</v>
      </c>
      <c r="D19">
        <v>5.45</v>
      </c>
    </row>
    <row r="20" spans="1:4" x14ac:dyDescent="0.25">
      <c r="A20">
        <v>3264.2</v>
      </c>
      <c r="B20">
        <v>51866.1</v>
      </c>
      <c r="C20">
        <v>6022.7</v>
      </c>
      <c r="D20">
        <v>6.31</v>
      </c>
    </row>
    <row r="21" spans="1:4" x14ac:dyDescent="0.25">
      <c r="A21">
        <v>3453.62</v>
      </c>
      <c r="B21">
        <v>58749.8</v>
      </c>
      <c r="C21">
        <v>3721.1</v>
      </c>
      <c r="D21">
        <v>6.35</v>
      </c>
    </row>
    <row r="22" spans="1:4" x14ac:dyDescent="0.25">
      <c r="A22">
        <v>1741.45</v>
      </c>
      <c r="B22">
        <v>23990.799999999999</v>
      </c>
      <c r="C22">
        <v>861</v>
      </c>
      <c r="D22">
        <v>7.37</v>
      </c>
    </row>
    <row r="23" spans="1:4" x14ac:dyDescent="0.25">
      <c r="A23">
        <v>2035.75</v>
      </c>
      <c r="B23">
        <v>25694.9</v>
      </c>
      <c r="C23">
        <v>3571.5</v>
      </c>
      <c r="D23">
        <v>8.39</v>
      </c>
    </row>
    <row r="24" spans="1:4" x14ac:dyDescent="0.25">
      <c r="A24">
        <v>1578</v>
      </c>
      <c r="B24">
        <v>23736.3</v>
      </c>
      <c r="C24">
        <v>2845.5</v>
      </c>
      <c r="D24">
        <v>5.15</v>
      </c>
    </row>
    <row r="25" spans="1:4" x14ac:dyDescent="0.25">
      <c r="A25">
        <v>4167.4399999999996</v>
      </c>
      <c r="B25">
        <v>34314.300000000003</v>
      </c>
      <c r="C25">
        <v>5060.1000000000004</v>
      </c>
      <c r="D25">
        <v>12.88</v>
      </c>
    </row>
    <row r="26" spans="1:4" x14ac:dyDescent="0.25">
      <c r="A26">
        <v>2799.97</v>
      </c>
      <c r="B26">
        <v>22809.5</v>
      </c>
      <c r="C26">
        <v>3552</v>
      </c>
      <c r="D26">
        <v>9.14</v>
      </c>
    </row>
    <row r="28" spans="1:4" x14ac:dyDescent="0.25">
      <c r="A28" t="s">
        <v>9</v>
      </c>
    </row>
    <row r="29" spans="1:4" ht="15.75" thickBot="1" x14ac:dyDescent="0.3"/>
    <row r="30" spans="1:4" x14ac:dyDescent="0.25">
      <c r="A30" s="4" t="s">
        <v>10</v>
      </c>
      <c r="B30" s="4"/>
    </row>
    <row r="31" spans="1:4" x14ac:dyDescent="0.25">
      <c r="A31" t="s">
        <v>11</v>
      </c>
      <c r="B31">
        <v>0.92139873124261318</v>
      </c>
    </row>
    <row r="32" spans="1:4" x14ac:dyDescent="0.25">
      <c r="A32" t="s">
        <v>12</v>
      </c>
      <c r="B32">
        <v>0.84897562193549725</v>
      </c>
    </row>
    <row r="33" spans="1:9" x14ac:dyDescent="0.25">
      <c r="A33" t="s">
        <v>13</v>
      </c>
      <c r="B33">
        <v>0.82740071078342547</v>
      </c>
      <c r="F33" s="16"/>
    </row>
    <row r="34" spans="1:9" x14ac:dyDescent="0.25">
      <c r="A34" t="s">
        <v>14</v>
      </c>
      <c r="B34">
        <v>545.51507513838919</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3</v>
      </c>
      <c r="C39">
        <v>35130228.285587914</v>
      </c>
      <c r="D39">
        <v>11710076.095195971</v>
      </c>
      <c r="E39">
        <v>39.350132936884464</v>
      </c>
      <c r="F39">
        <v>8.4304230501074492E-9</v>
      </c>
    </row>
    <row r="40" spans="1:9" x14ac:dyDescent="0.25">
      <c r="A40" t="s">
        <v>18</v>
      </c>
      <c r="B40">
        <v>21</v>
      </c>
      <c r="C40" s="17">
        <v>6249320.6412680903</v>
      </c>
      <c r="D40">
        <v>297586.69720324239</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-1603.5821487238791</v>
      </c>
      <c r="C44">
        <v>505.55091289837821</v>
      </c>
      <c r="D44">
        <v>-3.17194986263672</v>
      </c>
      <c r="E44">
        <v>4.5926396090198041E-3</v>
      </c>
      <c r="F44">
        <v>-2654.9328264020642</v>
      </c>
      <c r="G44">
        <v>-552.23147104569421</v>
      </c>
      <c r="H44">
        <v>-2654.9328264020642</v>
      </c>
      <c r="I44">
        <v>-552.23147104569421</v>
      </c>
    </row>
    <row r="45" spans="1:9" x14ac:dyDescent="0.25">
      <c r="A45" t="s">
        <v>2</v>
      </c>
      <c r="B45">
        <v>5.4286048688188947E-2</v>
      </c>
      <c r="C45">
        <v>7.4741239618792985E-3</v>
      </c>
      <c r="D45">
        <v>7.2631988665249843</v>
      </c>
      <c r="E45">
        <v>3.7388316847582225E-7</v>
      </c>
      <c r="F45">
        <v>3.8742757019853857E-2</v>
      </c>
      <c r="G45">
        <v>6.9829340356524036E-2</v>
      </c>
      <c r="H45">
        <v>3.8742757019853857E-2</v>
      </c>
      <c r="I45">
        <v>6.9829340356524036E-2</v>
      </c>
    </row>
    <row r="46" spans="1:9" x14ac:dyDescent="0.25">
      <c r="A46" t="s">
        <v>3</v>
      </c>
      <c r="B46">
        <v>0.16748008128741793</v>
      </c>
      <c r="C46">
        <v>4.4273274564811956E-2</v>
      </c>
      <c r="D46">
        <v>3.7828708839289189</v>
      </c>
      <c r="E46">
        <v>1.0905649034215652E-3</v>
      </c>
      <c r="F46">
        <v>7.5408766551005132E-2</v>
      </c>
      <c r="G46">
        <v>0.2595513960238307</v>
      </c>
      <c r="H46">
        <v>7.5408766551005132E-2</v>
      </c>
      <c r="I46">
        <v>0.2595513960238307</v>
      </c>
    </row>
    <row r="47" spans="1:9" ht="15.75" thickBot="1" x14ac:dyDescent="0.3">
      <c r="A47" s="2" t="s">
        <v>4</v>
      </c>
      <c r="B47" s="2">
        <v>282.74692648620993</v>
      </c>
      <c r="C47" s="2">
        <v>48.755605938095492</v>
      </c>
      <c r="D47" s="2">
        <v>5.7992700746086694</v>
      </c>
      <c r="E47" s="2">
        <v>9.3329707484427217E-6</v>
      </c>
      <c r="F47" s="2">
        <v>181.35409336925946</v>
      </c>
      <c r="G47" s="2">
        <v>384.13975960316043</v>
      </c>
      <c r="H47" s="2">
        <v>181.35409336925946</v>
      </c>
      <c r="I47" s="2">
        <v>384.13975960316043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74E9-D22D-4502-B723-DB2215AC0287}">
  <dimension ref="A1:P48"/>
  <sheetViews>
    <sheetView topLeftCell="A25" zoomScale="85" zoomScaleNormal="85" workbookViewId="0">
      <selection activeCell="J9" sqref="J9"/>
    </sheetView>
  </sheetViews>
  <sheetFormatPr defaultRowHeight="15" x14ac:dyDescent="0.25"/>
  <cols>
    <col min="1" max="1" width="16.140625" customWidth="1"/>
    <col min="3" max="3" width="13.28515625" bestFit="1" customWidth="1"/>
    <col min="11" max="11" width="13.28515625" bestFit="1" customWidth="1"/>
    <col min="12" max="12" width="16.42578125" customWidth="1"/>
  </cols>
  <sheetData>
    <row r="1" spans="1:16" x14ac:dyDescent="0.25">
      <c r="A1" t="s">
        <v>0</v>
      </c>
      <c r="B1" t="s">
        <v>2</v>
      </c>
      <c r="C1" t="s">
        <v>3</v>
      </c>
      <c r="D1" t="s">
        <v>4</v>
      </c>
      <c r="E1" t="s">
        <v>6</v>
      </c>
      <c r="K1" t="s">
        <v>52</v>
      </c>
      <c r="L1" t="s">
        <v>55</v>
      </c>
      <c r="M1" t="s">
        <v>41</v>
      </c>
    </row>
    <row r="2" spans="1:16" x14ac:dyDescent="0.25">
      <c r="A2">
        <v>3669.88</v>
      </c>
      <c r="B2">
        <v>74065.100000000006</v>
      </c>
      <c r="C2">
        <v>4582.8999999999996</v>
      </c>
      <c r="D2">
        <v>2.5099999999999998</v>
      </c>
      <c r="E2">
        <v>74.86</v>
      </c>
      <c r="K2" s="33">
        <v>6249320.6412680903</v>
      </c>
      <c r="L2" s="16">
        <v>4119349.13627906</v>
      </c>
      <c r="M2">
        <f>(K2-L2)/1</f>
        <v>2129971.5049890303</v>
      </c>
    </row>
    <row r="3" spans="1:16" x14ac:dyDescent="0.25">
      <c r="A3">
        <v>3473.95</v>
      </c>
      <c r="B3">
        <v>58117.3</v>
      </c>
      <c r="C3">
        <v>5539.8</v>
      </c>
      <c r="D3">
        <v>5.51</v>
      </c>
      <c r="E3">
        <v>107.32</v>
      </c>
      <c r="O3" t="s">
        <v>45</v>
      </c>
      <c r="P3">
        <f>M2/M5</f>
        <v>10.341301183870996</v>
      </c>
    </row>
    <row r="4" spans="1:16" x14ac:dyDescent="0.25">
      <c r="A4">
        <v>2295.1</v>
      </c>
      <c r="B4">
        <v>21118.5</v>
      </c>
      <c r="C4">
        <v>2950.4</v>
      </c>
      <c r="D4">
        <v>10.91</v>
      </c>
      <c r="E4">
        <v>96.75</v>
      </c>
      <c r="K4" t="s">
        <v>51</v>
      </c>
      <c r="L4" t="s">
        <v>43</v>
      </c>
      <c r="M4" t="s">
        <v>44</v>
      </c>
    </row>
    <row r="5" spans="1:16" x14ac:dyDescent="0.25">
      <c r="A5">
        <v>4675.5600000000004</v>
      </c>
      <c r="B5">
        <v>68521.3</v>
      </c>
      <c r="C5">
        <v>2243.1</v>
      </c>
      <c r="D5">
        <v>8.27</v>
      </c>
      <c r="E5">
        <v>195.12</v>
      </c>
      <c r="K5">
        <f>L2</f>
        <v>4119349.13627906</v>
      </c>
      <c r="L5">
        <f>25-4-1</f>
        <v>20</v>
      </c>
      <c r="M5">
        <f>K5/L5</f>
        <v>205967.456813953</v>
      </c>
      <c r="O5" t="s">
        <v>46</v>
      </c>
      <c r="P5" s="12">
        <f>_xlfn.F.DIST.RT(P3,1,L5)</f>
        <v>4.3370007701511179E-3</v>
      </c>
    </row>
    <row r="6" spans="1:16" x14ac:dyDescent="0.25">
      <c r="A6">
        <v>6125.96</v>
      </c>
      <c r="B6">
        <v>57805.1</v>
      </c>
      <c r="C6">
        <v>7747.1</v>
      </c>
      <c r="D6">
        <v>9.15</v>
      </c>
      <c r="E6">
        <v>180.44</v>
      </c>
    </row>
    <row r="7" spans="1:16" x14ac:dyDescent="0.25">
      <c r="A7">
        <v>2134.94</v>
      </c>
      <c r="B7">
        <v>37806.9</v>
      </c>
      <c r="C7">
        <v>402.4</v>
      </c>
      <c r="D7">
        <v>5.51</v>
      </c>
      <c r="E7">
        <v>104.88</v>
      </c>
    </row>
    <row r="8" spans="1:16" x14ac:dyDescent="0.25">
      <c r="A8">
        <v>5031.66</v>
      </c>
      <c r="B8">
        <v>50935.3</v>
      </c>
      <c r="C8">
        <v>3140.6</v>
      </c>
      <c r="D8">
        <v>8.5399999999999991</v>
      </c>
      <c r="E8">
        <v>256.10000000000002</v>
      </c>
    </row>
    <row r="9" spans="1:16" x14ac:dyDescent="0.25">
      <c r="A9">
        <v>3367.45</v>
      </c>
      <c r="B9">
        <v>35602.1</v>
      </c>
      <c r="C9">
        <v>2086.1999999999998</v>
      </c>
      <c r="D9">
        <v>7.07</v>
      </c>
      <c r="E9">
        <v>126.83</v>
      </c>
    </row>
    <row r="10" spans="1:16" x14ac:dyDescent="0.25">
      <c r="A10">
        <v>6519.45</v>
      </c>
      <c r="B10">
        <v>46176.800000000003</v>
      </c>
      <c r="C10">
        <v>8846.2000000000007</v>
      </c>
      <c r="D10">
        <v>12.54</v>
      </c>
      <c r="E10">
        <v>203.25</v>
      </c>
    </row>
    <row r="11" spans="1:16" x14ac:dyDescent="0.25">
      <c r="A11">
        <v>4876.37</v>
      </c>
      <c r="B11">
        <v>42053.2</v>
      </c>
      <c r="C11">
        <v>5673.1</v>
      </c>
      <c r="D11">
        <v>8.85</v>
      </c>
      <c r="E11">
        <v>119.51</v>
      </c>
    </row>
    <row r="12" spans="1:16" x14ac:dyDescent="0.25">
      <c r="A12">
        <v>2468.27</v>
      </c>
      <c r="B12">
        <v>36829.699999999997</v>
      </c>
      <c r="C12">
        <v>2761.8</v>
      </c>
      <c r="D12">
        <v>5.38</v>
      </c>
      <c r="E12">
        <v>116.26</v>
      </c>
    </row>
    <row r="13" spans="1:16" x14ac:dyDescent="0.25">
      <c r="A13">
        <v>2533.31</v>
      </c>
      <c r="B13">
        <v>33612.699999999997</v>
      </c>
      <c r="C13">
        <v>1991.8</v>
      </c>
      <c r="D13">
        <v>5.43</v>
      </c>
      <c r="E13">
        <v>142.28</v>
      </c>
    </row>
    <row r="14" spans="1:16" x14ac:dyDescent="0.25">
      <c r="A14">
        <v>2408.11</v>
      </c>
      <c r="B14">
        <v>21412.799999999999</v>
      </c>
      <c r="C14">
        <v>1971.5</v>
      </c>
      <c r="D14">
        <v>8.48</v>
      </c>
      <c r="E14">
        <v>89.43</v>
      </c>
    </row>
    <row r="15" spans="1:16" x14ac:dyDescent="0.25">
      <c r="A15">
        <v>2337.38</v>
      </c>
      <c r="B15">
        <v>20416.900000000001</v>
      </c>
      <c r="C15">
        <v>1737.4</v>
      </c>
      <c r="D15">
        <v>7.8</v>
      </c>
      <c r="E15">
        <v>84.55</v>
      </c>
    </row>
    <row r="16" spans="1:16" x14ac:dyDescent="0.25">
      <c r="A16">
        <v>4586.95</v>
      </c>
      <c r="B16">
        <v>36272</v>
      </c>
      <c r="C16">
        <v>10694.2</v>
      </c>
      <c r="D16">
        <v>10.34</v>
      </c>
      <c r="E16">
        <v>119.51</v>
      </c>
    </row>
    <row r="17" spans="1:5" x14ac:dyDescent="0.25">
      <c r="A17">
        <v>2729.24</v>
      </c>
      <c r="B17">
        <v>23093.3</v>
      </c>
      <c r="C17">
        <v>8618.6</v>
      </c>
      <c r="D17">
        <v>5.15</v>
      </c>
      <c r="E17">
        <v>80.489999999999995</v>
      </c>
    </row>
    <row r="18" spans="1:5" x14ac:dyDescent="0.25">
      <c r="A18">
        <v>3289.4</v>
      </c>
      <c r="B18">
        <v>26878.6</v>
      </c>
      <c r="C18">
        <v>7747.9</v>
      </c>
      <c r="D18">
        <v>6.64</v>
      </c>
      <c r="E18">
        <v>136.58000000000001</v>
      </c>
    </row>
    <row r="19" spans="1:5" x14ac:dyDescent="0.25">
      <c r="A19">
        <v>2800.78</v>
      </c>
      <c r="B19">
        <v>39572</v>
      </c>
      <c r="C19">
        <v>4565.8</v>
      </c>
      <c r="D19">
        <v>5.45</v>
      </c>
      <c r="E19">
        <v>78.86</v>
      </c>
    </row>
    <row r="20" spans="1:5" x14ac:dyDescent="0.25">
      <c r="A20">
        <v>3264.2</v>
      </c>
      <c r="B20">
        <v>51866.1</v>
      </c>
      <c r="C20">
        <v>6022.7</v>
      </c>
      <c r="D20">
        <v>6.31</v>
      </c>
      <c r="E20">
        <v>136.58000000000001</v>
      </c>
    </row>
    <row r="21" spans="1:5" x14ac:dyDescent="0.25">
      <c r="A21">
        <v>3453.62</v>
      </c>
      <c r="B21">
        <v>58749.8</v>
      </c>
      <c r="C21">
        <v>3721.1</v>
      </c>
      <c r="D21">
        <v>6.35</v>
      </c>
      <c r="E21">
        <v>138.21</v>
      </c>
    </row>
    <row r="22" spans="1:5" x14ac:dyDescent="0.25">
      <c r="A22">
        <v>1741.45</v>
      </c>
      <c r="B22">
        <v>23990.799999999999</v>
      </c>
      <c r="C22">
        <v>861</v>
      </c>
      <c r="D22">
        <v>7.37</v>
      </c>
      <c r="E22">
        <v>75.61</v>
      </c>
    </row>
    <row r="23" spans="1:5" x14ac:dyDescent="0.25">
      <c r="A23">
        <v>2035.75</v>
      </c>
      <c r="B23">
        <v>25694.9</v>
      </c>
      <c r="C23">
        <v>3571.5</v>
      </c>
      <c r="D23">
        <v>8.39</v>
      </c>
      <c r="E23">
        <v>102.44</v>
      </c>
    </row>
    <row r="24" spans="1:5" x14ac:dyDescent="0.25">
      <c r="A24">
        <v>1578</v>
      </c>
      <c r="B24">
        <v>23736.3</v>
      </c>
      <c r="C24">
        <v>2845.5</v>
      </c>
      <c r="D24">
        <v>5.15</v>
      </c>
      <c r="E24">
        <v>76.42</v>
      </c>
    </row>
    <row r="25" spans="1:5" x14ac:dyDescent="0.25">
      <c r="A25">
        <v>4167.4399999999996</v>
      </c>
      <c r="B25">
        <v>34314.300000000003</v>
      </c>
      <c r="C25">
        <v>5060.1000000000004</v>
      </c>
      <c r="D25">
        <v>12.88</v>
      </c>
      <c r="E25">
        <v>136.58000000000001</v>
      </c>
    </row>
    <row r="26" spans="1:5" x14ac:dyDescent="0.25">
      <c r="A26">
        <v>2799.97</v>
      </c>
      <c r="B26">
        <v>22809.5</v>
      </c>
      <c r="C26">
        <v>3552</v>
      </c>
      <c r="D26">
        <v>9.14</v>
      </c>
      <c r="E26">
        <v>88.62</v>
      </c>
    </row>
    <row r="28" spans="1:5" x14ac:dyDescent="0.25">
      <c r="A28" t="s">
        <v>9</v>
      </c>
    </row>
    <row r="29" spans="1:5" ht="15.75" thickBot="1" x14ac:dyDescent="0.3"/>
    <row r="30" spans="1:5" x14ac:dyDescent="0.25">
      <c r="A30" s="4" t="s">
        <v>10</v>
      </c>
      <c r="B30" s="4"/>
    </row>
    <row r="31" spans="1:5" x14ac:dyDescent="0.25">
      <c r="A31" t="s">
        <v>11</v>
      </c>
      <c r="B31">
        <v>0.94892024771351269</v>
      </c>
    </row>
    <row r="32" spans="1:5" x14ac:dyDescent="0.25">
      <c r="A32" t="s">
        <v>12</v>
      </c>
      <c r="B32">
        <v>0.90044963652067433</v>
      </c>
    </row>
    <row r="33" spans="1:9" x14ac:dyDescent="0.25">
      <c r="A33" t="s">
        <v>13</v>
      </c>
      <c r="B33">
        <v>0.88053956382480914</v>
      </c>
    </row>
    <row r="34" spans="1:9" x14ac:dyDescent="0.25">
      <c r="A34" t="s">
        <v>14</v>
      </c>
      <c r="B34">
        <v>453.83637669754154</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4</v>
      </c>
      <c r="C39">
        <v>37260199.79057695</v>
      </c>
      <c r="D39">
        <v>9315049.9476442374</v>
      </c>
      <c r="E39">
        <v>45.225833691088276</v>
      </c>
      <c r="F39">
        <v>9.5636512670966236E-10</v>
      </c>
    </row>
    <row r="40" spans="1:9" x14ac:dyDescent="0.25">
      <c r="A40" t="s">
        <v>18</v>
      </c>
      <c r="B40">
        <v>20</v>
      </c>
      <c r="C40" s="16">
        <v>4119349.1362790568</v>
      </c>
      <c r="D40">
        <v>205967.45681395283</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-1441.932280580827</v>
      </c>
      <c r="C44">
        <v>423.5818169021137</v>
      </c>
      <c r="D44">
        <v>-3.4041411199528562</v>
      </c>
      <c r="E44">
        <v>2.8143510209571124E-3</v>
      </c>
      <c r="F44">
        <v>-2325.5084675650983</v>
      </c>
      <c r="G44">
        <v>-558.35609359655552</v>
      </c>
      <c r="H44">
        <v>-2325.5084675650983</v>
      </c>
      <c r="I44">
        <v>-558.35609359655552</v>
      </c>
    </row>
    <row r="45" spans="1:9" x14ac:dyDescent="0.25">
      <c r="A45" t="s">
        <v>2</v>
      </c>
      <c r="B45">
        <v>3.8217461136388887E-2</v>
      </c>
      <c r="C45">
        <v>7.9769479862303559E-3</v>
      </c>
      <c r="D45">
        <v>4.7909878818765126</v>
      </c>
      <c r="E45">
        <v>1.1130327488749973E-4</v>
      </c>
      <c r="F45">
        <v>2.1577839216371315E-2</v>
      </c>
      <c r="G45">
        <v>5.4857083056406464E-2</v>
      </c>
      <c r="H45">
        <v>2.1577839216371315E-2</v>
      </c>
      <c r="I45">
        <v>5.4857083056406464E-2</v>
      </c>
    </row>
    <row r="46" spans="1:9" x14ac:dyDescent="0.25">
      <c r="A46" t="s">
        <v>3</v>
      </c>
      <c r="B46">
        <v>0.17499017537034098</v>
      </c>
      <c r="C46">
        <v>3.6906717079025521E-2</v>
      </c>
      <c r="D46">
        <v>4.7414180729119835</v>
      </c>
      <c r="E46">
        <v>1.2484009004529303E-4</v>
      </c>
      <c r="F46">
        <v>9.800411258491093E-2</v>
      </c>
      <c r="G46">
        <v>0.25197623815577103</v>
      </c>
      <c r="H46">
        <v>9.800411258491093E-2</v>
      </c>
      <c r="I46">
        <v>0.25197623815577103</v>
      </c>
    </row>
    <row r="47" spans="1:9" x14ac:dyDescent="0.25">
      <c r="A47" t="s">
        <v>4</v>
      </c>
      <c r="B47">
        <v>190.14419239922984</v>
      </c>
      <c r="C47">
        <v>49.744183957931988</v>
      </c>
      <c r="D47">
        <v>3.8224406809051752</v>
      </c>
      <c r="E47">
        <v>1.0652502021185873E-3</v>
      </c>
      <c r="F47">
        <v>86.379642948914693</v>
      </c>
      <c r="G47">
        <v>293.90874184954498</v>
      </c>
      <c r="H47">
        <v>86.379642948914693</v>
      </c>
      <c r="I47">
        <v>293.90874184954498</v>
      </c>
    </row>
    <row r="48" spans="1:9" ht="15.75" thickBot="1" x14ac:dyDescent="0.3">
      <c r="A48" s="2" t="s">
        <v>6</v>
      </c>
      <c r="B48" s="2">
        <v>9.2139224338604837</v>
      </c>
      <c r="C48" s="2">
        <v>2.8652133000901472</v>
      </c>
      <c r="D48" s="2">
        <v>3.2157893562655837</v>
      </c>
      <c r="E48" s="2">
        <v>4.337000770151085E-3</v>
      </c>
      <c r="F48" s="2">
        <v>3.2371922212524353</v>
      </c>
      <c r="G48" s="2">
        <v>15.190652646468532</v>
      </c>
      <c r="H48" s="2">
        <v>3.2371922212524353</v>
      </c>
      <c r="I48" s="2">
        <v>15.190652646468532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D48A-7ACF-4E87-839B-3157FD37AE0D}">
  <dimension ref="A1:M26"/>
  <sheetViews>
    <sheetView topLeftCell="B9" workbookViewId="0">
      <selection activeCell="T28" sqref="T28"/>
    </sheetView>
  </sheetViews>
  <sheetFormatPr defaultRowHeight="15" x14ac:dyDescent="0.25"/>
  <cols>
    <col min="1" max="1" width="21.85546875" customWidth="1"/>
    <col min="5" max="5" width="13.7109375" customWidth="1"/>
    <col min="11" max="11" width="12" bestFit="1" customWidth="1"/>
  </cols>
  <sheetData>
    <row r="1" spans="1:13" x14ac:dyDescent="0.25">
      <c r="A1" t="s">
        <v>0</v>
      </c>
      <c r="B1" t="s">
        <v>6</v>
      </c>
      <c r="E1" t="s">
        <v>9</v>
      </c>
    </row>
    <row r="2" spans="1:13" ht="15.75" thickBot="1" x14ac:dyDescent="0.3">
      <c r="A2">
        <v>3669.88</v>
      </c>
      <c r="B2">
        <v>74.86</v>
      </c>
    </row>
    <row r="3" spans="1:13" x14ac:dyDescent="0.25">
      <c r="A3">
        <v>3473.95</v>
      </c>
      <c r="B3">
        <v>107.32</v>
      </c>
      <c r="E3" s="4" t="s">
        <v>10</v>
      </c>
      <c r="F3" s="4"/>
    </row>
    <row r="4" spans="1:13" x14ac:dyDescent="0.25">
      <c r="A4">
        <v>2295.1</v>
      </c>
      <c r="B4">
        <v>96.75</v>
      </c>
      <c r="E4" t="s">
        <v>11</v>
      </c>
      <c r="F4">
        <v>0.75398619473196993</v>
      </c>
    </row>
    <row r="5" spans="1:13" x14ac:dyDescent="0.25">
      <c r="A5">
        <v>4675.5600000000004</v>
      </c>
      <c r="B5">
        <v>195.12</v>
      </c>
      <c r="E5" t="s">
        <v>12</v>
      </c>
      <c r="F5">
        <v>0.56849518184639602</v>
      </c>
    </row>
    <row r="6" spans="1:13" x14ac:dyDescent="0.25">
      <c r="A6">
        <v>6125.96</v>
      </c>
      <c r="B6">
        <v>180.44</v>
      </c>
      <c r="E6" t="s">
        <v>13</v>
      </c>
      <c r="F6">
        <v>0.54973410279623924</v>
      </c>
    </row>
    <row r="7" spans="1:13" x14ac:dyDescent="0.25">
      <c r="A7">
        <v>2134.94</v>
      </c>
      <c r="B7">
        <v>104.88</v>
      </c>
      <c r="E7" t="s">
        <v>14</v>
      </c>
      <c r="F7">
        <v>881.09306459452523</v>
      </c>
    </row>
    <row r="8" spans="1:13" ht="15.75" thickBot="1" x14ac:dyDescent="0.3">
      <c r="A8">
        <v>5031.66</v>
      </c>
      <c r="B8">
        <v>256.10000000000002</v>
      </c>
      <c r="E8" s="2" t="s">
        <v>15</v>
      </c>
      <c r="F8" s="2">
        <v>25</v>
      </c>
    </row>
    <row r="9" spans="1:13" x14ac:dyDescent="0.25">
      <c r="A9">
        <v>3367.45</v>
      </c>
      <c r="B9">
        <v>126.83</v>
      </c>
    </row>
    <row r="10" spans="1:13" ht="15.75" thickBot="1" x14ac:dyDescent="0.3">
      <c r="A10">
        <v>6519.45</v>
      </c>
      <c r="B10">
        <v>203.25</v>
      </c>
      <c r="E10" t="s">
        <v>16</v>
      </c>
    </row>
    <row r="11" spans="1:13" x14ac:dyDescent="0.25">
      <c r="A11">
        <v>4876.37</v>
      </c>
      <c r="B11">
        <v>119.51</v>
      </c>
      <c r="E11" s="3"/>
      <c r="F11" s="3" t="s">
        <v>21</v>
      </c>
      <c r="G11" s="3" t="s">
        <v>22</v>
      </c>
      <c r="H11" s="3" t="s">
        <v>23</v>
      </c>
      <c r="I11" s="3" t="s">
        <v>24</v>
      </c>
      <c r="J11" s="3" t="s">
        <v>25</v>
      </c>
    </row>
    <row r="12" spans="1:13" x14ac:dyDescent="0.25">
      <c r="A12">
        <v>2468.27</v>
      </c>
      <c r="B12">
        <v>116.26</v>
      </c>
      <c r="E12" t="s">
        <v>17</v>
      </c>
      <c r="F12">
        <v>1</v>
      </c>
      <c r="G12">
        <v>23524074.191894844</v>
      </c>
      <c r="H12">
        <v>23524074.191894844</v>
      </c>
      <c r="I12">
        <v>30.301838200593679</v>
      </c>
      <c r="J12" s="7">
        <v>1.3457227135610845E-5</v>
      </c>
      <c r="K12">
        <v>1.3499999999999999E-5</v>
      </c>
    </row>
    <row r="13" spans="1:13" x14ac:dyDescent="0.25">
      <c r="A13">
        <v>2533.31</v>
      </c>
      <c r="B13">
        <v>142.28</v>
      </c>
      <c r="E13" t="s">
        <v>18</v>
      </c>
      <c r="F13">
        <v>23</v>
      </c>
      <c r="G13">
        <v>17855474.734961201</v>
      </c>
      <c r="H13">
        <v>776324.98847657221</v>
      </c>
    </row>
    <row r="14" spans="1:13" ht="15.75" thickBot="1" x14ac:dyDescent="0.3">
      <c r="A14">
        <v>2408.11</v>
      </c>
      <c r="B14">
        <v>89.43</v>
      </c>
      <c r="E14" s="2" t="s">
        <v>19</v>
      </c>
      <c r="F14" s="2">
        <v>24</v>
      </c>
      <c r="G14" s="2">
        <v>41379548.926856004</v>
      </c>
      <c r="H14" s="2"/>
      <c r="I14" s="2"/>
      <c r="J14" s="2"/>
    </row>
    <row r="15" spans="1:13" ht="15.75" thickBot="1" x14ac:dyDescent="0.3">
      <c r="A15">
        <v>2337.38</v>
      </c>
      <c r="B15">
        <v>84.55</v>
      </c>
    </row>
    <row r="16" spans="1:13" x14ac:dyDescent="0.25">
      <c r="A16">
        <v>4586.95</v>
      </c>
      <c r="B16">
        <v>119.51</v>
      </c>
      <c r="E16" s="3"/>
      <c r="F16" s="3" t="s">
        <v>26</v>
      </c>
      <c r="G16" s="3" t="s">
        <v>14</v>
      </c>
      <c r="H16" s="3" t="s">
        <v>27</v>
      </c>
      <c r="I16" s="3" t="s">
        <v>28</v>
      </c>
      <c r="J16" s="3" t="s">
        <v>29</v>
      </c>
      <c r="K16" s="3" t="s">
        <v>30</v>
      </c>
      <c r="L16" s="3" t="s">
        <v>31</v>
      </c>
      <c r="M16" s="3" t="s">
        <v>32</v>
      </c>
    </row>
    <row r="17" spans="1:13" x14ac:dyDescent="0.25">
      <c r="A17">
        <v>2729.24</v>
      </c>
      <c r="B17">
        <v>80.489999999999995</v>
      </c>
      <c r="E17" t="s">
        <v>20</v>
      </c>
      <c r="F17">
        <v>709.32383371523792</v>
      </c>
      <c r="G17">
        <v>515.24608169953865</v>
      </c>
      <c r="H17">
        <v>1.3766700202271001</v>
      </c>
      <c r="I17">
        <v>0.18186878367527426</v>
      </c>
      <c r="J17">
        <v>-356.5438944311079</v>
      </c>
      <c r="K17">
        <v>1775.1915618615838</v>
      </c>
      <c r="L17">
        <v>-356.5438944311079</v>
      </c>
      <c r="M17">
        <v>1775.1915618615838</v>
      </c>
    </row>
    <row r="18" spans="1:13" ht="15.75" thickBot="1" x14ac:dyDescent="0.3">
      <c r="A18">
        <v>3289.4</v>
      </c>
      <c r="B18">
        <v>136.58000000000001</v>
      </c>
      <c r="E18" s="2" t="s">
        <v>6</v>
      </c>
      <c r="F18" s="2">
        <v>21.721769712310767</v>
      </c>
      <c r="G18" s="2">
        <v>3.9460330436769855</v>
      </c>
      <c r="H18" s="8">
        <v>5.5047105464859527</v>
      </c>
      <c r="I18" s="8">
        <v>1.3457227135610869E-5</v>
      </c>
      <c r="J18" s="2">
        <v>13.558778425543327</v>
      </c>
      <c r="K18" s="2">
        <v>29.884760999078207</v>
      </c>
      <c r="L18" s="2">
        <v>13.558778425543327</v>
      </c>
      <c r="M18" s="2">
        <v>29.884760999078207</v>
      </c>
    </row>
    <row r="19" spans="1:13" x14ac:dyDescent="0.25">
      <c r="A19">
        <v>2800.78</v>
      </c>
      <c r="B19">
        <v>78.86</v>
      </c>
    </row>
    <row r="20" spans="1:13" x14ac:dyDescent="0.25">
      <c r="A20">
        <v>3264.2</v>
      </c>
      <c r="B20">
        <v>136.58000000000001</v>
      </c>
    </row>
    <row r="21" spans="1:13" x14ac:dyDescent="0.25">
      <c r="A21">
        <v>3453.62</v>
      </c>
      <c r="B21">
        <v>138.21</v>
      </c>
    </row>
    <row r="22" spans="1:13" x14ac:dyDescent="0.25">
      <c r="A22">
        <v>1741.45</v>
      </c>
      <c r="B22">
        <v>75.61</v>
      </c>
    </row>
    <row r="23" spans="1:13" x14ac:dyDescent="0.25">
      <c r="A23">
        <v>2035.75</v>
      </c>
      <c r="B23">
        <v>102.44</v>
      </c>
    </row>
    <row r="24" spans="1:13" x14ac:dyDescent="0.25">
      <c r="A24">
        <v>1578</v>
      </c>
      <c r="B24">
        <v>76.42</v>
      </c>
    </row>
    <row r="25" spans="1:13" x14ac:dyDescent="0.25">
      <c r="A25">
        <v>4167.4399999999996</v>
      </c>
      <c r="B25">
        <v>136.58000000000001</v>
      </c>
    </row>
    <row r="26" spans="1:13" x14ac:dyDescent="0.25">
      <c r="A26">
        <v>2799.97</v>
      </c>
      <c r="B26">
        <v>88.62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F2AB-1049-47C6-98C5-1FBDB485FBA5}">
  <dimension ref="A1:P26"/>
  <sheetViews>
    <sheetView topLeftCell="E9" zoomScale="96" zoomScaleNormal="96" workbookViewId="0">
      <selection activeCell="L13" sqref="L13"/>
    </sheetView>
  </sheetViews>
  <sheetFormatPr defaultRowHeight="15" x14ac:dyDescent="0.25"/>
  <cols>
    <col min="11" max="11" width="11" customWidth="1"/>
    <col min="12" max="12" width="14.140625" customWidth="1"/>
    <col min="15" max="15" width="12" bestFit="1" customWidth="1"/>
  </cols>
  <sheetData>
    <row r="1" spans="1:16" x14ac:dyDescent="0.25">
      <c r="A1" t="s">
        <v>0</v>
      </c>
      <c r="B1" t="s">
        <v>6</v>
      </c>
      <c r="C1" t="s">
        <v>3</v>
      </c>
      <c r="E1" t="s">
        <v>9</v>
      </c>
    </row>
    <row r="2" spans="1:16" ht="15.75" thickBot="1" x14ac:dyDescent="0.3">
      <c r="A2">
        <v>3669.88</v>
      </c>
      <c r="B2">
        <v>74.86</v>
      </c>
      <c r="C2">
        <v>4582.8999999999996</v>
      </c>
      <c r="K2" t="s">
        <v>42</v>
      </c>
      <c r="L2" t="s">
        <v>40</v>
      </c>
      <c r="M2" t="s">
        <v>41</v>
      </c>
    </row>
    <row r="3" spans="1:16" x14ac:dyDescent="0.25">
      <c r="A3">
        <v>3473.95</v>
      </c>
      <c r="B3">
        <v>107.32</v>
      </c>
      <c r="C3">
        <v>5539.8</v>
      </c>
      <c r="E3" s="4" t="s">
        <v>10</v>
      </c>
      <c r="F3" s="4"/>
      <c r="K3">
        <v>17855474.734961201</v>
      </c>
      <c r="L3">
        <v>9306203.4445604496</v>
      </c>
      <c r="M3">
        <f>(K3-L3)/1</f>
        <v>8549271.2904007509</v>
      </c>
    </row>
    <row r="4" spans="1:16" x14ac:dyDescent="0.25">
      <c r="A4">
        <v>2295.1</v>
      </c>
      <c r="B4">
        <v>96.75</v>
      </c>
      <c r="C4">
        <v>2950.4</v>
      </c>
      <c r="E4" t="s">
        <v>11</v>
      </c>
      <c r="F4">
        <v>0.88039842124368406</v>
      </c>
      <c r="O4" t="s">
        <v>45</v>
      </c>
      <c r="P4">
        <f>M3/M6</f>
        <v>20.210601402525011</v>
      </c>
    </row>
    <row r="5" spans="1:16" x14ac:dyDescent="0.25">
      <c r="A5">
        <v>4675.5600000000004</v>
      </c>
      <c r="B5">
        <v>195.12</v>
      </c>
      <c r="C5">
        <v>2243.1</v>
      </c>
      <c r="E5" t="s">
        <v>12</v>
      </c>
      <c r="F5">
        <v>0.77510138012837138</v>
      </c>
      <c r="K5" t="s">
        <v>40</v>
      </c>
      <c r="L5" t="s">
        <v>43</v>
      </c>
      <c r="M5" t="s">
        <v>44</v>
      </c>
    </row>
    <row r="6" spans="1:16" x14ac:dyDescent="0.25">
      <c r="A6">
        <v>6125.96</v>
      </c>
      <c r="B6">
        <v>180.44</v>
      </c>
      <c r="C6">
        <v>7747.1</v>
      </c>
      <c r="E6" t="s">
        <v>13</v>
      </c>
      <c r="F6">
        <v>0.75465605104913247</v>
      </c>
      <c r="K6">
        <v>9306203.4445604496</v>
      </c>
      <c r="L6">
        <f>25-2-1</f>
        <v>22</v>
      </c>
      <c r="M6">
        <f>K6/L6</f>
        <v>423009.24748002045</v>
      </c>
      <c r="O6" t="s">
        <v>46</v>
      </c>
      <c r="P6" s="7">
        <f>_xlfn.F.DIST.RT(P4,1,L6)</f>
        <v>1.797842415909295E-4</v>
      </c>
    </row>
    <row r="7" spans="1:16" x14ac:dyDescent="0.25">
      <c r="A7">
        <v>2134.94</v>
      </c>
      <c r="B7">
        <v>104.88</v>
      </c>
      <c r="C7">
        <v>402.4</v>
      </c>
      <c r="E7" t="s">
        <v>14</v>
      </c>
      <c r="F7">
        <v>650.39161086227136</v>
      </c>
    </row>
    <row r="8" spans="1:16" ht="15.75" thickBot="1" x14ac:dyDescent="0.3">
      <c r="A8">
        <v>5031.66</v>
      </c>
      <c r="B8">
        <v>256.10000000000002</v>
      </c>
      <c r="C8">
        <v>3140.6</v>
      </c>
      <c r="E8" s="2" t="s">
        <v>15</v>
      </c>
      <c r="F8" s="2">
        <v>25</v>
      </c>
    </row>
    <row r="9" spans="1:16" x14ac:dyDescent="0.25">
      <c r="A9">
        <v>3367.45</v>
      </c>
      <c r="B9">
        <v>126.83</v>
      </c>
      <c r="C9">
        <v>2086.1999999999998</v>
      </c>
    </row>
    <row r="10" spans="1:16" ht="15.75" thickBot="1" x14ac:dyDescent="0.3">
      <c r="A10">
        <v>6519.45</v>
      </c>
      <c r="B10">
        <v>203.25</v>
      </c>
      <c r="C10">
        <v>8846.2000000000007</v>
      </c>
      <c r="E10" t="s">
        <v>16</v>
      </c>
    </row>
    <row r="11" spans="1:16" x14ac:dyDescent="0.25">
      <c r="A11">
        <v>4876.37</v>
      </c>
      <c r="B11">
        <v>119.51</v>
      </c>
      <c r="C11">
        <v>5673.1</v>
      </c>
      <c r="E11" s="3"/>
      <c r="F11" s="3" t="s">
        <v>21</v>
      </c>
      <c r="G11" s="3" t="s">
        <v>22</v>
      </c>
      <c r="H11" s="3" t="s">
        <v>23</v>
      </c>
      <c r="I11" s="3" t="s">
        <v>24</v>
      </c>
      <c r="J11" s="3" t="s">
        <v>25</v>
      </c>
    </row>
    <row r="12" spans="1:16" x14ac:dyDescent="0.25">
      <c r="A12">
        <v>2468.27</v>
      </c>
      <c r="B12">
        <v>116.26</v>
      </c>
      <c r="C12">
        <v>2761.8</v>
      </c>
      <c r="E12" t="s">
        <v>17</v>
      </c>
      <c r="F12">
        <v>2</v>
      </c>
      <c r="G12">
        <v>32073345.482295558</v>
      </c>
      <c r="H12">
        <v>16036672.741147779</v>
      </c>
      <c r="I12">
        <v>37.910927093633404</v>
      </c>
      <c r="J12" s="7">
        <v>7.4448284280793133E-8</v>
      </c>
      <c r="K12">
        <v>7.4400000000000004E-8</v>
      </c>
    </row>
    <row r="13" spans="1:16" x14ac:dyDescent="0.25">
      <c r="A13">
        <v>2533.31</v>
      </c>
      <c r="B13">
        <v>142.28</v>
      </c>
      <c r="C13">
        <v>1991.8</v>
      </c>
      <c r="E13" t="s">
        <v>18</v>
      </c>
      <c r="F13">
        <v>22</v>
      </c>
      <c r="G13">
        <v>9306203.4445604496</v>
      </c>
      <c r="H13">
        <v>423009.24748002028</v>
      </c>
    </row>
    <row r="14" spans="1:16" ht="15.75" thickBot="1" x14ac:dyDescent="0.3">
      <c r="A14">
        <v>2408.11</v>
      </c>
      <c r="B14">
        <v>89.43</v>
      </c>
      <c r="C14">
        <v>1971.5</v>
      </c>
      <c r="E14" s="2" t="s">
        <v>19</v>
      </c>
      <c r="F14" s="2">
        <v>24</v>
      </c>
      <c r="G14" s="2">
        <v>41379548.926856004</v>
      </c>
      <c r="H14" s="2"/>
      <c r="I14" s="2"/>
      <c r="J14" s="2"/>
    </row>
    <row r="15" spans="1:16" ht="15.75" thickBot="1" x14ac:dyDescent="0.3">
      <c r="A15">
        <v>2337.38</v>
      </c>
      <c r="B15">
        <v>84.55</v>
      </c>
      <c r="C15">
        <v>1737.4</v>
      </c>
    </row>
    <row r="16" spans="1:16" x14ac:dyDescent="0.25">
      <c r="A16">
        <v>4586.95</v>
      </c>
      <c r="B16">
        <v>119.51</v>
      </c>
      <c r="C16">
        <v>10694.2</v>
      </c>
      <c r="E16" s="3"/>
      <c r="F16" s="3" t="s">
        <v>26</v>
      </c>
      <c r="G16" s="3" t="s">
        <v>14</v>
      </c>
      <c r="H16" s="3" t="s">
        <v>27</v>
      </c>
      <c r="I16" s="3" t="s">
        <v>28</v>
      </c>
      <c r="J16" s="3" t="s">
        <v>29</v>
      </c>
      <c r="K16" s="3" t="s">
        <v>30</v>
      </c>
      <c r="L16" s="3" t="s">
        <v>31</v>
      </c>
      <c r="M16" s="3" t="s">
        <v>32</v>
      </c>
    </row>
    <row r="17" spans="1:13" x14ac:dyDescent="0.25">
      <c r="A17">
        <v>2729.24</v>
      </c>
      <c r="B17">
        <v>80.489999999999995</v>
      </c>
      <c r="C17">
        <v>8618.6</v>
      </c>
      <c r="E17" t="s">
        <v>20</v>
      </c>
      <c r="F17">
        <v>50.294056211736802</v>
      </c>
      <c r="G17">
        <v>407.60945875715606</v>
      </c>
      <c r="H17">
        <v>0.12338785357211446</v>
      </c>
      <c r="I17">
        <v>0.90292031002098039</v>
      </c>
      <c r="J17">
        <v>-795.03622252766593</v>
      </c>
      <c r="K17">
        <v>895.62433495113953</v>
      </c>
      <c r="L17">
        <v>-795.03622252766593</v>
      </c>
      <c r="M17">
        <v>895.62433495113953</v>
      </c>
    </row>
    <row r="18" spans="1:13" x14ac:dyDescent="0.25">
      <c r="A18">
        <v>3289.4</v>
      </c>
      <c r="B18">
        <v>136.58000000000001</v>
      </c>
      <c r="C18">
        <v>7747.9</v>
      </c>
      <c r="E18" t="s">
        <v>6</v>
      </c>
      <c r="F18">
        <v>19.048266729147013</v>
      </c>
      <c r="G18">
        <v>2.9729086334206976</v>
      </c>
      <c r="H18">
        <v>6.4072829265626083</v>
      </c>
      <c r="I18" s="36">
        <v>1.9036805508316428E-6</v>
      </c>
      <c r="J18">
        <v>12.882831580956466</v>
      </c>
      <c r="K18">
        <v>25.213701877337559</v>
      </c>
      <c r="L18">
        <v>12.882831580956466</v>
      </c>
      <c r="M18">
        <v>25.213701877337559</v>
      </c>
    </row>
    <row r="19" spans="1:13" ht="15.75" thickBot="1" x14ac:dyDescent="0.3">
      <c r="A19">
        <v>2800.78</v>
      </c>
      <c r="B19">
        <v>78.86</v>
      </c>
      <c r="C19">
        <v>4565.8</v>
      </c>
      <c r="E19" s="2" t="s">
        <v>3</v>
      </c>
      <c r="F19" s="2">
        <v>0.22652709713601521</v>
      </c>
      <c r="G19" s="2">
        <v>5.0388396863008063E-2</v>
      </c>
      <c r="H19" s="2">
        <v>4.4956202466984401</v>
      </c>
      <c r="I19" s="2">
        <v>1.7978424159093362E-4</v>
      </c>
      <c r="J19" s="2">
        <v>0.12202795794696308</v>
      </c>
      <c r="K19" s="2">
        <v>0.33102623632506734</v>
      </c>
      <c r="L19" s="2">
        <v>0.12202795794696308</v>
      </c>
      <c r="M19" s="2">
        <v>0.33102623632506734</v>
      </c>
    </row>
    <row r="20" spans="1:13" x14ac:dyDescent="0.25">
      <c r="A20">
        <v>3264.2</v>
      </c>
      <c r="B20">
        <v>136.58000000000001</v>
      </c>
      <c r="C20">
        <v>6022.7</v>
      </c>
    </row>
    <row r="21" spans="1:13" x14ac:dyDescent="0.25">
      <c r="A21">
        <v>3453.62</v>
      </c>
      <c r="B21">
        <v>138.21</v>
      </c>
      <c r="C21">
        <v>3721.1</v>
      </c>
    </row>
    <row r="22" spans="1:13" x14ac:dyDescent="0.25">
      <c r="A22">
        <v>1741.45</v>
      </c>
      <c r="B22">
        <v>75.61</v>
      </c>
      <c r="C22">
        <v>861</v>
      </c>
    </row>
    <row r="23" spans="1:13" x14ac:dyDescent="0.25">
      <c r="A23">
        <v>2035.75</v>
      </c>
      <c r="B23">
        <v>102.44</v>
      </c>
      <c r="C23">
        <v>3571.5</v>
      </c>
    </row>
    <row r="24" spans="1:13" x14ac:dyDescent="0.25">
      <c r="A24">
        <v>1578</v>
      </c>
      <c r="B24">
        <v>76.42</v>
      </c>
      <c r="C24">
        <v>2845.5</v>
      </c>
    </row>
    <row r="25" spans="1:13" x14ac:dyDescent="0.25">
      <c r="A25">
        <v>4167.4399999999996</v>
      </c>
      <c r="B25">
        <v>136.58000000000001</v>
      </c>
      <c r="C25">
        <v>5060.1000000000004</v>
      </c>
    </row>
    <row r="26" spans="1:13" x14ac:dyDescent="0.25">
      <c r="A26">
        <v>2799.97</v>
      </c>
      <c r="B26">
        <v>88.62</v>
      </c>
      <c r="C26">
        <v>3552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D9138-F5A0-45E9-A0AB-2FE338A47CA5}">
  <dimension ref="A1:P26"/>
  <sheetViews>
    <sheetView zoomScale="85" zoomScaleNormal="85" workbookViewId="0">
      <selection activeCell="Q16" sqref="Q16"/>
    </sheetView>
  </sheetViews>
  <sheetFormatPr defaultRowHeight="15" x14ac:dyDescent="0.25"/>
  <cols>
    <col min="11" max="11" width="12.42578125" customWidth="1"/>
    <col min="12" max="12" width="14.28515625" customWidth="1"/>
    <col min="13" max="13" width="15.140625" customWidth="1"/>
  </cols>
  <sheetData>
    <row r="1" spans="1:16" x14ac:dyDescent="0.25">
      <c r="A1" t="s">
        <v>0</v>
      </c>
      <c r="B1" t="s">
        <v>6</v>
      </c>
      <c r="C1" t="s">
        <v>3</v>
      </c>
      <c r="D1" t="s">
        <v>2</v>
      </c>
      <c r="F1" t="s">
        <v>9</v>
      </c>
      <c r="K1" t="s">
        <v>40</v>
      </c>
      <c r="L1" t="s">
        <v>47</v>
      </c>
      <c r="M1" t="s">
        <v>41</v>
      </c>
    </row>
    <row r="2" spans="1:16" ht="15.75" thickBot="1" x14ac:dyDescent="0.3">
      <c r="A2">
        <v>3669.88</v>
      </c>
      <c r="B2">
        <v>74.86</v>
      </c>
      <c r="C2">
        <v>4582.8999999999996</v>
      </c>
      <c r="D2">
        <v>74065.100000000006</v>
      </c>
      <c r="K2">
        <v>9306203.4445604496</v>
      </c>
      <c r="L2">
        <v>7128750.5144327683</v>
      </c>
      <c r="M2">
        <f>(K2-L2)/1</f>
        <v>2177452.9301276812</v>
      </c>
    </row>
    <row r="3" spans="1:16" x14ac:dyDescent="0.25">
      <c r="A3">
        <v>3473.95</v>
      </c>
      <c r="B3">
        <v>107.32</v>
      </c>
      <c r="C3">
        <v>5539.8</v>
      </c>
      <c r="D3">
        <v>58117.3</v>
      </c>
      <c r="F3" s="4" t="s">
        <v>10</v>
      </c>
      <c r="G3" s="4"/>
      <c r="O3" t="s">
        <v>45</v>
      </c>
      <c r="P3">
        <f>M2/M5</f>
        <v>6.4143795522236404</v>
      </c>
    </row>
    <row r="4" spans="1:16" x14ac:dyDescent="0.25">
      <c r="A4">
        <v>2295.1</v>
      </c>
      <c r="B4">
        <v>96.75</v>
      </c>
      <c r="C4">
        <v>2950.4</v>
      </c>
      <c r="D4">
        <v>21118.5</v>
      </c>
      <c r="F4" t="s">
        <v>11</v>
      </c>
      <c r="G4">
        <v>0.90979275435220874</v>
      </c>
      <c r="K4" t="s">
        <v>48</v>
      </c>
      <c r="L4" t="s">
        <v>43</v>
      </c>
      <c r="M4" t="s">
        <v>44</v>
      </c>
    </row>
    <row r="5" spans="1:16" x14ac:dyDescent="0.25">
      <c r="A5">
        <v>4675.5600000000004</v>
      </c>
      <c r="B5">
        <v>195.12</v>
      </c>
      <c r="C5">
        <v>2243.1</v>
      </c>
      <c r="D5">
        <v>68521.3</v>
      </c>
      <c r="F5" t="s">
        <v>12</v>
      </c>
      <c r="G5">
        <v>0.82772285587177852</v>
      </c>
      <c r="K5">
        <f>L2</f>
        <v>7128750.5144327683</v>
      </c>
      <c r="L5">
        <f>25-3-1</f>
        <v>21</v>
      </c>
      <c r="M5">
        <f>K5/L5</f>
        <v>339464.3102110842</v>
      </c>
      <c r="O5" t="s">
        <v>46</v>
      </c>
      <c r="P5" s="7">
        <f>_xlfn.F.DIST.RT(P3,1,21)</f>
        <v>1.9359425808636265E-2</v>
      </c>
    </row>
    <row r="6" spans="1:16" x14ac:dyDescent="0.25">
      <c r="A6">
        <v>6125.96</v>
      </c>
      <c r="B6">
        <v>180.44</v>
      </c>
      <c r="C6">
        <v>7747.1</v>
      </c>
      <c r="D6">
        <v>57805.1</v>
      </c>
      <c r="F6" t="s">
        <v>13</v>
      </c>
      <c r="G6">
        <v>0.80311183528203267</v>
      </c>
    </row>
    <row r="7" spans="1:16" x14ac:dyDescent="0.25">
      <c r="A7">
        <v>2134.94</v>
      </c>
      <c r="B7">
        <v>104.88</v>
      </c>
      <c r="C7">
        <v>402.4</v>
      </c>
      <c r="D7">
        <v>37806.9</v>
      </c>
      <c r="F7" t="s">
        <v>14</v>
      </c>
      <c r="G7">
        <v>582.63565820423673</v>
      </c>
    </row>
    <row r="8" spans="1:16" ht="15.75" thickBot="1" x14ac:dyDescent="0.3">
      <c r="A8">
        <v>5031.66</v>
      </c>
      <c r="B8">
        <v>256.10000000000002</v>
      </c>
      <c r="C8">
        <v>3140.6</v>
      </c>
      <c r="D8">
        <v>50935.3</v>
      </c>
      <c r="F8" s="2" t="s">
        <v>15</v>
      </c>
      <c r="G8" s="2">
        <v>25</v>
      </c>
    </row>
    <row r="9" spans="1:16" x14ac:dyDescent="0.25">
      <c r="A9">
        <v>3367.45</v>
      </c>
      <c r="B9">
        <v>126.83</v>
      </c>
      <c r="C9">
        <v>2086.1999999999998</v>
      </c>
      <c r="D9">
        <v>35602.1</v>
      </c>
    </row>
    <row r="10" spans="1:16" ht="15.75" thickBot="1" x14ac:dyDescent="0.3">
      <c r="A10">
        <v>6519.45</v>
      </c>
      <c r="B10">
        <v>203.25</v>
      </c>
      <c r="C10">
        <v>8846.2000000000007</v>
      </c>
      <c r="D10">
        <v>46176.800000000003</v>
      </c>
      <c r="F10" t="s">
        <v>16</v>
      </c>
    </row>
    <row r="11" spans="1:16" x14ac:dyDescent="0.25">
      <c r="A11">
        <v>4876.37</v>
      </c>
      <c r="B11">
        <v>119.51</v>
      </c>
      <c r="C11">
        <v>5673.1</v>
      </c>
      <c r="D11">
        <v>42053.2</v>
      </c>
      <c r="F11" s="3"/>
      <c r="G11" s="3" t="s">
        <v>21</v>
      </c>
      <c r="H11" s="3" t="s">
        <v>22</v>
      </c>
      <c r="I11" s="3" t="s">
        <v>23</v>
      </c>
      <c r="J11" s="3" t="s">
        <v>24</v>
      </c>
      <c r="K11" s="3" t="s">
        <v>25</v>
      </c>
    </row>
    <row r="12" spans="1:16" x14ac:dyDescent="0.25">
      <c r="A12">
        <v>2468.27</v>
      </c>
      <c r="B12">
        <v>116.26</v>
      </c>
      <c r="C12">
        <v>2761.8</v>
      </c>
      <c r="D12">
        <v>36829.699999999997</v>
      </c>
      <c r="F12" t="s">
        <v>17</v>
      </c>
      <c r="G12">
        <v>3</v>
      </c>
      <c r="H12">
        <v>34250798.412423238</v>
      </c>
      <c r="I12">
        <v>11416932.80414108</v>
      </c>
      <c r="J12">
        <v>33.632203624121352</v>
      </c>
      <c r="K12">
        <v>3.3212265139843745E-8</v>
      </c>
      <c r="L12">
        <v>3.32E-8</v>
      </c>
    </row>
    <row r="13" spans="1:16" x14ac:dyDescent="0.25">
      <c r="A13">
        <v>2533.31</v>
      </c>
      <c r="B13">
        <v>142.28</v>
      </c>
      <c r="C13">
        <v>1991.8</v>
      </c>
      <c r="D13">
        <v>33612.699999999997</v>
      </c>
      <c r="F13" t="s">
        <v>18</v>
      </c>
      <c r="G13">
        <v>21</v>
      </c>
      <c r="H13">
        <v>7128750.5144327702</v>
      </c>
      <c r="I13">
        <v>339464.3102110842</v>
      </c>
    </row>
    <row r="14" spans="1:16" ht="15.75" thickBot="1" x14ac:dyDescent="0.3">
      <c r="A14">
        <v>2408.11</v>
      </c>
      <c r="B14">
        <v>89.43</v>
      </c>
      <c r="C14">
        <v>1971.5</v>
      </c>
      <c r="D14">
        <v>21412.799999999999</v>
      </c>
      <c r="F14" s="2" t="s">
        <v>19</v>
      </c>
      <c r="G14" s="2">
        <v>24</v>
      </c>
      <c r="H14" s="2">
        <v>41379548.926856004</v>
      </c>
      <c r="I14" s="2"/>
      <c r="J14" s="2"/>
      <c r="K14" s="2"/>
    </row>
    <row r="15" spans="1:16" ht="15.75" thickBot="1" x14ac:dyDescent="0.3">
      <c r="A15">
        <v>2337.38</v>
      </c>
      <c r="B15">
        <v>84.55</v>
      </c>
      <c r="C15">
        <v>1737.4</v>
      </c>
      <c r="D15">
        <v>20416.900000000001</v>
      </c>
    </row>
    <row r="16" spans="1:16" x14ac:dyDescent="0.25">
      <c r="A16">
        <v>4586.95</v>
      </c>
      <c r="B16">
        <v>119.51</v>
      </c>
      <c r="C16">
        <v>10694.2</v>
      </c>
      <c r="D16">
        <v>36272</v>
      </c>
      <c r="F16" s="3"/>
      <c r="G16" s="3" t="s">
        <v>26</v>
      </c>
      <c r="H16" s="3" t="s">
        <v>14</v>
      </c>
      <c r="I16" s="3" t="s">
        <v>27</v>
      </c>
      <c r="J16" s="3" t="s">
        <v>28</v>
      </c>
      <c r="K16" s="3" t="s">
        <v>29</v>
      </c>
      <c r="L16" s="3" t="s">
        <v>30</v>
      </c>
      <c r="M16" s="3" t="s">
        <v>31</v>
      </c>
      <c r="N16" s="3" t="s">
        <v>32</v>
      </c>
    </row>
    <row r="17" spans="1:14" x14ac:dyDescent="0.25">
      <c r="A17">
        <v>2729.24</v>
      </c>
      <c r="B17">
        <v>80.489999999999995</v>
      </c>
      <c r="C17">
        <v>8618.6</v>
      </c>
      <c r="D17">
        <v>23093.3</v>
      </c>
      <c r="F17" t="s">
        <v>20</v>
      </c>
      <c r="G17">
        <v>-327.23519404809031</v>
      </c>
      <c r="H17">
        <v>394.40034032564779</v>
      </c>
      <c r="I17">
        <v>-0.82970312291794501</v>
      </c>
      <c r="J17">
        <v>0.41603916489357151</v>
      </c>
      <c r="K17">
        <v>-1147.4356021546162</v>
      </c>
      <c r="L17">
        <v>492.96521405843555</v>
      </c>
      <c r="M17">
        <v>-1147.4356021546162</v>
      </c>
      <c r="N17">
        <v>492.96521405843555</v>
      </c>
    </row>
    <row r="18" spans="1:14" x14ac:dyDescent="0.25">
      <c r="A18">
        <v>3289.4</v>
      </c>
      <c r="B18">
        <v>136.58000000000001</v>
      </c>
      <c r="C18">
        <v>7747.9</v>
      </c>
      <c r="D18">
        <v>26878.6</v>
      </c>
      <c r="F18" t="s">
        <v>6</v>
      </c>
      <c r="G18">
        <v>15.553956889511836</v>
      </c>
      <c r="H18">
        <v>2.999366315906129</v>
      </c>
      <c r="I18">
        <v>5.185747671775423</v>
      </c>
      <c r="J18">
        <v>3.8705953664882012E-5</v>
      </c>
      <c r="K18">
        <v>9.3164331735435937</v>
      </c>
      <c r="L18">
        <v>21.791480605480078</v>
      </c>
      <c r="M18">
        <v>9.3164331735435937</v>
      </c>
      <c r="N18">
        <v>21.791480605480078</v>
      </c>
    </row>
    <row r="19" spans="1:14" x14ac:dyDescent="0.25">
      <c r="A19">
        <v>2800.78</v>
      </c>
      <c r="B19">
        <v>78.86</v>
      </c>
      <c r="C19">
        <v>4565.8</v>
      </c>
      <c r="D19">
        <v>39572</v>
      </c>
      <c r="F19" t="s">
        <v>3</v>
      </c>
      <c r="G19">
        <v>0.21607104582292602</v>
      </c>
      <c r="H19">
        <v>4.5327481759877032E-2</v>
      </c>
      <c r="I19">
        <v>4.7668883739795076</v>
      </c>
      <c r="J19">
        <v>1.0411806703995077E-4</v>
      </c>
      <c r="K19">
        <v>0.12180738720844436</v>
      </c>
      <c r="L19">
        <v>0.31033470443740768</v>
      </c>
      <c r="M19">
        <v>0.12180738720844436</v>
      </c>
      <c r="N19">
        <v>0.31033470443740768</v>
      </c>
    </row>
    <row r="20" spans="1:14" ht="15.75" thickBot="1" x14ac:dyDescent="0.3">
      <c r="A20">
        <v>3264.2</v>
      </c>
      <c r="B20">
        <v>136.58000000000001</v>
      </c>
      <c r="C20">
        <v>6022.7</v>
      </c>
      <c r="D20">
        <v>51866.1</v>
      </c>
      <c r="F20" s="2" t="s">
        <v>2</v>
      </c>
      <c r="G20" s="2">
        <v>2.1921823169474136E-2</v>
      </c>
      <c r="H20" s="2">
        <v>8.6556431443023853E-3</v>
      </c>
      <c r="I20" s="2">
        <v>2.5326625421132651</v>
      </c>
      <c r="J20" s="2">
        <v>1.9359425808636404E-2</v>
      </c>
      <c r="K20" s="2">
        <v>3.9214278515606674E-3</v>
      </c>
      <c r="L20" s="2">
        <v>3.9922218487387605E-2</v>
      </c>
      <c r="M20" s="2">
        <v>3.9214278515606674E-3</v>
      </c>
      <c r="N20" s="2">
        <v>3.9922218487387605E-2</v>
      </c>
    </row>
    <row r="21" spans="1:14" x14ac:dyDescent="0.25">
      <c r="A21">
        <v>3453.62</v>
      </c>
      <c r="B21">
        <v>138.21</v>
      </c>
      <c r="C21">
        <v>3721.1</v>
      </c>
      <c r="D21">
        <v>58749.8</v>
      </c>
    </row>
    <row r="22" spans="1:14" x14ac:dyDescent="0.25">
      <c r="A22">
        <v>1741.45</v>
      </c>
      <c r="B22">
        <v>75.61</v>
      </c>
      <c r="C22">
        <v>861</v>
      </c>
      <c r="D22">
        <v>23990.799999999999</v>
      </c>
    </row>
    <row r="23" spans="1:14" x14ac:dyDescent="0.25">
      <c r="A23">
        <v>2035.75</v>
      </c>
      <c r="B23">
        <v>102.44</v>
      </c>
      <c r="C23">
        <v>3571.5</v>
      </c>
      <c r="D23">
        <v>25694.9</v>
      </c>
    </row>
    <row r="24" spans="1:14" x14ac:dyDescent="0.25">
      <c r="A24">
        <v>1578</v>
      </c>
      <c r="B24">
        <v>76.42</v>
      </c>
      <c r="C24">
        <v>2845.5</v>
      </c>
      <c r="D24">
        <v>23736.3</v>
      </c>
    </row>
    <row r="25" spans="1:14" x14ac:dyDescent="0.25">
      <c r="A25">
        <v>4167.4399999999996</v>
      </c>
      <c r="B25">
        <v>136.58000000000001</v>
      </c>
      <c r="C25">
        <v>5060.1000000000004</v>
      </c>
      <c r="D25">
        <v>34314.300000000003</v>
      </c>
    </row>
    <row r="26" spans="1:14" x14ac:dyDescent="0.25">
      <c r="A26">
        <v>2799.97</v>
      </c>
      <c r="B26">
        <v>88.62</v>
      </c>
      <c r="C26">
        <v>3552</v>
      </c>
      <c r="D26">
        <v>22809.5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B67A2-415A-4644-BDA9-00021B9A0AFC}">
  <dimension ref="A1:P26"/>
  <sheetViews>
    <sheetView zoomScale="85" zoomScaleNormal="85" workbookViewId="0">
      <selection activeCell="R15" sqref="R15"/>
    </sheetView>
  </sheetViews>
  <sheetFormatPr defaultRowHeight="15" x14ac:dyDescent="0.25"/>
  <cols>
    <col min="5" max="5" width="7.140625" customWidth="1"/>
    <col min="7" max="7" width="15.42578125" customWidth="1"/>
    <col min="9" max="9" width="13.28515625" bestFit="1" customWidth="1"/>
    <col min="11" max="11" width="14" customWidth="1"/>
    <col min="12" max="12" width="15.5703125" customWidth="1"/>
  </cols>
  <sheetData>
    <row r="1" spans="1:16" x14ac:dyDescent="0.25">
      <c r="A1" t="s">
        <v>0</v>
      </c>
      <c r="B1" t="s">
        <v>6</v>
      </c>
      <c r="C1" t="s">
        <v>3</v>
      </c>
      <c r="D1" t="s">
        <v>2</v>
      </c>
      <c r="E1" t="s">
        <v>4</v>
      </c>
      <c r="G1" t="s">
        <v>9</v>
      </c>
      <c r="K1" t="s">
        <v>49</v>
      </c>
      <c r="L1" t="s">
        <v>50</v>
      </c>
      <c r="M1" t="s">
        <v>41</v>
      </c>
    </row>
    <row r="2" spans="1:16" ht="15.75" thickBot="1" x14ac:dyDescent="0.3">
      <c r="A2">
        <v>3669.88</v>
      </c>
      <c r="B2">
        <v>74.86</v>
      </c>
      <c r="C2">
        <v>4582.8999999999996</v>
      </c>
      <c r="D2">
        <v>74065.100000000006</v>
      </c>
      <c r="E2">
        <v>2.5099999999999998</v>
      </c>
      <c r="K2">
        <v>7128750.5144327702</v>
      </c>
      <c r="L2">
        <v>4119349.13627906</v>
      </c>
      <c r="M2">
        <f>(K2-L2)/1</f>
        <v>3009401.3781537102</v>
      </c>
    </row>
    <row r="3" spans="1:16" x14ac:dyDescent="0.25">
      <c r="A3">
        <v>3473.95</v>
      </c>
      <c r="B3">
        <v>107.32</v>
      </c>
      <c r="C3">
        <v>5539.8</v>
      </c>
      <c r="D3">
        <v>58117.3</v>
      </c>
      <c r="E3">
        <v>5.51</v>
      </c>
      <c r="G3" s="4" t="s">
        <v>10</v>
      </c>
      <c r="H3" s="4"/>
      <c r="O3" t="s">
        <v>45</v>
      </c>
      <c r="P3">
        <f>M2/M5</f>
        <v>14.611052759038786</v>
      </c>
    </row>
    <row r="4" spans="1:16" x14ac:dyDescent="0.25">
      <c r="A4">
        <v>2295.1</v>
      </c>
      <c r="B4">
        <v>96.75</v>
      </c>
      <c r="C4">
        <v>2950.4</v>
      </c>
      <c r="D4">
        <v>21118.5</v>
      </c>
      <c r="E4">
        <v>10.91</v>
      </c>
      <c r="G4" t="s">
        <v>11</v>
      </c>
      <c r="H4">
        <v>0.94892024771351269</v>
      </c>
      <c r="K4" t="s">
        <v>48</v>
      </c>
      <c r="L4" t="s">
        <v>43</v>
      </c>
      <c r="M4" t="s">
        <v>44</v>
      </c>
    </row>
    <row r="5" spans="1:16" x14ac:dyDescent="0.25">
      <c r="A5">
        <v>4675.5600000000004</v>
      </c>
      <c r="B5">
        <v>195.12</v>
      </c>
      <c r="C5">
        <v>2243.1</v>
      </c>
      <c r="D5">
        <v>68521.3</v>
      </c>
      <c r="E5">
        <v>8.27</v>
      </c>
      <c r="G5" t="s">
        <v>12</v>
      </c>
      <c r="H5">
        <v>0.90044963652067433</v>
      </c>
      <c r="K5">
        <f>L2</f>
        <v>4119349.13627906</v>
      </c>
      <c r="L5">
        <f>25-4-1</f>
        <v>20</v>
      </c>
      <c r="M5">
        <f>K5/L5</f>
        <v>205967.456813953</v>
      </c>
      <c r="O5" t="s">
        <v>46</v>
      </c>
      <c r="P5" s="7">
        <f>_xlfn.F.DIST.RT(P3,1,L5)</f>
        <v>1.0652502021185968E-3</v>
      </c>
    </row>
    <row r="6" spans="1:16" x14ac:dyDescent="0.25">
      <c r="A6">
        <v>6125.96</v>
      </c>
      <c r="B6">
        <v>180.44</v>
      </c>
      <c r="C6">
        <v>7747.1</v>
      </c>
      <c r="D6">
        <v>57805.1</v>
      </c>
      <c r="E6">
        <v>9.15</v>
      </c>
      <c r="G6" t="s">
        <v>13</v>
      </c>
      <c r="H6">
        <v>0.88053956382480914</v>
      </c>
    </row>
    <row r="7" spans="1:16" x14ac:dyDescent="0.25">
      <c r="A7">
        <v>2134.94</v>
      </c>
      <c r="B7">
        <v>104.88</v>
      </c>
      <c r="C7">
        <v>402.4</v>
      </c>
      <c r="D7">
        <v>37806.9</v>
      </c>
      <c r="E7">
        <v>5.51</v>
      </c>
      <c r="G7" t="s">
        <v>14</v>
      </c>
      <c r="H7">
        <v>453.83637669754154</v>
      </c>
    </row>
    <row r="8" spans="1:16" ht="15.75" thickBot="1" x14ac:dyDescent="0.3">
      <c r="A8">
        <v>5031.66</v>
      </c>
      <c r="B8">
        <v>256.10000000000002</v>
      </c>
      <c r="C8">
        <v>3140.6</v>
      </c>
      <c r="D8">
        <v>50935.3</v>
      </c>
      <c r="E8">
        <v>8.5399999999999991</v>
      </c>
      <c r="G8" s="2" t="s">
        <v>15</v>
      </c>
      <c r="H8" s="2">
        <v>25</v>
      </c>
    </row>
    <row r="9" spans="1:16" x14ac:dyDescent="0.25">
      <c r="A9">
        <v>3367.45</v>
      </c>
      <c r="B9">
        <v>126.83</v>
      </c>
      <c r="C9">
        <v>2086.1999999999998</v>
      </c>
      <c r="D9">
        <v>35602.1</v>
      </c>
      <c r="E9">
        <v>7.07</v>
      </c>
    </row>
    <row r="10" spans="1:16" ht="15.75" thickBot="1" x14ac:dyDescent="0.3">
      <c r="A10">
        <v>6519.45</v>
      </c>
      <c r="B10">
        <v>203.25</v>
      </c>
      <c r="C10">
        <v>8846.2000000000007</v>
      </c>
      <c r="D10">
        <v>46176.800000000003</v>
      </c>
      <c r="E10">
        <v>12.54</v>
      </c>
      <c r="G10" t="s">
        <v>16</v>
      </c>
    </row>
    <row r="11" spans="1:16" x14ac:dyDescent="0.25">
      <c r="A11">
        <v>4876.37</v>
      </c>
      <c r="B11">
        <v>119.51</v>
      </c>
      <c r="C11">
        <v>5673.1</v>
      </c>
      <c r="D11">
        <v>42053.2</v>
      </c>
      <c r="E11">
        <v>8.85</v>
      </c>
      <c r="G11" s="3"/>
      <c r="H11" s="3" t="s">
        <v>21</v>
      </c>
      <c r="I11" s="3" t="s">
        <v>22</v>
      </c>
      <c r="J11" s="3" t="s">
        <v>23</v>
      </c>
      <c r="K11" s="3" t="s">
        <v>24</v>
      </c>
      <c r="L11" s="3" t="s">
        <v>25</v>
      </c>
    </row>
    <row r="12" spans="1:16" x14ac:dyDescent="0.25">
      <c r="A12">
        <v>2468.27</v>
      </c>
      <c r="B12">
        <v>116.26</v>
      </c>
      <c r="C12">
        <v>2761.8</v>
      </c>
      <c r="D12">
        <v>36829.699999999997</v>
      </c>
      <c r="E12">
        <v>5.38</v>
      </c>
      <c r="G12" t="s">
        <v>17</v>
      </c>
      <c r="H12">
        <v>4</v>
      </c>
      <c r="I12">
        <v>37260199.79057695</v>
      </c>
      <c r="J12">
        <v>9315049.9476442374</v>
      </c>
      <c r="K12">
        <v>45.225833691088276</v>
      </c>
      <c r="L12">
        <v>9.5636512670966236E-10</v>
      </c>
    </row>
    <row r="13" spans="1:16" x14ac:dyDescent="0.25">
      <c r="A13">
        <v>2533.31</v>
      </c>
      <c r="B13">
        <v>142.28</v>
      </c>
      <c r="C13">
        <v>1991.8</v>
      </c>
      <c r="D13">
        <v>33612.699999999997</v>
      </c>
      <c r="E13">
        <v>5.43</v>
      </c>
      <c r="G13" t="s">
        <v>18</v>
      </c>
      <c r="H13">
        <v>20</v>
      </c>
      <c r="I13" s="16">
        <v>4119349.1362790568</v>
      </c>
      <c r="J13">
        <v>205967.45681395283</v>
      </c>
    </row>
    <row r="14" spans="1:16" ht="15.75" thickBot="1" x14ac:dyDescent="0.3">
      <c r="A14">
        <v>2408.11</v>
      </c>
      <c r="B14">
        <v>89.43</v>
      </c>
      <c r="C14">
        <v>1971.5</v>
      </c>
      <c r="D14">
        <v>21412.799999999999</v>
      </c>
      <c r="E14">
        <v>8.48</v>
      </c>
      <c r="G14" s="2" t="s">
        <v>19</v>
      </c>
      <c r="H14" s="2">
        <v>24</v>
      </c>
      <c r="I14" s="2">
        <v>41379548.926856004</v>
      </c>
      <c r="J14" s="2"/>
      <c r="K14" s="2"/>
      <c r="L14" s="2"/>
    </row>
    <row r="15" spans="1:16" ht="15.75" thickBot="1" x14ac:dyDescent="0.3">
      <c r="A15">
        <v>2337.38</v>
      </c>
      <c r="B15">
        <v>84.55</v>
      </c>
      <c r="C15">
        <v>1737.4</v>
      </c>
      <c r="D15">
        <v>20416.900000000001</v>
      </c>
      <c r="E15">
        <v>7.8</v>
      </c>
    </row>
    <row r="16" spans="1:16" x14ac:dyDescent="0.25">
      <c r="A16">
        <v>4586.95</v>
      </c>
      <c r="B16">
        <v>119.51</v>
      </c>
      <c r="C16">
        <v>10694.2</v>
      </c>
      <c r="D16">
        <v>36272</v>
      </c>
      <c r="E16">
        <v>10.34</v>
      </c>
      <c r="G16" s="3"/>
      <c r="H16" s="3" t="s">
        <v>26</v>
      </c>
      <c r="I16" s="3" t="s">
        <v>14</v>
      </c>
      <c r="J16" s="3" t="s">
        <v>27</v>
      </c>
      <c r="K16" s="3" t="s">
        <v>28</v>
      </c>
      <c r="L16" s="3" t="s">
        <v>29</v>
      </c>
      <c r="M16" s="3" t="s">
        <v>30</v>
      </c>
      <c r="N16" s="3" t="s">
        <v>31</v>
      </c>
      <c r="O16" s="3" t="s">
        <v>32</v>
      </c>
    </row>
    <row r="17" spans="1:15" x14ac:dyDescent="0.25">
      <c r="A17">
        <v>2729.24</v>
      </c>
      <c r="B17">
        <v>80.489999999999995</v>
      </c>
      <c r="C17">
        <v>8618.6</v>
      </c>
      <c r="D17">
        <v>23093.3</v>
      </c>
      <c r="E17">
        <v>5.15</v>
      </c>
      <c r="G17" t="s">
        <v>20</v>
      </c>
      <c r="H17">
        <v>-1441.932280580827</v>
      </c>
      <c r="I17">
        <v>423.58181690211364</v>
      </c>
      <c r="J17">
        <v>-3.4041411199528566</v>
      </c>
      <c r="K17">
        <v>2.8143510209571064E-3</v>
      </c>
      <c r="L17">
        <v>-2325.5084675650983</v>
      </c>
      <c r="M17">
        <v>-558.35609359655564</v>
      </c>
      <c r="N17">
        <v>-2325.5084675650983</v>
      </c>
      <c r="O17">
        <v>-558.35609359655564</v>
      </c>
    </row>
    <row r="18" spans="1:15" x14ac:dyDescent="0.25">
      <c r="A18">
        <v>3289.4</v>
      </c>
      <c r="B18">
        <v>136.58000000000001</v>
      </c>
      <c r="C18">
        <v>7747.9</v>
      </c>
      <c r="D18">
        <v>26878.6</v>
      </c>
      <c r="E18">
        <v>6.64</v>
      </c>
      <c r="G18" t="s">
        <v>6</v>
      </c>
      <c r="H18">
        <v>9.2139224338604837</v>
      </c>
      <c r="I18">
        <v>2.8652133000901472</v>
      </c>
      <c r="J18">
        <v>3.2157893562655837</v>
      </c>
      <c r="K18">
        <v>4.337000770151085E-3</v>
      </c>
      <c r="L18">
        <v>3.2371922212524353</v>
      </c>
      <c r="M18">
        <v>15.190652646468532</v>
      </c>
      <c r="N18">
        <v>3.2371922212524353</v>
      </c>
      <c r="O18">
        <v>15.190652646468532</v>
      </c>
    </row>
    <row r="19" spans="1:15" x14ac:dyDescent="0.25">
      <c r="A19">
        <v>2800.78</v>
      </c>
      <c r="B19">
        <v>78.86</v>
      </c>
      <c r="C19">
        <v>4565.8</v>
      </c>
      <c r="D19">
        <v>39572</v>
      </c>
      <c r="E19">
        <v>5.45</v>
      </c>
      <c r="G19" t="s">
        <v>3</v>
      </c>
      <c r="H19">
        <v>0.17499017537034098</v>
      </c>
      <c r="I19">
        <v>3.6906717079025521E-2</v>
      </c>
      <c r="J19">
        <v>4.7414180729119835</v>
      </c>
      <c r="K19">
        <v>1.2484009004529303E-4</v>
      </c>
      <c r="L19">
        <v>9.800411258491093E-2</v>
      </c>
      <c r="M19">
        <v>0.25197623815577103</v>
      </c>
      <c r="N19">
        <v>9.800411258491093E-2</v>
      </c>
      <c r="O19">
        <v>0.25197623815577103</v>
      </c>
    </row>
    <row r="20" spans="1:15" x14ac:dyDescent="0.25">
      <c r="A20">
        <v>3264.2</v>
      </c>
      <c r="B20">
        <v>136.58000000000001</v>
      </c>
      <c r="C20">
        <v>6022.7</v>
      </c>
      <c r="D20">
        <v>51866.1</v>
      </c>
      <c r="E20">
        <v>6.31</v>
      </c>
      <c r="G20" t="s">
        <v>2</v>
      </c>
      <c r="H20">
        <v>3.8217461136388887E-2</v>
      </c>
      <c r="I20">
        <v>7.9769479862303559E-3</v>
      </c>
      <c r="J20">
        <v>4.7909878818765126</v>
      </c>
      <c r="K20">
        <v>1.1130327488749973E-4</v>
      </c>
      <c r="L20">
        <v>2.1577839216371315E-2</v>
      </c>
      <c r="M20">
        <v>5.4857083056406464E-2</v>
      </c>
      <c r="N20">
        <v>2.1577839216371315E-2</v>
      </c>
      <c r="O20">
        <v>5.4857083056406464E-2</v>
      </c>
    </row>
    <row r="21" spans="1:15" ht="15.75" thickBot="1" x14ac:dyDescent="0.3">
      <c r="A21">
        <v>3453.62</v>
      </c>
      <c r="B21">
        <v>138.21</v>
      </c>
      <c r="C21">
        <v>3721.1</v>
      </c>
      <c r="D21">
        <v>58749.8</v>
      </c>
      <c r="E21">
        <v>6.35</v>
      </c>
      <c r="G21" s="2" t="s">
        <v>4</v>
      </c>
      <c r="H21" s="2">
        <v>190.14419239922984</v>
      </c>
      <c r="I21" s="2">
        <v>49.744183957931988</v>
      </c>
      <c r="J21" s="2">
        <v>3.8224406809051752</v>
      </c>
      <c r="K21" s="2">
        <v>1.0652502021185873E-3</v>
      </c>
      <c r="L21" s="2">
        <v>86.379642948914693</v>
      </c>
      <c r="M21" s="2">
        <v>293.90874184954498</v>
      </c>
      <c r="N21" s="2">
        <v>86.379642948914693</v>
      </c>
      <c r="O21" s="2">
        <v>293.90874184954498</v>
      </c>
    </row>
    <row r="22" spans="1:15" x14ac:dyDescent="0.25">
      <c r="A22">
        <v>1741.45</v>
      </c>
      <c r="B22">
        <v>75.61</v>
      </c>
      <c r="C22">
        <v>861</v>
      </c>
      <c r="D22">
        <v>23990.799999999999</v>
      </c>
      <c r="E22">
        <v>7.37</v>
      </c>
    </row>
    <row r="23" spans="1:15" x14ac:dyDescent="0.25">
      <c r="A23">
        <v>2035.75</v>
      </c>
      <c r="B23">
        <v>102.44</v>
      </c>
      <c r="C23">
        <v>3571.5</v>
      </c>
      <c r="D23">
        <v>25694.9</v>
      </c>
      <c r="E23">
        <v>8.39</v>
      </c>
    </row>
    <row r="24" spans="1:15" x14ac:dyDescent="0.25">
      <c r="A24">
        <v>1578</v>
      </c>
      <c r="B24">
        <v>76.42</v>
      </c>
      <c r="C24">
        <v>2845.5</v>
      </c>
      <c r="D24">
        <v>23736.3</v>
      </c>
      <c r="E24">
        <v>5.15</v>
      </c>
    </row>
    <row r="25" spans="1:15" x14ac:dyDescent="0.25">
      <c r="A25">
        <v>4167.4399999999996</v>
      </c>
      <c r="B25">
        <v>136.58000000000001</v>
      </c>
      <c r="C25">
        <v>5060.1000000000004</v>
      </c>
      <c r="D25">
        <v>34314.300000000003</v>
      </c>
      <c r="E25">
        <v>12.88</v>
      </c>
    </row>
    <row r="26" spans="1:15" x14ac:dyDescent="0.25">
      <c r="A26">
        <v>2799.97</v>
      </c>
      <c r="B26">
        <v>88.62</v>
      </c>
      <c r="C26">
        <v>3552</v>
      </c>
      <c r="D26">
        <v>22809.5</v>
      </c>
      <c r="E26">
        <v>9.14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AC994-C22D-4935-ADD8-6FB0C5FFA911}">
  <dimension ref="A1:O49"/>
  <sheetViews>
    <sheetView topLeftCell="E1" zoomScaleNormal="100" workbookViewId="0">
      <selection activeCell="L16" sqref="L16"/>
    </sheetView>
  </sheetViews>
  <sheetFormatPr defaultRowHeight="15" x14ac:dyDescent="0.25"/>
  <cols>
    <col min="10" max="10" width="16.140625" customWidth="1"/>
    <col min="11" max="11" width="15.140625" customWidth="1"/>
    <col min="12" max="12" width="16.28515625" customWidth="1"/>
  </cols>
  <sheetData>
    <row r="1" spans="1:15" ht="32.25" customHeight="1" x14ac:dyDescent="0.25">
      <c r="A1" t="s">
        <v>0</v>
      </c>
      <c r="B1" s="12" t="s">
        <v>6</v>
      </c>
      <c r="C1" s="12" t="s">
        <v>3</v>
      </c>
      <c r="D1" s="12" t="s">
        <v>2</v>
      </c>
      <c r="E1" s="12" t="s">
        <v>4</v>
      </c>
      <c r="F1" t="s">
        <v>5</v>
      </c>
      <c r="J1" t="s">
        <v>69</v>
      </c>
      <c r="K1" s="9" t="s">
        <v>50</v>
      </c>
      <c r="L1" t="s">
        <v>41</v>
      </c>
    </row>
    <row r="2" spans="1:15" x14ac:dyDescent="0.25">
      <c r="A2">
        <v>3669.88</v>
      </c>
      <c r="B2" s="12">
        <v>74.86</v>
      </c>
      <c r="C2" s="12">
        <v>4582.8999999999996</v>
      </c>
      <c r="D2" s="12">
        <v>74065.100000000006</v>
      </c>
      <c r="E2" s="12">
        <v>2.5099999999999998</v>
      </c>
      <c r="F2">
        <v>0.34</v>
      </c>
      <c r="J2">
        <v>4119349.13627906</v>
      </c>
      <c r="K2">
        <f>C40</f>
        <v>3624196.4832989667</v>
      </c>
      <c r="L2">
        <f>(J2-K2)/1</f>
        <v>495152.65298009338</v>
      </c>
    </row>
    <row r="3" spans="1:15" x14ac:dyDescent="0.25">
      <c r="A3">
        <v>3473.95</v>
      </c>
      <c r="B3" s="12">
        <v>107.32</v>
      </c>
      <c r="C3" s="12">
        <v>5539.8</v>
      </c>
      <c r="D3" s="12">
        <v>58117.3</v>
      </c>
      <c r="E3" s="12">
        <v>5.51</v>
      </c>
      <c r="F3">
        <v>0.15</v>
      </c>
      <c r="N3" t="s">
        <v>45</v>
      </c>
      <c r="O3">
        <f>L2/L5</f>
        <v>2.5958582681637954</v>
      </c>
    </row>
    <row r="4" spans="1:15" x14ac:dyDescent="0.25">
      <c r="A4">
        <v>2295.1</v>
      </c>
      <c r="B4" s="12">
        <v>96.75</v>
      </c>
      <c r="C4" s="12">
        <v>2950.4</v>
      </c>
      <c r="D4" s="12">
        <v>21118.5</v>
      </c>
      <c r="E4" s="12">
        <v>10.91</v>
      </c>
      <c r="F4">
        <v>-0.72</v>
      </c>
      <c r="J4" t="s">
        <v>48</v>
      </c>
      <c r="K4" t="s">
        <v>43</v>
      </c>
      <c r="L4" t="s">
        <v>44</v>
      </c>
    </row>
    <row r="5" spans="1:15" x14ac:dyDescent="0.25">
      <c r="A5">
        <v>4675.5600000000004</v>
      </c>
      <c r="B5" s="12">
        <v>195.12</v>
      </c>
      <c r="C5" s="12">
        <v>2243.1</v>
      </c>
      <c r="D5" s="12">
        <v>68521.3</v>
      </c>
      <c r="E5" s="12">
        <v>8.27</v>
      </c>
      <c r="F5">
        <v>0.17</v>
      </c>
      <c r="J5">
        <f>K2</f>
        <v>3624196.4832989667</v>
      </c>
      <c r="K5">
        <f>COUNT(A2:A26)-COUNTA(B1:F1)-1</f>
        <v>19</v>
      </c>
      <c r="L5">
        <f>J5/K5</f>
        <v>190747.18333152457</v>
      </c>
      <c r="N5" t="s">
        <v>46</v>
      </c>
      <c r="O5" s="35">
        <f>_xlfn.F.DIST.RT(O3,1,K5)</f>
        <v>0.1236313241783354</v>
      </c>
    </row>
    <row r="6" spans="1:15" x14ac:dyDescent="0.25">
      <c r="A6">
        <v>6125.96</v>
      </c>
      <c r="B6" s="12">
        <v>180.44</v>
      </c>
      <c r="C6" s="12">
        <v>7747.1</v>
      </c>
      <c r="D6" s="12">
        <v>57805.1</v>
      </c>
      <c r="E6" s="12">
        <v>9.15</v>
      </c>
      <c r="F6">
        <v>0.5</v>
      </c>
    </row>
    <row r="7" spans="1:15" x14ac:dyDescent="0.25">
      <c r="A7">
        <v>2134.94</v>
      </c>
      <c r="B7" s="12">
        <v>104.88</v>
      </c>
      <c r="C7" s="12">
        <v>402.4</v>
      </c>
      <c r="D7" s="12">
        <v>37806.9</v>
      </c>
      <c r="E7" s="12">
        <v>5.51</v>
      </c>
      <c r="F7">
        <v>0.15</v>
      </c>
    </row>
    <row r="8" spans="1:15" x14ac:dyDescent="0.25">
      <c r="A8">
        <v>5031.66</v>
      </c>
      <c r="B8" s="12">
        <v>256.10000000000002</v>
      </c>
      <c r="C8" s="12">
        <v>3140.6</v>
      </c>
      <c r="D8" s="12">
        <v>50935.3</v>
      </c>
      <c r="E8" s="12">
        <v>8.5399999999999991</v>
      </c>
      <c r="F8">
        <v>0.55000000000000004</v>
      </c>
    </row>
    <row r="9" spans="1:15" x14ac:dyDescent="0.25">
      <c r="A9">
        <v>3367.45</v>
      </c>
      <c r="B9" s="12">
        <v>126.83</v>
      </c>
      <c r="C9" s="12">
        <v>2086.1999999999998</v>
      </c>
      <c r="D9" s="12">
        <v>35602.1</v>
      </c>
      <c r="E9" s="12">
        <v>7.07</v>
      </c>
      <c r="F9">
        <v>-0.49</v>
      </c>
    </row>
    <row r="10" spans="1:15" x14ac:dyDescent="0.25">
      <c r="A10">
        <v>6519.45</v>
      </c>
      <c r="B10" s="12">
        <v>203.25</v>
      </c>
      <c r="C10" s="12">
        <v>8846.2000000000007</v>
      </c>
      <c r="D10" s="12">
        <v>46176.800000000003</v>
      </c>
      <c r="E10" s="12">
        <v>12.54</v>
      </c>
      <c r="F10">
        <v>1.24</v>
      </c>
    </row>
    <row r="11" spans="1:15" x14ac:dyDescent="0.25">
      <c r="A11">
        <v>4876.37</v>
      </c>
      <c r="B11" s="12">
        <v>119.51</v>
      </c>
      <c r="C11" s="12">
        <v>5673.1</v>
      </c>
      <c r="D11" s="12">
        <v>42053.2</v>
      </c>
      <c r="E11" s="12">
        <v>8.85</v>
      </c>
      <c r="F11">
        <v>0.31</v>
      </c>
    </row>
    <row r="12" spans="1:15" x14ac:dyDescent="0.25">
      <c r="A12">
        <v>2468.27</v>
      </c>
      <c r="B12" s="12">
        <v>116.26</v>
      </c>
      <c r="C12" s="12">
        <v>2761.8</v>
      </c>
      <c r="D12" s="12">
        <v>36829.699999999997</v>
      </c>
      <c r="E12" s="12">
        <v>5.38</v>
      </c>
      <c r="F12">
        <v>0.37</v>
      </c>
    </row>
    <row r="13" spans="1:15" x14ac:dyDescent="0.25">
      <c r="A13">
        <v>2533.31</v>
      </c>
      <c r="B13" s="12">
        <v>142.28</v>
      </c>
      <c r="C13" s="12">
        <v>1991.8</v>
      </c>
      <c r="D13" s="12">
        <v>33612.699999999997</v>
      </c>
      <c r="E13" s="12">
        <v>5.43</v>
      </c>
      <c r="F13">
        <v>-0.65</v>
      </c>
    </row>
    <row r="14" spans="1:15" x14ac:dyDescent="0.25">
      <c r="A14">
        <v>2408.11</v>
      </c>
      <c r="B14" s="12">
        <v>89.43</v>
      </c>
      <c r="C14" s="12">
        <v>1971.5</v>
      </c>
      <c r="D14" s="12">
        <v>21412.799999999999</v>
      </c>
      <c r="E14" s="12">
        <v>8.48</v>
      </c>
      <c r="F14">
        <v>0.64</v>
      </c>
    </row>
    <row r="15" spans="1:15" x14ac:dyDescent="0.25">
      <c r="A15">
        <v>2337.38</v>
      </c>
      <c r="B15" s="12">
        <v>84.55</v>
      </c>
      <c r="C15" s="12">
        <v>1737.4</v>
      </c>
      <c r="D15" s="12">
        <v>20416.900000000001</v>
      </c>
      <c r="E15" s="12">
        <v>7.8</v>
      </c>
      <c r="F15">
        <v>1.01</v>
      </c>
    </row>
    <row r="16" spans="1:15" x14ac:dyDescent="0.25">
      <c r="A16">
        <v>4586.95</v>
      </c>
      <c r="B16" s="12">
        <v>119.51</v>
      </c>
      <c r="C16" s="12">
        <v>10694.2</v>
      </c>
      <c r="D16" s="12">
        <v>36272</v>
      </c>
      <c r="E16" s="12">
        <v>10.34</v>
      </c>
      <c r="F16">
        <v>0.11</v>
      </c>
    </row>
    <row r="17" spans="1:6" x14ac:dyDescent="0.25">
      <c r="A17">
        <v>2729.24</v>
      </c>
      <c r="B17" s="12">
        <v>80.489999999999995</v>
      </c>
      <c r="C17" s="12">
        <v>8618.6</v>
      </c>
      <c r="D17" s="12">
        <v>23093.3</v>
      </c>
      <c r="E17" s="12">
        <v>5.15</v>
      </c>
      <c r="F17">
        <v>0.04</v>
      </c>
    </row>
    <row r="18" spans="1:6" x14ac:dyDescent="0.25">
      <c r="A18">
        <v>3289.4</v>
      </c>
      <c r="B18" s="12">
        <v>136.58000000000001</v>
      </c>
      <c r="C18" s="12">
        <v>7747.9</v>
      </c>
      <c r="D18" s="12">
        <v>26878.6</v>
      </c>
      <c r="E18" s="12">
        <v>6.64</v>
      </c>
      <c r="F18">
        <v>0.68</v>
      </c>
    </row>
    <row r="19" spans="1:6" x14ac:dyDescent="0.25">
      <c r="A19">
        <v>2800.78</v>
      </c>
      <c r="B19" s="12">
        <v>78.86</v>
      </c>
      <c r="C19" s="12">
        <v>4565.8</v>
      </c>
      <c r="D19" s="12">
        <v>39572</v>
      </c>
      <c r="E19" s="12">
        <v>5.45</v>
      </c>
      <c r="F19">
        <v>0.66</v>
      </c>
    </row>
    <row r="20" spans="1:6" x14ac:dyDescent="0.25">
      <c r="A20">
        <v>3264.2</v>
      </c>
      <c r="B20" s="12">
        <v>136.58000000000001</v>
      </c>
      <c r="C20" s="12">
        <v>6022.7</v>
      </c>
      <c r="D20" s="12">
        <v>51866.1</v>
      </c>
      <c r="E20" s="12">
        <v>6.31</v>
      </c>
      <c r="F20">
        <v>-0.1</v>
      </c>
    </row>
    <row r="21" spans="1:6" x14ac:dyDescent="0.25">
      <c r="A21">
        <v>3453.62</v>
      </c>
      <c r="B21" s="12">
        <v>138.21</v>
      </c>
      <c r="C21" s="12">
        <v>3721.1</v>
      </c>
      <c r="D21" s="12">
        <v>58749.8</v>
      </c>
      <c r="E21" s="12">
        <v>6.35</v>
      </c>
      <c r="F21">
        <v>-0.03</v>
      </c>
    </row>
    <row r="22" spans="1:6" x14ac:dyDescent="0.25">
      <c r="A22">
        <v>1741.45</v>
      </c>
      <c r="B22" s="12">
        <v>75.61</v>
      </c>
      <c r="C22" s="12">
        <v>861</v>
      </c>
      <c r="D22" s="12">
        <v>23990.799999999999</v>
      </c>
      <c r="E22" s="12">
        <v>7.37</v>
      </c>
      <c r="F22">
        <v>-1.63</v>
      </c>
    </row>
    <row r="23" spans="1:6" x14ac:dyDescent="0.25">
      <c r="A23">
        <v>2035.75</v>
      </c>
      <c r="B23" s="12">
        <v>102.44</v>
      </c>
      <c r="C23" s="12">
        <v>3571.5</v>
      </c>
      <c r="D23" s="12">
        <v>25694.9</v>
      </c>
      <c r="E23" s="12">
        <v>8.39</v>
      </c>
      <c r="F23">
        <v>-0.43</v>
      </c>
    </row>
    <row r="24" spans="1:6" x14ac:dyDescent="0.25">
      <c r="A24">
        <v>1578</v>
      </c>
      <c r="B24" s="12">
        <v>76.42</v>
      </c>
      <c r="C24" s="12">
        <v>2845.5</v>
      </c>
      <c r="D24" s="12">
        <v>23736.3</v>
      </c>
      <c r="E24" s="12">
        <v>5.15</v>
      </c>
      <c r="F24">
        <v>0.04</v>
      </c>
    </row>
    <row r="25" spans="1:6" x14ac:dyDescent="0.25">
      <c r="A25">
        <v>4167.4399999999996</v>
      </c>
      <c r="B25" s="12">
        <v>136.58000000000001</v>
      </c>
      <c r="C25" s="12">
        <v>5060.1000000000004</v>
      </c>
      <c r="D25" s="12">
        <v>34314.300000000003</v>
      </c>
      <c r="E25" s="12">
        <v>12.88</v>
      </c>
      <c r="F25">
        <v>0.22</v>
      </c>
    </row>
    <row r="26" spans="1:6" x14ac:dyDescent="0.25">
      <c r="A26">
        <v>2799.97</v>
      </c>
      <c r="B26" s="12">
        <v>88.62</v>
      </c>
      <c r="C26" s="12">
        <v>3552</v>
      </c>
      <c r="D26" s="12">
        <v>22809.5</v>
      </c>
      <c r="E26" s="12">
        <v>9.14</v>
      </c>
      <c r="F26">
        <v>-0.74</v>
      </c>
    </row>
    <row r="28" spans="1:6" x14ac:dyDescent="0.25">
      <c r="A28" t="s">
        <v>9</v>
      </c>
    </row>
    <row r="29" spans="1:6" ht="15.75" thickBot="1" x14ac:dyDescent="0.3"/>
    <row r="30" spans="1:6" x14ac:dyDescent="0.25">
      <c r="A30" s="4" t="s">
        <v>10</v>
      </c>
      <c r="B30" s="4"/>
    </row>
    <row r="31" spans="1:6" x14ac:dyDescent="0.25">
      <c r="A31" t="s">
        <v>11</v>
      </c>
      <c r="B31">
        <v>0.95520456271989918</v>
      </c>
    </row>
    <row r="32" spans="1:6" x14ac:dyDescent="0.25">
      <c r="A32" t="s">
        <v>12</v>
      </c>
      <c r="B32">
        <v>0.9124157566409139</v>
      </c>
    </row>
    <row r="33" spans="1:9" x14ac:dyDescent="0.25">
      <c r="A33" t="s">
        <v>13</v>
      </c>
      <c r="B33">
        <v>0.8893672715464177</v>
      </c>
    </row>
    <row r="34" spans="1:9" x14ac:dyDescent="0.25">
      <c r="A34" t="s">
        <v>14</v>
      </c>
      <c r="B34">
        <v>436.7461314442574</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5</v>
      </c>
      <c r="C39">
        <v>37755352.443557039</v>
      </c>
      <c r="D39">
        <v>7551070.4887114074</v>
      </c>
      <c r="E39">
        <v>39.586799431724295</v>
      </c>
      <c r="F39">
        <v>2.1011564332222062E-9</v>
      </c>
    </row>
    <row r="40" spans="1:9" x14ac:dyDescent="0.25">
      <c r="A40" t="s">
        <v>18</v>
      </c>
      <c r="B40">
        <v>19</v>
      </c>
      <c r="C40">
        <v>3624196.4832989667</v>
      </c>
      <c r="D40">
        <v>190747.18333152457</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-1285.9431109142527</v>
      </c>
      <c r="C44">
        <v>418.97083858276318</v>
      </c>
      <c r="D44">
        <v>-3.0692902524294143</v>
      </c>
      <c r="E44">
        <v>6.3123526198296644E-3</v>
      </c>
      <c r="F44">
        <v>-2162.8591541635969</v>
      </c>
      <c r="G44">
        <v>-409.02706766490826</v>
      </c>
      <c r="H44">
        <v>-2162.8591541635969</v>
      </c>
      <c r="I44">
        <v>-409.02706766490826</v>
      </c>
    </row>
    <row r="45" spans="1:9" x14ac:dyDescent="0.25">
      <c r="A45" t="s">
        <v>6</v>
      </c>
      <c r="B45">
        <v>8.2341341126477712</v>
      </c>
      <c r="C45">
        <v>2.8235814185325778</v>
      </c>
      <c r="D45">
        <v>2.9162021178504109</v>
      </c>
      <c r="E45">
        <v>8.8574580983967286E-3</v>
      </c>
      <c r="F45">
        <v>2.3243102840787486</v>
      </c>
      <c r="G45">
        <v>14.143957941216794</v>
      </c>
      <c r="H45">
        <v>2.3243102840787486</v>
      </c>
      <c r="I45">
        <v>14.143957941216794</v>
      </c>
    </row>
    <row r="46" spans="1:9" x14ac:dyDescent="0.25">
      <c r="A46" t="s">
        <v>3</v>
      </c>
      <c r="B46">
        <v>0.15443617854263003</v>
      </c>
      <c r="C46">
        <v>3.7738539949347082E-2</v>
      </c>
      <c r="D46">
        <v>4.0922669173188817</v>
      </c>
      <c r="E46">
        <v>6.2060876292836255E-4</v>
      </c>
      <c r="F46">
        <v>7.5448506650397637E-2</v>
      </c>
      <c r="G46">
        <v>0.23342385043486241</v>
      </c>
      <c r="H46">
        <v>7.5448506650397637E-2</v>
      </c>
      <c r="I46">
        <v>0.23342385043486241</v>
      </c>
    </row>
    <row r="47" spans="1:9" x14ac:dyDescent="0.25">
      <c r="A47" t="s">
        <v>2</v>
      </c>
      <c r="B47">
        <v>3.7631138109657951E-2</v>
      </c>
      <c r="C47">
        <v>7.6851786918763912E-3</v>
      </c>
      <c r="D47">
        <v>4.896585963503477</v>
      </c>
      <c r="E47">
        <v>1.0019648686583606E-4</v>
      </c>
      <c r="F47">
        <v>2.1545874245134478E-2</v>
      </c>
      <c r="G47">
        <v>5.3716401974181427E-2</v>
      </c>
      <c r="H47">
        <v>2.1545874245134478E-2</v>
      </c>
      <c r="I47">
        <v>5.3716401974181427E-2</v>
      </c>
    </row>
    <row r="48" spans="1:9" x14ac:dyDescent="0.25">
      <c r="A48" t="s">
        <v>4</v>
      </c>
      <c r="B48">
        <v>196.94940363281853</v>
      </c>
      <c r="C48">
        <v>48.056929310436772</v>
      </c>
      <c r="D48">
        <v>4.0982519370010184</v>
      </c>
      <c r="E48">
        <v>6.1218503636461066E-4</v>
      </c>
      <c r="F48">
        <v>96.365094605074631</v>
      </c>
      <c r="G48">
        <v>297.5337126605624</v>
      </c>
      <c r="H48">
        <v>96.365094605074631</v>
      </c>
      <c r="I48">
        <v>297.5337126605624</v>
      </c>
    </row>
    <row r="49" spans="1:9" ht="15.75" thickBot="1" x14ac:dyDescent="0.3">
      <c r="A49" s="2" t="s">
        <v>5</v>
      </c>
      <c r="B49" s="2">
        <v>262.50126952228646</v>
      </c>
      <c r="C49" s="2">
        <v>162.9261967733502</v>
      </c>
      <c r="D49" s="2">
        <v>1.6111667412666428</v>
      </c>
      <c r="E49" s="2">
        <v>0.12363132417833682</v>
      </c>
      <c r="F49" s="34">
        <v>-78.507179417597001</v>
      </c>
      <c r="G49" s="34">
        <v>603.50971846216999</v>
      </c>
      <c r="H49" s="34">
        <v>-78.507179417597001</v>
      </c>
      <c r="I49" s="34">
        <v>603.50971846216999</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C0276-B3CC-4167-AC90-F2DAE9E36A64}">
  <dimension ref="A1:U45"/>
  <sheetViews>
    <sheetView workbookViewId="0">
      <selection activeCell="P5" sqref="P5"/>
    </sheetView>
  </sheetViews>
  <sheetFormatPr defaultRowHeight="15" x14ac:dyDescent="0.25"/>
  <cols>
    <col min="1" max="1" width="10.85546875" customWidth="1"/>
    <col min="13" max="13" width="13.85546875" customWidth="1"/>
    <col min="19" max="19" width="10" bestFit="1" customWidth="1"/>
  </cols>
  <sheetData>
    <row r="1" spans="1:21" x14ac:dyDescent="0.25">
      <c r="A1" t="s">
        <v>0</v>
      </c>
      <c r="B1" t="s">
        <v>1</v>
      </c>
      <c r="C1" t="s">
        <v>2</v>
      </c>
      <c r="D1" t="s">
        <v>3</v>
      </c>
      <c r="E1" t="s">
        <v>4</v>
      </c>
      <c r="F1" t="s">
        <v>5</v>
      </c>
      <c r="G1" t="s">
        <v>6</v>
      </c>
      <c r="H1" t="s">
        <v>7</v>
      </c>
      <c r="I1" t="s">
        <v>8</v>
      </c>
      <c r="N1" t="s">
        <v>1</v>
      </c>
      <c r="O1" t="s">
        <v>2</v>
      </c>
      <c r="P1" t="s">
        <v>3</v>
      </c>
      <c r="Q1" t="s">
        <v>4</v>
      </c>
      <c r="R1" t="s">
        <v>5</v>
      </c>
      <c r="S1" t="s">
        <v>6</v>
      </c>
      <c r="T1" t="s">
        <v>7</v>
      </c>
      <c r="U1" t="s">
        <v>8</v>
      </c>
    </row>
    <row r="2" spans="1:21" x14ac:dyDescent="0.25">
      <c r="A2">
        <v>3669.88</v>
      </c>
      <c r="B2">
        <v>43.1</v>
      </c>
      <c r="C2">
        <v>74065.100000000006</v>
      </c>
      <c r="D2">
        <v>4582.8999999999996</v>
      </c>
      <c r="E2">
        <v>2.5099999999999998</v>
      </c>
      <c r="F2">
        <v>0.34</v>
      </c>
      <c r="G2">
        <v>74.86</v>
      </c>
      <c r="H2">
        <v>15.05</v>
      </c>
      <c r="I2">
        <v>4.9000000000000004</v>
      </c>
      <c r="M2" t="s">
        <v>56</v>
      </c>
      <c r="N2">
        <v>1049.3286838566075</v>
      </c>
      <c r="O2">
        <v>1075.2420471104435</v>
      </c>
      <c r="P2">
        <v>1076.8738612061488</v>
      </c>
      <c r="Q2">
        <v>1174.0997528585244</v>
      </c>
      <c r="R2">
        <v>1169.8664414826903</v>
      </c>
      <c r="S2">
        <v>881</v>
      </c>
      <c r="T2">
        <v>1332.0619227999241</v>
      </c>
      <c r="U2">
        <v>1228.2277210318653</v>
      </c>
    </row>
    <row r="3" spans="1:21" x14ac:dyDescent="0.25">
      <c r="A3">
        <v>3473.95</v>
      </c>
      <c r="B3">
        <v>108.13</v>
      </c>
      <c r="C3">
        <v>58117.3</v>
      </c>
      <c r="D3">
        <v>5539.8</v>
      </c>
      <c r="E3">
        <v>5.51</v>
      </c>
      <c r="F3">
        <v>0.15</v>
      </c>
      <c r="G3">
        <v>107.32</v>
      </c>
      <c r="H3">
        <v>19.97</v>
      </c>
      <c r="I3">
        <v>5.0999999999999996</v>
      </c>
      <c r="M3" t="s">
        <v>57</v>
      </c>
      <c r="N3">
        <v>8.8208568217364234E-4</v>
      </c>
      <c r="O3">
        <v>1.5996990740499352E-3</v>
      </c>
      <c r="P3">
        <v>1.6602367684753164E-3</v>
      </c>
      <c r="Q3">
        <v>1.4338898505998288E-2</v>
      </c>
      <c r="R3">
        <v>1.3076882925764744E-2</v>
      </c>
      <c r="S3">
        <v>1.3499999999999999E-5</v>
      </c>
      <c r="T3">
        <v>0.57681956069978979</v>
      </c>
      <c r="U3">
        <v>4.6438984791143306E-2</v>
      </c>
    </row>
    <row r="4" spans="1:21" x14ac:dyDescent="0.25">
      <c r="A4">
        <v>2295.1</v>
      </c>
      <c r="B4">
        <v>13.82</v>
      </c>
      <c r="C4">
        <v>21118.5</v>
      </c>
      <c r="D4">
        <v>2950.4</v>
      </c>
      <c r="E4">
        <v>10.91</v>
      </c>
      <c r="F4">
        <v>-0.72</v>
      </c>
      <c r="G4">
        <v>96.75</v>
      </c>
      <c r="H4">
        <v>17.34</v>
      </c>
      <c r="I4">
        <v>2.9</v>
      </c>
      <c r="M4" t="s">
        <v>58</v>
      </c>
      <c r="N4">
        <v>8.8208568217364234E-4</v>
      </c>
      <c r="O4">
        <v>1.5996990740499352E-3</v>
      </c>
      <c r="P4">
        <v>1.6602367684753164E-3</v>
      </c>
      <c r="Q4">
        <v>1.4338898505998288E-2</v>
      </c>
      <c r="R4">
        <v>1.3076882925764744E-2</v>
      </c>
      <c r="S4">
        <v>1.3499999999999999E-5</v>
      </c>
      <c r="T4">
        <v>0.57681956069978979</v>
      </c>
      <c r="U4">
        <v>4.6438984791143306E-2</v>
      </c>
    </row>
    <row r="5" spans="1:21" x14ac:dyDescent="0.25">
      <c r="A5">
        <v>4675.5600000000004</v>
      </c>
      <c r="B5">
        <v>186.18</v>
      </c>
      <c r="C5">
        <v>68521.3</v>
      </c>
      <c r="D5">
        <v>2243.1</v>
      </c>
      <c r="E5">
        <v>8.27</v>
      </c>
      <c r="F5">
        <v>0.17</v>
      </c>
      <c r="G5">
        <v>195.12</v>
      </c>
      <c r="H5">
        <v>13.4</v>
      </c>
      <c r="I5">
        <v>3.4</v>
      </c>
      <c r="M5" t="s">
        <v>67</v>
      </c>
      <c r="N5" t="s">
        <v>68</v>
      </c>
      <c r="P5">
        <v>0.3554275266515225</v>
      </c>
      <c r="S5">
        <v>0.56849518184639602</v>
      </c>
      <c r="U5">
        <v>0.161506164320767</v>
      </c>
    </row>
    <row r="6" spans="1:21" x14ac:dyDescent="0.25">
      <c r="A6">
        <v>6125.96</v>
      </c>
      <c r="B6">
        <v>161.79</v>
      </c>
      <c r="C6">
        <v>57805.1</v>
      </c>
      <c r="D6">
        <v>7747.1</v>
      </c>
      <c r="E6">
        <v>9.15</v>
      </c>
      <c r="F6">
        <v>0.5</v>
      </c>
      <c r="G6">
        <v>180.44</v>
      </c>
      <c r="H6">
        <v>17.64</v>
      </c>
      <c r="I6">
        <v>4.5999999999999996</v>
      </c>
    </row>
    <row r="7" spans="1:21" x14ac:dyDescent="0.25">
      <c r="A7">
        <v>2134.94</v>
      </c>
      <c r="B7">
        <v>8.94</v>
      </c>
      <c r="C7">
        <v>37806.9</v>
      </c>
      <c r="D7">
        <v>402.4</v>
      </c>
      <c r="E7">
        <v>5.51</v>
      </c>
      <c r="F7">
        <v>0.15</v>
      </c>
      <c r="G7">
        <v>104.88</v>
      </c>
      <c r="H7">
        <v>16.22</v>
      </c>
      <c r="I7">
        <v>4.5</v>
      </c>
      <c r="O7" t="s">
        <v>60</v>
      </c>
      <c r="P7" t="s">
        <v>57</v>
      </c>
      <c r="Q7" t="s">
        <v>58</v>
      </c>
    </row>
    <row r="8" spans="1:21" x14ac:dyDescent="0.25">
      <c r="A8">
        <v>5031.66</v>
      </c>
      <c r="B8">
        <v>365.04</v>
      </c>
      <c r="C8">
        <v>50935.3</v>
      </c>
      <c r="D8">
        <v>3140.6</v>
      </c>
      <c r="E8">
        <v>8.5399999999999991</v>
      </c>
      <c r="F8">
        <v>0.55000000000000004</v>
      </c>
      <c r="G8">
        <v>256.10000000000002</v>
      </c>
      <c r="H8">
        <v>18.8</v>
      </c>
      <c r="I8">
        <v>4.5999999999999996</v>
      </c>
      <c r="M8" t="s">
        <v>59</v>
      </c>
      <c r="N8" t="s">
        <v>6</v>
      </c>
      <c r="O8">
        <v>881</v>
      </c>
      <c r="P8">
        <v>1.3499999999999999E-5</v>
      </c>
      <c r="Q8">
        <v>1.3499999999999999E-5</v>
      </c>
    </row>
    <row r="9" spans="1:21" x14ac:dyDescent="0.25">
      <c r="A9">
        <v>3367.45</v>
      </c>
      <c r="B9">
        <v>220.32</v>
      </c>
      <c r="C9">
        <v>35602.1</v>
      </c>
      <c r="D9">
        <v>2086.1999999999998</v>
      </c>
      <c r="E9">
        <v>7.07</v>
      </c>
      <c r="F9">
        <v>-0.49</v>
      </c>
      <c r="G9">
        <v>126.83</v>
      </c>
      <c r="H9">
        <v>19.86</v>
      </c>
      <c r="I9">
        <v>2.2999999999999998</v>
      </c>
      <c r="N9" t="s">
        <v>1</v>
      </c>
      <c r="O9">
        <v>1049.3286838566075</v>
      </c>
      <c r="P9">
        <v>8.8208568217364234E-4</v>
      </c>
      <c r="Q9">
        <v>8.8208568217364234E-4</v>
      </c>
    </row>
    <row r="10" spans="1:21" x14ac:dyDescent="0.25">
      <c r="A10">
        <v>6519.45</v>
      </c>
      <c r="B10">
        <v>127.64</v>
      </c>
      <c r="C10">
        <v>46176.800000000003</v>
      </c>
      <c r="D10">
        <v>8846.2000000000007</v>
      </c>
      <c r="E10">
        <v>12.54</v>
      </c>
      <c r="F10">
        <v>1.24</v>
      </c>
      <c r="G10">
        <v>203.25</v>
      </c>
      <c r="H10">
        <v>17.420000000000002</v>
      </c>
      <c r="I10">
        <v>4.9000000000000004</v>
      </c>
      <c r="N10" t="s">
        <v>2</v>
      </c>
      <c r="O10">
        <v>1075.2420471104435</v>
      </c>
      <c r="P10">
        <v>1.5996990740499352E-3</v>
      </c>
      <c r="Q10">
        <v>1.5996990740499352E-3</v>
      </c>
    </row>
    <row r="11" spans="1:21" x14ac:dyDescent="0.25">
      <c r="A11">
        <v>4876.37</v>
      </c>
      <c r="B11">
        <v>105.69</v>
      </c>
      <c r="C11">
        <v>42053.2</v>
      </c>
      <c r="D11">
        <v>5673.1</v>
      </c>
      <c r="E11">
        <v>8.85</v>
      </c>
      <c r="F11">
        <v>0.31</v>
      </c>
      <c r="G11">
        <v>119.51</v>
      </c>
      <c r="H11">
        <v>21.41</v>
      </c>
      <c r="I11">
        <v>2.8</v>
      </c>
      <c r="N11" t="s">
        <v>3</v>
      </c>
      <c r="O11">
        <v>1076.8738612061488</v>
      </c>
      <c r="P11">
        <v>1.6602367684753164E-3</v>
      </c>
      <c r="Q11">
        <v>1.6602367684753164E-3</v>
      </c>
    </row>
    <row r="12" spans="1:21" x14ac:dyDescent="0.25">
      <c r="A12">
        <v>2468.27</v>
      </c>
      <c r="B12">
        <v>57.72</v>
      </c>
      <c r="C12">
        <v>36829.699999999997</v>
      </c>
      <c r="D12">
        <v>2761.8</v>
      </c>
      <c r="E12">
        <v>5.38</v>
      </c>
      <c r="F12">
        <v>0.37</v>
      </c>
      <c r="G12">
        <v>116.26</v>
      </c>
      <c r="H12">
        <v>16.32</v>
      </c>
      <c r="I12">
        <v>3.1</v>
      </c>
      <c r="N12" t="s">
        <v>5</v>
      </c>
      <c r="O12">
        <v>1169.8664414826903</v>
      </c>
      <c r="P12">
        <v>1.3076882925764744E-2</v>
      </c>
      <c r="Q12">
        <v>1.3076882925764744E-2</v>
      </c>
    </row>
    <row r="13" spans="1:21" x14ac:dyDescent="0.25">
      <c r="A13">
        <v>2533.31</v>
      </c>
      <c r="B13">
        <v>23.58</v>
      </c>
      <c r="C13">
        <v>33612.699999999997</v>
      </c>
      <c r="D13">
        <v>1991.8</v>
      </c>
      <c r="E13">
        <v>5.43</v>
      </c>
      <c r="F13">
        <v>-0.65</v>
      </c>
      <c r="G13">
        <v>142.28</v>
      </c>
      <c r="H13">
        <v>14.51</v>
      </c>
      <c r="I13">
        <v>4.2</v>
      </c>
      <c r="N13" t="s">
        <v>4</v>
      </c>
      <c r="O13">
        <v>1174.0997528585244</v>
      </c>
      <c r="P13">
        <v>1.4338898505998288E-2</v>
      </c>
      <c r="Q13">
        <v>1.4338898505998288E-2</v>
      </c>
    </row>
    <row r="14" spans="1:21" x14ac:dyDescent="0.25">
      <c r="A14">
        <v>2408.11</v>
      </c>
      <c r="B14">
        <v>13.82</v>
      </c>
      <c r="C14">
        <v>21412.799999999999</v>
      </c>
      <c r="D14">
        <v>1971.5</v>
      </c>
      <c r="E14">
        <v>8.48</v>
      </c>
      <c r="F14">
        <v>0.64</v>
      </c>
      <c r="G14">
        <v>89.43</v>
      </c>
      <c r="H14">
        <v>19.350000000000001</v>
      </c>
      <c r="I14">
        <v>4.3</v>
      </c>
      <c r="N14" t="s">
        <v>8</v>
      </c>
      <c r="O14">
        <v>1228.2277210318653</v>
      </c>
      <c r="P14">
        <v>4.6438984791143306E-2</v>
      </c>
      <c r="Q14">
        <v>4.6438984791143306E-2</v>
      </c>
    </row>
    <row r="15" spans="1:21" x14ac:dyDescent="0.25">
      <c r="A15">
        <v>2337.38</v>
      </c>
      <c r="B15">
        <v>13.82</v>
      </c>
      <c r="C15">
        <v>20416.900000000001</v>
      </c>
      <c r="D15">
        <v>1737.4</v>
      </c>
      <c r="E15">
        <v>7.8</v>
      </c>
      <c r="F15">
        <v>1.01</v>
      </c>
      <c r="G15">
        <v>84.55</v>
      </c>
      <c r="H15">
        <v>20.02</v>
      </c>
      <c r="I15">
        <v>4.2</v>
      </c>
      <c r="N15" t="s">
        <v>7</v>
      </c>
      <c r="O15">
        <v>1332.0619227999241</v>
      </c>
      <c r="P15">
        <v>0.57681956069978979</v>
      </c>
      <c r="Q15">
        <v>0.57681956069978979</v>
      </c>
    </row>
    <row r="16" spans="1:21" x14ac:dyDescent="0.25">
      <c r="A16">
        <v>4586.95</v>
      </c>
      <c r="B16">
        <v>86.99</v>
      </c>
      <c r="C16">
        <v>36272</v>
      </c>
      <c r="D16">
        <v>10694.2</v>
      </c>
      <c r="E16">
        <v>10.34</v>
      </c>
      <c r="F16">
        <v>0.11</v>
      </c>
      <c r="G16">
        <v>119.51</v>
      </c>
      <c r="H16">
        <v>15.26</v>
      </c>
      <c r="I16">
        <v>5.5</v>
      </c>
    </row>
    <row r="17" spans="1:9" x14ac:dyDescent="0.25">
      <c r="A17">
        <v>2729.24</v>
      </c>
      <c r="B17">
        <v>165.85</v>
      </c>
      <c r="C17">
        <v>23093.3</v>
      </c>
      <c r="D17">
        <v>8618.6</v>
      </c>
      <c r="E17">
        <v>5.15</v>
      </c>
      <c r="F17">
        <v>0.04</v>
      </c>
      <c r="G17">
        <v>80.489999999999995</v>
      </c>
      <c r="H17">
        <v>15.87</v>
      </c>
      <c r="I17">
        <v>3.6</v>
      </c>
    </row>
    <row r="18" spans="1:9" x14ac:dyDescent="0.25">
      <c r="A18">
        <v>3289.4</v>
      </c>
      <c r="B18">
        <v>116.26</v>
      </c>
      <c r="C18">
        <v>26878.6</v>
      </c>
      <c r="D18">
        <v>7747.9</v>
      </c>
      <c r="E18">
        <v>6.64</v>
      </c>
      <c r="F18">
        <v>0.68</v>
      </c>
      <c r="G18">
        <v>136.58000000000001</v>
      </c>
      <c r="H18">
        <v>7.81</v>
      </c>
      <c r="I18">
        <v>3.4</v>
      </c>
    </row>
    <row r="19" spans="1:9" x14ac:dyDescent="0.25">
      <c r="A19">
        <v>2800.78</v>
      </c>
      <c r="B19">
        <v>42.28</v>
      </c>
      <c r="C19">
        <v>39572</v>
      </c>
      <c r="D19">
        <v>4565.8</v>
      </c>
      <c r="E19">
        <v>5.45</v>
      </c>
      <c r="F19">
        <v>0.66</v>
      </c>
      <c r="G19">
        <v>78.86</v>
      </c>
      <c r="H19">
        <v>16</v>
      </c>
      <c r="I19">
        <v>4.2</v>
      </c>
    </row>
    <row r="20" spans="1:9" x14ac:dyDescent="0.25">
      <c r="A20">
        <v>3264.2</v>
      </c>
      <c r="B20">
        <v>52.84</v>
      </c>
      <c r="C20">
        <v>51866.1</v>
      </c>
      <c r="D20">
        <v>6022.7</v>
      </c>
      <c r="E20">
        <v>6.31</v>
      </c>
      <c r="F20">
        <v>-0.1</v>
      </c>
      <c r="G20">
        <v>136.58000000000001</v>
      </c>
      <c r="H20">
        <v>17.440000000000001</v>
      </c>
      <c r="I20">
        <v>3.6</v>
      </c>
    </row>
    <row r="21" spans="1:9" x14ac:dyDescent="0.25">
      <c r="A21">
        <v>3453.62</v>
      </c>
      <c r="B21">
        <v>165.04</v>
      </c>
      <c r="C21">
        <v>58749.8</v>
      </c>
      <c r="D21">
        <v>3721.1</v>
      </c>
      <c r="E21">
        <v>6.35</v>
      </c>
      <c r="F21">
        <v>-0.03</v>
      </c>
      <c r="G21">
        <v>138.21</v>
      </c>
      <c r="H21">
        <v>17.98</v>
      </c>
      <c r="I21">
        <v>3.1</v>
      </c>
    </row>
    <row r="22" spans="1:9" x14ac:dyDescent="0.25">
      <c r="A22">
        <v>1741.45</v>
      </c>
      <c r="B22">
        <v>10.57</v>
      </c>
      <c r="C22">
        <v>23990.799999999999</v>
      </c>
      <c r="D22">
        <v>861</v>
      </c>
      <c r="E22">
        <v>7.37</v>
      </c>
      <c r="F22">
        <v>-1.63</v>
      </c>
      <c r="G22">
        <v>75.61</v>
      </c>
      <c r="H22">
        <v>20.99</v>
      </c>
      <c r="I22">
        <v>1.6</v>
      </c>
    </row>
    <row r="23" spans="1:9" x14ac:dyDescent="0.25">
      <c r="A23">
        <v>2035.75</v>
      </c>
      <c r="B23">
        <v>13.82</v>
      </c>
      <c r="C23">
        <v>25694.9</v>
      </c>
      <c r="D23">
        <v>3571.5</v>
      </c>
      <c r="E23">
        <v>8.39</v>
      </c>
      <c r="F23">
        <v>-0.43</v>
      </c>
      <c r="G23">
        <v>102.44</v>
      </c>
      <c r="H23">
        <v>21.66</v>
      </c>
      <c r="I23">
        <v>3.4</v>
      </c>
    </row>
    <row r="24" spans="1:9" x14ac:dyDescent="0.25">
      <c r="A24">
        <v>1578</v>
      </c>
      <c r="B24">
        <v>8.1300000000000008</v>
      </c>
      <c r="C24">
        <v>23736.3</v>
      </c>
      <c r="D24">
        <v>2845.5</v>
      </c>
      <c r="E24">
        <v>5.15</v>
      </c>
      <c r="F24">
        <v>0.04</v>
      </c>
      <c r="G24">
        <v>76.42</v>
      </c>
      <c r="H24">
        <v>21.46</v>
      </c>
      <c r="I24">
        <v>2.7</v>
      </c>
    </row>
    <row r="25" spans="1:9" x14ac:dyDescent="0.25">
      <c r="A25">
        <v>4167.4399999999996</v>
      </c>
      <c r="B25">
        <v>58.44</v>
      </c>
      <c r="C25">
        <v>34314.300000000003</v>
      </c>
      <c r="D25">
        <v>5060.1000000000004</v>
      </c>
      <c r="E25">
        <v>12.88</v>
      </c>
      <c r="F25">
        <v>0.22</v>
      </c>
      <c r="G25">
        <v>136.58000000000001</v>
      </c>
      <c r="H25">
        <v>24.78</v>
      </c>
      <c r="I25">
        <v>2.8</v>
      </c>
    </row>
    <row r="26" spans="1:9" x14ac:dyDescent="0.25">
      <c r="A26">
        <v>2799.97</v>
      </c>
      <c r="B26">
        <v>21.14</v>
      </c>
      <c r="C26">
        <v>22809.5</v>
      </c>
      <c r="D26">
        <v>3552</v>
      </c>
      <c r="E26">
        <v>9.14</v>
      </c>
      <c r="F26">
        <v>-0.74</v>
      </c>
      <c r="G26">
        <v>88.62</v>
      </c>
      <c r="H26">
        <v>24.96</v>
      </c>
      <c r="I26">
        <v>3.9</v>
      </c>
    </row>
    <row r="28" spans="1:9" x14ac:dyDescent="0.25">
      <c r="A28" t="s">
        <v>9</v>
      </c>
    </row>
    <row r="29" spans="1:9" ht="15.75" thickBot="1" x14ac:dyDescent="0.3"/>
    <row r="30" spans="1:9" x14ac:dyDescent="0.25">
      <c r="A30" s="4" t="s">
        <v>10</v>
      </c>
      <c r="B30" s="4"/>
    </row>
    <row r="31" spans="1:9" x14ac:dyDescent="0.25">
      <c r="A31" t="s">
        <v>11</v>
      </c>
      <c r="B31">
        <v>0.59617742883433833</v>
      </c>
    </row>
    <row r="32" spans="1:9" x14ac:dyDescent="0.25">
      <c r="A32" t="s">
        <v>12</v>
      </c>
      <c r="B32">
        <v>0.3554275266515225</v>
      </c>
    </row>
    <row r="33" spans="1:9" x14ac:dyDescent="0.25">
      <c r="A33" t="s">
        <v>13</v>
      </c>
      <c r="B33">
        <v>0.32740263650593648</v>
      </c>
    </row>
    <row r="34" spans="1:9" x14ac:dyDescent="0.25">
      <c r="A34" t="s">
        <v>14</v>
      </c>
      <c r="B34">
        <v>1076.8738612061488</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1</v>
      </c>
      <c r="C39">
        <v>14707430.729028091</v>
      </c>
      <c r="D39">
        <v>14707430.729028091</v>
      </c>
      <c r="E39">
        <v>12.682566276089528</v>
      </c>
      <c r="F39">
        <v>1.6602367684753164E-3</v>
      </c>
    </row>
    <row r="40" spans="1:9" x14ac:dyDescent="0.25">
      <c r="A40" t="s">
        <v>18</v>
      </c>
      <c r="B40">
        <v>23</v>
      </c>
      <c r="C40">
        <v>26672118.197827913</v>
      </c>
      <c r="D40">
        <v>1159657.3129490397</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2106.0907292388692</v>
      </c>
      <c r="C44">
        <v>416.24032449294845</v>
      </c>
      <c r="D44">
        <v>5.0597950398113065</v>
      </c>
      <c r="E44">
        <v>4.0221272161131698E-5</v>
      </c>
      <c r="F44">
        <v>1245.0320142132368</v>
      </c>
      <c r="G44">
        <v>2967.1494442645017</v>
      </c>
      <c r="H44">
        <v>1245.0320142132368</v>
      </c>
      <c r="I44">
        <v>2967.1494442645017</v>
      </c>
    </row>
    <row r="45" spans="1:9" ht="15.75" thickBot="1" x14ac:dyDescent="0.3">
      <c r="A45" s="2" t="s">
        <v>3</v>
      </c>
      <c r="B45" s="2">
        <v>0.29110946070469962</v>
      </c>
      <c r="C45" s="2">
        <v>8.1743409758263344E-2</v>
      </c>
      <c r="D45" s="2">
        <v>3.5612590857854656</v>
      </c>
      <c r="E45" s="2">
        <v>1.6602367684753164E-3</v>
      </c>
      <c r="F45" s="2">
        <v>0.12201033400666539</v>
      </c>
      <c r="G45" s="2">
        <v>0.46020858740273385</v>
      </c>
      <c r="H45" s="2">
        <v>0.12201033400666539</v>
      </c>
      <c r="I45" s="2">
        <v>0.46020858740273385</v>
      </c>
    </row>
  </sheetData>
  <sortState xmlns:xlrd2="http://schemas.microsoft.com/office/spreadsheetml/2017/richdata2" ref="N8:Q15">
    <sortCondition ref="O8:O15"/>
  </sortState>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3B93-5392-49F6-A309-7AF59A9FCD4A}">
  <dimension ref="A1:P46"/>
  <sheetViews>
    <sheetView workbookViewId="0">
      <selection activeCell="D17" sqref="D17"/>
    </sheetView>
  </sheetViews>
  <sheetFormatPr defaultRowHeight="15" x14ac:dyDescent="0.25"/>
  <sheetData>
    <row r="1" spans="1:16" x14ac:dyDescent="0.25">
      <c r="A1" t="s">
        <v>0</v>
      </c>
      <c r="B1" t="s">
        <v>6</v>
      </c>
      <c r="C1" t="s">
        <v>7</v>
      </c>
      <c r="K1" t="s">
        <v>42</v>
      </c>
      <c r="L1" t="s">
        <v>50</v>
      </c>
      <c r="M1" t="s">
        <v>41</v>
      </c>
    </row>
    <row r="2" spans="1:16" x14ac:dyDescent="0.25">
      <c r="A2">
        <v>3669.88</v>
      </c>
      <c r="B2">
        <v>74.86</v>
      </c>
      <c r="C2">
        <v>15.05</v>
      </c>
      <c r="K2">
        <v>17855474.734961201</v>
      </c>
      <c r="L2">
        <f>C40</f>
        <v>17809390.623579551</v>
      </c>
      <c r="M2">
        <f>(K2-L2)/1</f>
        <v>46084.111381649971</v>
      </c>
    </row>
    <row r="3" spans="1:16" x14ac:dyDescent="0.25">
      <c r="A3">
        <v>3473.95</v>
      </c>
      <c r="B3">
        <v>107.32</v>
      </c>
      <c r="C3">
        <v>19.97</v>
      </c>
      <c r="O3" t="s">
        <v>45</v>
      </c>
      <c r="P3">
        <f>M2/M5</f>
        <v>5.6927857433480403E-2</v>
      </c>
    </row>
    <row r="4" spans="1:16" x14ac:dyDescent="0.25">
      <c r="A4">
        <v>2295.1</v>
      </c>
      <c r="B4">
        <v>96.75</v>
      </c>
      <c r="C4">
        <v>17.34</v>
      </c>
      <c r="K4" t="s">
        <v>48</v>
      </c>
      <c r="L4" t="s">
        <v>43</v>
      </c>
      <c r="M4" t="s">
        <v>44</v>
      </c>
    </row>
    <row r="5" spans="1:16" x14ac:dyDescent="0.25">
      <c r="A5">
        <v>4675.5600000000004</v>
      </c>
      <c r="B5">
        <v>195.12</v>
      </c>
      <c r="C5">
        <v>13.4</v>
      </c>
      <c r="K5">
        <f>L2</f>
        <v>17809390.623579551</v>
      </c>
      <c r="L5">
        <f>25-2-1</f>
        <v>22</v>
      </c>
      <c r="M5">
        <f>K5/L5</f>
        <v>809517.75561725232</v>
      </c>
      <c r="O5" t="s">
        <v>46</v>
      </c>
      <c r="P5" s="5">
        <f>_xlfn.F.DIST.RT(P3,1,22)</f>
        <v>0.81362764230989715</v>
      </c>
    </row>
    <row r="6" spans="1:16" x14ac:dyDescent="0.25">
      <c r="A6">
        <v>6125.96</v>
      </c>
      <c r="B6">
        <v>180.44</v>
      </c>
      <c r="C6">
        <v>17.64</v>
      </c>
    </row>
    <row r="7" spans="1:16" x14ac:dyDescent="0.25">
      <c r="A7">
        <v>2134.94</v>
      </c>
      <c r="B7">
        <v>104.88</v>
      </c>
      <c r="C7">
        <v>16.22</v>
      </c>
    </row>
    <row r="8" spans="1:16" x14ac:dyDescent="0.25">
      <c r="A8">
        <v>5031.66</v>
      </c>
      <c r="B8">
        <v>256.10000000000002</v>
      </c>
      <c r="C8">
        <v>18.8</v>
      </c>
    </row>
    <row r="9" spans="1:16" x14ac:dyDescent="0.25">
      <c r="A9">
        <v>3367.45</v>
      </c>
      <c r="B9">
        <v>126.83</v>
      </c>
      <c r="C9">
        <v>19.86</v>
      </c>
    </row>
    <row r="10" spans="1:16" x14ac:dyDescent="0.25">
      <c r="A10">
        <v>6519.45</v>
      </c>
      <c r="B10">
        <v>203.25</v>
      </c>
      <c r="C10">
        <v>17.420000000000002</v>
      </c>
    </row>
    <row r="11" spans="1:16" x14ac:dyDescent="0.25">
      <c r="A11">
        <v>4876.37</v>
      </c>
      <c r="B11">
        <v>119.51</v>
      </c>
      <c r="C11">
        <v>21.41</v>
      </c>
    </row>
    <row r="12" spans="1:16" x14ac:dyDescent="0.25">
      <c r="A12">
        <v>2468.27</v>
      </c>
      <c r="B12">
        <v>116.26</v>
      </c>
      <c r="C12">
        <v>16.32</v>
      </c>
    </row>
    <row r="13" spans="1:16" x14ac:dyDescent="0.25">
      <c r="A13">
        <v>2533.31</v>
      </c>
      <c r="B13">
        <v>142.28</v>
      </c>
      <c r="C13">
        <v>14.51</v>
      </c>
    </row>
    <row r="14" spans="1:16" x14ac:dyDescent="0.25">
      <c r="A14">
        <v>2408.11</v>
      </c>
      <c r="B14">
        <v>89.43</v>
      </c>
      <c r="C14">
        <v>19.350000000000001</v>
      </c>
    </row>
    <row r="15" spans="1:16" x14ac:dyDescent="0.25">
      <c r="A15">
        <v>2337.38</v>
      </c>
      <c r="B15">
        <v>84.55</v>
      </c>
      <c r="C15">
        <v>20.02</v>
      </c>
    </row>
    <row r="16" spans="1:16" x14ac:dyDescent="0.25">
      <c r="A16">
        <v>4586.95</v>
      </c>
      <c r="B16">
        <v>119.51</v>
      </c>
      <c r="C16">
        <v>15.26</v>
      </c>
    </row>
    <row r="17" spans="1:3" x14ac:dyDescent="0.25">
      <c r="A17">
        <v>2729.24</v>
      </c>
      <c r="B17">
        <v>80.489999999999995</v>
      </c>
      <c r="C17">
        <v>15.87</v>
      </c>
    </row>
    <row r="18" spans="1:3" x14ac:dyDescent="0.25">
      <c r="A18">
        <v>3289.4</v>
      </c>
      <c r="B18">
        <v>136.58000000000001</v>
      </c>
      <c r="C18">
        <v>7.81</v>
      </c>
    </row>
    <row r="19" spans="1:3" x14ac:dyDescent="0.25">
      <c r="A19">
        <v>2800.78</v>
      </c>
      <c r="B19">
        <v>78.86</v>
      </c>
      <c r="C19">
        <v>16</v>
      </c>
    </row>
    <row r="20" spans="1:3" x14ac:dyDescent="0.25">
      <c r="A20">
        <v>3264.2</v>
      </c>
      <c r="B20">
        <v>136.58000000000001</v>
      </c>
      <c r="C20">
        <v>17.440000000000001</v>
      </c>
    </row>
    <row r="21" spans="1:3" x14ac:dyDescent="0.25">
      <c r="A21">
        <v>3453.62</v>
      </c>
      <c r="B21">
        <v>138.21</v>
      </c>
      <c r="C21">
        <v>17.98</v>
      </c>
    </row>
    <row r="22" spans="1:3" x14ac:dyDescent="0.25">
      <c r="A22">
        <v>1741.45</v>
      </c>
      <c r="B22">
        <v>75.61</v>
      </c>
      <c r="C22">
        <v>20.99</v>
      </c>
    </row>
    <row r="23" spans="1:3" x14ac:dyDescent="0.25">
      <c r="A23">
        <v>2035.75</v>
      </c>
      <c r="B23">
        <v>102.44</v>
      </c>
      <c r="C23">
        <v>21.66</v>
      </c>
    </row>
    <row r="24" spans="1:3" x14ac:dyDescent="0.25">
      <c r="A24">
        <v>1578</v>
      </c>
      <c r="B24">
        <v>76.42</v>
      </c>
      <c r="C24">
        <v>21.46</v>
      </c>
    </row>
    <row r="25" spans="1:3" x14ac:dyDescent="0.25">
      <c r="A25">
        <v>4167.4399999999996</v>
      </c>
      <c r="B25">
        <v>136.58000000000001</v>
      </c>
      <c r="C25">
        <v>24.78</v>
      </c>
    </row>
    <row r="26" spans="1:3" x14ac:dyDescent="0.25">
      <c r="A26">
        <v>2799.97</v>
      </c>
      <c r="B26">
        <v>88.62</v>
      </c>
      <c r="C26">
        <v>24.96</v>
      </c>
    </row>
    <row r="28" spans="1:3" x14ac:dyDescent="0.25">
      <c r="A28" t="s">
        <v>9</v>
      </c>
    </row>
    <row r="29" spans="1:3" ht="15.75" thickBot="1" x14ac:dyDescent="0.3"/>
    <row r="30" spans="1:3" x14ac:dyDescent="0.25">
      <c r="A30" s="4" t="s">
        <v>10</v>
      </c>
      <c r="B30" s="4"/>
    </row>
    <row r="31" spans="1:3" x14ac:dyDescent="0.25">
      <c r="A31" t="s">
        <v>11</v>
      </c>
      <c r="B31">
        <v>0.75472437007395587</v>
      </c>
    </row>
    <row r="32" spans="1:3" x14ac:dyDescent="0.25">
      <c r="A32" t="s">
        <v>12</v>
      </c>
      <c r="B32">
        <v>0.56960887478352951</v>
      </c>
    </row>
    <row r="33" spans="1:9" x14ac:dyDescent="0.25">
      <c r="A33" t="s">
        <v>13</v>
      </c>
      <c r="B33">
        <v>0.5304824088547595</v>
      </c>
    </row>
    <row r="34" spans="1:9" x14ac:dyDescent="0.25">
      <c r="A34" t="s">
        <v>14</v>
      </c>
      <c r="B34">
        <v>899.73204656567191</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2</v>
      </c>
      <c r="C39">
        <v>23570158.303276453</v>
      </c>
      <c r="D39">
        <v>11785079.151638227</v>
      </c>
      <c r="E39">
        <v>14.558147823023567</v>
      </c>
      <c r="F39">
        <v>9.3863421768750532E-5</v>
      </c>
    </row>
    <row r="40" spans="1:9" x14ac:dyDescent="0.25">
      <c r="A40" t="s">
        <v>18</v>
      </c>
      <c r="B40">
        <v>22</v>
      </c>
      <c r="C40">
        <v>17809390.623579551</v>
      </c>
      <c r="D40">
        <v>809517.75561725232</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465.35300906022928</v>
      </c>
      <c r="C44">
        <v>1149.9539938647674</v>
      </c>
      <c r="D44">
        <v>0.40467097948524883</v>
      </c>
      <c r="E44">
        <v>0.6896269708177869</v>
      </c>
      <c r="F44">
        <v>-1919.5056081445832</v>
      </c>
      <c r="G44">
        <v>2850.211626265042</v>
      </c>
      <c r="H44">
        <v>-1919.5056081445832</v>
      </c>
      <c r="I44">
        <v>2850.211626265042</v>
      </c>
    </row>
    <row r="45" spans="1:9" x14ac:dyDescent="0.25">
      <c r="A45" t="s">
        <v>6</v>
      </c>
      <c r="B45">
        <v>21.916841800365937</v>
      </c>
      <c r="C45">
        <v>4.1116161006028999</v>
      </c>
      <c r="D45">
        <v>5.3304689115192918</v>
      </c>
      <c r="E45">
        <v>2.3757418394622628E-5</v>
      </c>
      <c r="F45">
        <v>13.389871903765012</v>
      </c>
      <c r="G45">
        <v>30.443811696966861</v>
      </c>
      <c r="H45">
        <v>13.389871903765012</v>
      </c>
      <c r="I45">
        <v>30.443811696966861</v>
      </c>
    </row>
    <row r="46" spans="1:9" ht="15.75" thickBot="1" x14ac:dyDescent="0.3">
      <c r="A46" s="2" t="s">
        <v>7</v>
      </c>
      <c r="B46" s="2">
        <v>12.183050335993427</v>
      </c>
      <c r="C46" s="2">
        <v>51.061505941182581</v>
      </c>
      <c r="D46" s="2">
        <v>0.23859559391035204</v>
      </c>
      <c r="E46" s="2">
        <v>0.8136276423099722</v>
      </c>
      <c r="F46" s="2">
        <v>-93.712031642046526</v>
      </c>
      <c r="G46" s="2">
        <v>118.07813231403338</v>
      </c>
      <c r="H46" s="2">
        <v>-93.712031642046526</v>
      </c>
      <c r="I46" s="2">
        <v>118.07813231403338</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213D-982F-4F9B-8076-252EACFD2BB7}">
  <dimension ref="A1:P52"/>
  <sheetViews>
    <sheetView topLeftCell="H5" zoomScale="115" zoomScaleNormal="115" workbookViewId="0">
      <selection activeCell="L5" sqref="L5"/>
    </sheetView>
  </sheetViews>
  <sheetFormatPr defaultRowHeight="15" x14ac:dyDescent="0.25"/>
  <cols>
    <col min="1" max="1" width="16.28515625" customWidth="1"/>
    <col min="3" max="3" width="14" bestFit="1" customWidth="1"/>
    <col min="11" max="11" width="13.5703125" customWidth="1"/>
    <col min="12" max="12" width="10" bestFit="1" customWidth="1"/>
    <col min="14" max="14" width="12.7109375" bestFit="1" customWidth="1"/>
    <col min="17" max="17" width="12.7109375" bestFit="1" customWidth="1"/>
  </cols>
  <sheetData>
    <row r="1" spans="1:16" x14ac:dyDescent="0.25">
      <c r="A1" t="s">
        <v>0</v>
      </c>
      <c r="B1" s="12" t="s">
        <v>6</v>
      </c>
      <c r="C1" s="12" t="s">
        <v>3</v>
      </c>
      <c r="D1" s="12" t="s">
        <v>2</v>
      </c>
      <c r="E1" s="12" t="s">
        <v>4</v>
      </c>
      <c r="F1" t="s">
        <v>1</v>
      </c>
      <c r="G1" t="s">
        <v>5</v>
      </c>
      <c r="H1" t="s">
        <v>7</v>
      </c>
      <c r="I1" t="s">
        <v>8</v>
      </c>
      <c r="K1" t="s">
        <v>61</v>
      </c>
      <c r="L1" t="s">
        <v>51</v>
      </c>
      <c r="M1" t="s">
        <v>66</v>
      </c>
      <c r="N1" t="s">
        <v>53</v>
      </c>
    </row>
    <row r="2" spans="1:16" x14ac:dyDescent="0.25">
      <c r="A2">
        <v>3669.88</v>
      </c>
      <c r="B2" s="12">
        <v>74.86</v>
      </c>
      <c r="C2" s="12">
        <v>4582.8999999999996</v>
      </c>
      <c r="D2" s="12">
        <v>74065.100000000006</v>
      </c>
      <c r="E2" s="12">
        <v>2.5099999999999998</v>
      </c>
      <c r="F2">
        <v>43.1</v>
      </c>
      <c r="G2">
        <v>0.34</v>
      </c>
      <c r="H2">
        <v>15.05</v>
      </c>
      <c r="I2">
        <v>4.9000000000000004</v>
      </c>
      <c r="K2">
        <v>4119349.13627906</v>
      </c>
      <c r="L2">
        <f>C40</f>
        <v>3225836.8131118864</v>
      </c>
      <c r="M2">
        <f>(K2-L2)/4</f>
        <v>223378.08079179341</v>
      </c>
      <c r="N2">
        <v>4</v>
      </c>
    </row>
    <row r="3" spans="1:16" x14ac:dyDescent="0.25">
      <c r="A3">
        <v>3473.95</v>
      </c>
      <c r="B3" s="12">
        <v>107.32</v>
      </c>
      <c r="C3" s="12">
        <v>5539.8</v>
      </c>
      <c r="D3" s="12">
        <v>58117.3</v>
      </c>
      <c r="E3" s="12">
        <v>5.51</v>
      </c>
      <c r="F3">
        <v>108.13</v>
      </c>
      <c r="G3">
        <v>0.15</v>
      </c>
      <c r="H3">
        <v>19.97</v>
      </c>
      <c r="I3">
        <v>5.0999999999999996</v>
      </c>
      <c r="O3" t="s">
        <v>45</v>
      </c>
      <c r="P3">
        <f>M2/M5</f>
        <v>1.1079448526786748</v>
      </c>
    </row>
    <row r="4" spans="1:16" x14ac:dyDescent="0.25">
      <c r="A4">
        <v>2295.1</v>
      </c>
      <c r="B4" s="12">
        <v>96.75</v>
      </c>
      <c r="C4" s="12">
        <v>2950.4</v>
      </c>
      <c r="D4" s="12">
        <v>21118.5</v>
      </c>
      <c r="E4" s="12">
        <v>10.91</v>
      </c>
      <c r="F4">
        <v>13.82</v>
      </c>
      <c r="G4">
        <v>-0.72</v>
      </c>
      <c r="H4">
        <v>17.34</v>
      </c>
      <c r="I4">
        <v>2.9</v>
      </c>
      <c r="K4" t="s">
        <v>48</v>
      </c>
      <c r="L4" t="s">
        <v>43</v>
      </c>
      <c r="M4" t="s">
        <v>44</v>
      </c>
    </row>
    <row r="5" spans="1:16" x14ac:dyDescent="0.25">
      <c r="A5">
        <v>4675.5600000000004</v>
      </c>
      <c r="B5" s="12">
        <v>195.12</v>
      </c>
      <c r="C5" s="12">
        <v>2243.1</v>
      </c>
      <c r="D5" s="12">
        <v>68521.3</v>
      </c>
      <c r="E5" s="12">
        <v>8.27</v>
      </c>
      <c r="F5">
        <v>186.18</v>
      </c>
      <c r="G5">
        <v>0.17</v>
      </c>
      <c r="H5">
        <v>13.4</v>
      </c>
      <c r="I5">
        <v>3.4</v>
      </c>
      <c r="K5">
        <f>L2</f>
        <v>3225836.8131118864</v>
      </c>
      <c r="L5">
        <f>25-8-1</f>
        <v>16</v>
      </c>
      <c r="M5">
        <f>K5/L5</f>
        <v>201614.8008194929</v>
      </c>
      <c r="O5" t="s">
        <v>46</v>
      </c>
      <c r="P5" s="5">
        <f>_xlfn.F.DIST.RT(P3,N2,L5)</f>
        <v>0.38681854021581508</v>
      </c>
    </row>
    <row r="6" spans="1:16" x14ac:dyDescent="0.25">
      <c r="A6">
        <v>6125.96</v>
      </c>
      <c r="B6" s="12">
        <v>180.44</v>
      </c>
      <c r="C6" s="12">
        <v>7747.1</v>
      </c>
      <c r="D6" s="12">
        <v>57805.1</v>
      </c>
      <c r="E6" s="12">
        <v>9.15</v>
      </c>
      <c r="F6">
        <v>161.79</v>
      </c>
      <c r="G6">
        <v>0.5</v>
      </c>
      <c r="H6">
        <v>17.64</v>
      </c>
      <c r="I6">
        <v>4.5999999999999996</v>
      </c>
    </row>
    <row r="7" spans="1:16" x14ac:dyDescent="0.25">
      <c r="A7">
        <v>2134.94</v>
      </c>
      <c r="B7" s="12">
        <v>104.88</v>
      </c>
      <c r="C7" s="12">
        <v>402.4</v>
      </c>
      <c r="D7" s="12">
        <v>37806.9</v>
      </c>
      <c r="E7" s="12">
        <v>5.51</v>
      </c>
      <c r="F7">
        <v>8.94</v>
      </c>
      <c r="G7">
        <v>0.15</v>
      </c>
      <c r="H7">
        <v>16.22</v>
      </c>
      <c r="I7">
        <v>4.5</v>
      </c>
    </row>
    <row r="8" spans="1:16" x14ac:dyDescent="0.25">
      <c r="A8">
        <v>5031.66</v>
      </c>
      <c r="B8" s="12">
        <v>256.10000000000002</v>
      </c>
      <c r="C8" s="12">
        <v>3140.6</v>
      </c>
      <c r="D8" s="12">
        <v>50935.3</v>
      </c>
      <c r="E8" s="12">
        <v>8.5399999999999991</v>
      </c>
      <c r="F8">
        <v>365.04</v>
      </c>
      <c r="G8">
        <v>0.55000000000000004</v>
      </c>
      <c r="H8">
        <v>18.8</v>
      </c>
      <c r="I8">
        <v>4.5999999999999996</v>
      </c>
    </row>
    <row r="9" spans="1:16" x14ac:dyDescent="0.25">
      <c r="A9">
        <v>3367.45</v>
      </c>
      <c r="B9" s="12">
        <v>126.83</v>
      </c>
      <c r="C9" s="12">
        <v>2086.1999999999998</v>
      </c>
      <c r="D9" s="12">
        <v>35602.1</v>
      </c>
      <c r="E9" s="12">
        <v>7.07</v>
      </c>
      <c r="F9">
        <v>220.32</v>
      </c>
      <c r="G9">
        <v>-0.49</v>
      </c>
      <c r="H9">
        <v>19.86</v>
      </c>
      <c r="I9">
        <v>2.2999999999999998</v>
      </c>
    </row>
    <row r="10" spans="1:16" x14ac:dyDescent="0.25">
      <c r="A10">
        <v>6519.45</v>
      </c>
      <c r="B10" s="12">
        <v>203.25</v>
      </c>
      <c r="C10" s="12">
        <v>8846.2000000000007</v>
      </c>
      <c r="D10" s="12">
        <v>46176.800000000003</v>
      </c>
      <c r="E10" s="12">
        <v>12.54</v>
      </c>
      <c r="F10">
        <v>127.64</v>
      </c>
      <c r="G10">
        <v>1.24</v>
      </c>
      <c r="H10">
        <v>17.420000000000002</v>
      </c>
      <c r="I10">
        <v>4.9000000000000004</v>
      </c>
    </row>
    <row r="11" spans="1:16" x14ac:dyDescent="0.25">
      <c r="A11">
        <v>4876.37</v>
      </c>
      <c r="B11" s="12">
        <v>119.51</v>
      </c>
      <c r="C11" s="12">
        <v>5673.1</v>
      </c>
      <c r="D11" s="12">
        <v>42053.2</v>
      </c>
      <c r="E11" s="12">
        <v>8.85</v>
      </c>
      <c r="F11">
        <v>105.69</v>
      </c>
      <c r="G11">
        <v>0.31</v>
      </c>
      <c r="H11">
        <v>21.41</v>
      </c>
      <c r="I11">
        <v>2.8</v>
      </c>
    </row>
    <row r="12" spans="1:16" x14ac:dyDescent="0.25">
      <c r="A12">
        <v>2468.27</v>
      </c>
      <c r="B12" s="12">
        <v>116.26</v>
      </c>
      <c r="C12" s="12">
        <v>2761.8</v>
      </c>
      <c r="D12" s="12">
        <v>36829.699999999997</v>
      </c>
      <c r="E12" s="12">
        <v>5.38</v>
      </c>
      <c r="F12">
        <v>57.72</v>
      </c>
      <c r="G12">
        <v>0.37</v>
      </c>
      <c r="H12">
        <v>16.32</v>
      </c>
      <c r="I12">
        <v>3.1</v>
      </c>
    </row>
    <row r="13" spans="1:16" x14ac:dyDescent="0.25">
      <c r="A13">
        <v>2533.31</v>
      </c>
      <c r="B13" s="12">
        <v>142.28</v>
      </c>
      <c r="C13" s="12">
        <v>1991.8</v>
      </c>
      <c r="D13" s="12">
        <v>33612.699999999997</v>
      </c>
      <c r="E13" s="12">
        <v>5.43</v>
      </c>
      <c r="F13">
        <v>23.58</v>
      </c>
      <c r="G13">
        <v>-0.65</v>
      </c>
      <c r="H13">
        <v>14.51</v>
      </c>
      <c r="I13">
        <v>4.2</v>
      </c>
    </row>
    <row r="14" spans="1:16" x14ac:dyDescent="0.25">
      <c r="A14">
        <v>2408.11</v>
      </c>
      <c r="B14" s="12">
        <v>89.43</v>
      </c>
      <c r="C14" s="12">
        <v>1971.5</v>
      </c>
      <c r="D14" s="12">
        <v>21412.799999999999</v>
      </c>
      <c r="E14" s="12">
        <v>8.48</v>
      </c>
      <c r="F14">
        <v>13.82</v>
      </c>
      <c r="G14">
        <v>0.64</v>
      </c>
      <c r="H14">
        <v>19.350000000000001</v>
      </c>
      <c r="I14">
        <v>4.3</v>
      </c>
    </row>
    <row r="15" spans="1:16" x14ac:dyDescent="0.25">
      <c r="A15">
        <v>2337.38</v>
      </c>
      <c r="B15" s="12">
        <v>84.55</v>
      </c>
      <c r="C15" s="12">
        <v>1737.4</v>
      </c>
      <c r="D15" s="12">
        <v>20416.900000000001</v>
      </c>
      <c r="E15" s="12">
        <v>7.8</v>
      </c>
      <c r="F15">
        <v>13.82</v>
      </c>
      <c r="G15">
        <v>1.01</v>
      </c>
      <c r="H15">
        <v>20.02</v>
      </c>
      <c r="I15">
        <v>4.2</v>
      </c>
    </row>
    <row r="16" spans="1:16" x14ac:dyDescent="0.25">
      <c r="A16">
        <v>4586.95</v>
      </c>
      <c r="B16" s="12">
        <v>119.51</v>
      </c>
      <c r="C16" s="12">
        <v>10694.2</v>
      </c>
      <c r="D16" s="12">
        <v>36272</v>
      </c>
      <c r="E16" s="12">
        <v>10.34</v>
      </c>
      <c r="F16">
        <v>86.99</v>
      </c>
      <c r="G16">
        <v>0.11</v>
      </c>
      <c r="H16">
        <v>15.26</v>
      </c>
      <c r="I16">
        <v>5.5</v>
      </c>
    </row>
    <row r="17" spans="1:9" x14ac:dyDescent="0.25">
      <c r="A17">
        <v>2729.24</v>
      </c>
      <c r="B17" s="12">
        <v>80.489999999999995</v>
      </c>
      <c r="C17" s="12">
        <v>8618.6</v>
      </c>
      <c r="D17" s="12">
        <v>23093.3</v>
      </c>
      <c r="E17" s="12">
        <v>5.15</v>
      </c>
      <c r="F17">
        <v>165.85</v>
      </c>
      <c r="G17">
        <v>0.04</v>
      </c>
      <c r="H17">
        <v>15.87</v>
      </c>
      <c r="I17">
        <v>3.6</v>
      </c>
    </row>
    <row r="18" spans="1:9" x14ac:dyDescent="0.25">
      <c r="A18">
        <v>3289.4</v>
      </c>
      <c r="B18" s="12">
        <v>136.58000000000001</v>
      </c>
      <c r="C18" s="12">
        <v>7747.9</v>
      </c>
      <c r="D18" s="12">
        <v>26878.6</v>
      </c>
      <c r="E18" s="12">
        <v>6.64</v>
      </c>
      <c r="F18">
        <v>116.26</v>
      </c>
      <c r="G18">
        <v>0.68</v>
      </c>
      <c r="H18">
        <v>7.81</v>
      </c>
      <c r="I18">
        <v>3.4</v>
      </c>
    </row>
    <row r="19" spans="1:9" x14ac:dyDescent="0.25">
      <c r="A19">
        <v>2800.78</v>
      </c>
      <c r="B19" s="12">
        <v>78.86</v>
      </c>
      <c r="C19" s="12">
        <v>4565.8</v>
      </c>
      <c r="D19" s="12">
        <v>39572</v>
      </c>
      <c r="E19" s="12">
        <v>5.45</v>
      </c>
      <c r="F19">
        <v>42.28</v>
      </c>
      <c r="G19">
        <v>0.66</v>
      </c>
      <c r="H19">
        <v>16</v>
      </c>
      <c r="I19">
        <v>4.2</v>
      </c>
    </row>
    <row r="20" spans="1:9" x14ac:dyDescent="0.25">
      <c r="A20">
        <v>3264.2</v>
      </c>
      <c r="B20" s="12">
        <v>136.58000000000001</v>
      </c>
      <c r="C20" s="12">
        <v>6022.7</v>
      </c>
      <c r="D20" s="12">
        <v>51866.1</v>
      </c>
      <c r="E20" s="12">
        <v>6.31</v>
      </c>
      <c r="F20">
        <v>52.84</v>
      </c>
      <c r="G20">
        <v>-0.1</v>
      </c>
      <c r="H20">
        <v>17.440000000000001</v>
      </c>
      <c r="I20">
        <v>3.6</v>
      </c>
    </row>
    <row r="21" spans="1:9" x14ac:dyDescent="0.25">
      <c r="A21">
        <v>3453.62</v>
      </c>
      <c r="B21" s="12">
        <v>138.21</v>
      </c>
      <c r="C21" s="12">
        <v>3721.1</v>
      </c>
      <c r="D21" s="12">
        <v>58749.8</v>
      </c>
      <c r="E21" s="12">
        <v>6.35</v>
      </c>
      <c r="F21">
        <v>165.04</v>
      </c>
      <c r="G21">
        <v>-0.03</v>
      </c>
      <c r="H21">
        <v>17.98</v>
      </c>
      <c r="I21">
        <v>3.1</v>
      </c>
    </row>
    <row r="22" spans="1:9" x14ac:dyDescent="0.25">
      <c r="A22">
        <v>1741.45</v>
      </c>
      <c r="B22" s="12">
        <v>75.61</v>
      </c>
      <c r="C22" s="12">
        <v>861</v>
      </c>
      <c r="D22" s="12">
        <v>23990.799999999999</v>
      </c>
      <c r="E22" s="12">
        <v>7.37</v>
      </c>
      <c r="F22">
        <v>10.57</v>
      </c>
      <c r="G22">
        <v>-1.63</v>
      </c>
      <c r="H22">
        <v>20.99</v>
      </c>
      <c r="I22">
        <v>1.6</v>
      </c>
    </row>
    <row r="23" spans="1:9" x14ac:dyDescent="0.25">
      <c r="A23">
        <v>2035.75</v>
      </c>
      <c r="B23" s="12">
        <v>102.44</v>
      </c>
      <c r="C23" s="12">
        <v>3571.5</v>
      </c>
      <c r="D23" s="12">
        <v>25694.9</v>
      </c>
      <c r="E23" s="12">
        <v>8.39</v>
      </c>
      <c r="F23">
        <v>13.82</v>
      </c>
      <c r="G23">
        <v>-0.43</v>
      </c>
      <c r="H23">
        <v>21.66</v>
      </c>
      <c r="I23">
        <v>3.4</v>
      </c>
    </row>
    <row r="24" spans="1:9" x14ac:dyDescent="0.25">
      <c r="A24">
        <v>1578</v>
      </c>
      <c r="B24" s="12">
        <v>76.42</v>
      </c>
      <c r="C24" s="12">
        <v>2845.5</v>
      </c>
      <c r="D24" s="12">
        <v>23736.3</v>
      </c>
      <c r="E24" s="12">
        <v>5.15</v>
      </c>
      <c r="F24">
        <v>8.1300000000000008</v>
      </c>
      <c r="G24">
        <v>0.04</v>
      </c>
      <c r="H24">
        <v>21.46</v>
      </c>
      <c r="I24">
        <v>2.7</v>
      </c>
    </row>
    <row r="25" spans="1:9" x14ac:dyDescent="0.25">
      <c r="A25">
        <v>4167.4399999999996</v>
      </c>
      <c r="B25" s="12">
        <v>136.58000000000001</v>
      </c>
      <c r="C25" s="12">
        <v>5060.1000000000004</v>
      </c>
      <c r="D25" s="12">
        <v>34314.300000000003</v>
      </c>
      <c r="E25" s="12">
        <v>12.88</v>
      </c>
      <c r="F25">
        <v>58.44</v>
      </c>
      <c r="G25">
        <v>0.22</v>
      </c>
      <c r="H25">
        <v>24.78</v>
      </c>
      <c r="I25">
        <v>2.8</v>
      </c>
    </row>
    <row r="26" spans="1:9" x14ac:dyDescent="0.25">
      <c r="A26">
        <v>2799.97</v>
      </c>
      <c r="B26" s="12">
        <v>88.62</v>
      </c>
      <c r="C26" s="12">
        <v>3552</v>
      </c>
      <c r="D26" s="12">
        <v>22809.5</v>
      </c>
      <c r="E26" s="12">
        <v>9.14</v>
      </c>
      <c r="F26">
        <v>21.14</v>
      </c>
      <c r="G26">
        <v>-0.74</v>
      </c>
      <c r="H26">
        <v>24.96</v>
      </c>
      <c r="I26">
        <v>3.9</v>
      </c>
    </row>
    <row r="28" spans="1:9" x14ac:dyDescent="0.25">
      <c r="A28" t="s">
        <v>9</v>
      </c>
    </row>
    <row r="29" spans="1:9" ht="15.75" thickBot="1" x14ac:dyDescent="0.3"/>
    <row r="30" spans="1:9" x14ac:dyDescent="0.25">
      <c r="A30" s="4" t="s">
        <v>10</v>
      </c>
      <c r="B30" s="4"/>
    </row>
    <row r="31" spans="1:9" x14ac:dyDescent="0.25">
      <c r="A31" t="s">
        <v>11</v>
      </c>
      <c r="B31">
        <v>0.96023055903113019</v>
      </c>
    </row>
    <row r="32" spans="1:9" x14ac:dyDescent="0.25">
      <c r="A32" t="s">
        <v>12</v>
      </c>
      <c r="B32">
        <v>0.92204272649723673</v>
      </c>
    </row>
    <row r="33" spans="1:9" x14ac:dyDescent="0.25">
      <c r="A33" t="s">
        <v>13</v>
      </c>
      <c r="B33">
        <v>0.88306408974585504</v>
      </c>
    </row>
    <row r="34" spans="1:9" x14ac:dyDescent="0.25">
      <c r="A34" t="s">
        <v>14</v>
      </c>
      <c r="B34">
        <v>449.01536813286572</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8</v>
      </c>
      <c r="C39">
        <v>38153712.113744117</v>
      </c>
      <c r="D39">
        <v>4769214.0142180147</v>
      </c>
      <c r="E39">
        <v>23.65507886738893</v>
      </c>
      <c r="F39">
        <v>1.8149445080306584E-7</v>
      </c>
    </row>
    <row r="40" spans="1:9" x14ac:dyDescent="0.25">
      <c r="A40" t="s">
        <v>18</v>
      </c>
      <c r="B40">
        <v>16</v>
      </c>
      <c r="C40" s="16">
        <v>3225836.8131118864</v>
      </c>
      <c r="D40">
        <v>201614.8008194929</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-1507.8357777801173</v>
      </c>
      <c r="C44">
        <v>778.60841457855213</v>
      </c>
      <c r="D44">
        <v>-1.9365778092653723</v>
      </c>
      <c r="E44">
        <v>7.0662983165648272E-2</v>
      </c>
      <c r="F44">
        <v>-3158.4118818634497</v>
      </c>
      <c r="G44">
        <v>142.74032630321517</v>
      </c>
      <c r="H44">
        <v>-3158.4118818634497</v>
      </c>
      <c r="I44">
        <v>142.74032630321517</v>
      </c>
    </row>
    <row r="45" spans="1:9" x14ac:dyDescent="0.25">
      <c r="A45" s="12" t="s">
        <v>6</v>
      </c>
      <c r="B45">
        <v>5.549744788437029</v>
      </c>
      <c r="C45">
        <v>4.77544308204084</v>
      </c>
      <c r="D45">
        <v>1.162142379899392</v>
      </c>
      <c r="E45">
        <v>0.26222022774730902</v>
      </c>
      <c r="F45">
        <v>-4.5737423073108294</v>
      </c>
      <c r="G45">
        <v>15.673231884184887</v>
      </c>
      <c r="H45">
        <v>-4.5737423073108294</v>
      </c>
      <c r="I45">
        <v>15.673231884184887</v>
      </c>
    </row>
    <row r="46" spans="1:9" x14ac:dyDescent="0.25">
      <c r="A46" s="12" t="s">
        <v>3</v>
      </c>
      <c r="B46">
        <v>0.15098365871045819</v>
      </c>
      <c r="C46">
        <v>4.7106901691601297E-2</v>
      </c>
      <c r="D46">
        <v>3.2051281932935338</v>
      </c>
      <c r="E46">
        <v>5.5179142560371972E-3</v>
      </c>
      <c r="F46">
        <v>5.1121488184537892E-2</v>
      </c>
      <c r="G46">
        <v>0.25084582923637849</v>
      </c>
      <c r="H46">
        <v>5.1121488184537892E-2</v>
      </c>
      <c r="I46">
        <v>0.25084582923637849</v>
      </c>
    </row>
    <row r="47" spans="1:9" x14ac:dyDescent="0.25">
      <c r="A47" s="12" t="s">
        <v>2</v>
      </c>
      <c r="B47">
        <v>3.7205572167131447E-2</v>
      </c>
      <c r="C47">
        <v>8.2021598167310739E-3</v>
      </c>
      <c r="D47">
        <v>4.5360701325568078</v>
      </c>
      <c r="E47">
        <v>3.3743134261110552E-4</v>
      </c>
      <c r="F47">
        <v>1.9817770106583605E-2</v>
      </c>
      <c r="G47">
        <v>5.4593374227679292E-2</v>
      </c>
      <c r="H47">
        <v>1.9817770106583605E-2</v>
      </c>
      <c r="I47">
        <v>5.4593374227679292E-2</v>
      </c>
    </row>
    <row r="48" spans="1:9" x14ac:dyDescent="0.25">
      <c r="A48" s="12" t="s">
        <v>4</v>
      </c>
      <c r="B48">
        <v>199.04018212735821</v>
      </c>
      <c r="C48">
        <v>67.02914901650098</v>
      </c>
      <c r="D48">
        <v>2.9694570951267671</v>
      </c>
      <c r="E48">
        <v>9.0369234553500915E-3</v>
      </c>
      <c r="F48">
        <v>56.944733924986593</v>
      </c>
      <c r="G48">
        <v>341.13563032972979</v>
      </c>
      <c r="H48">
        <v>56.944733924986593</v>
      </c>
      <c r="I48">
        <v>341.13563032972979</v>
      </c>
    </row>
    <row r="49" spans="1:9" x14ac:dyDescent="0.25">
      <c r="A49" t="s">
        <v>1</v>
      </c>
      <c r="B49">
        <v>2.0101369027184406</v>
      </c>
      <c r="C49">
        <v>1.9305144468374125</v>
      </c>
      <c r="D49">
        <v>1.0412441647414068</v>
      </c>
      <c r="E49" s="5">
        <v>0.31324133874061449</v>
      </c>
      <c r="F49">
        <v>-2.0823709033553799</v>
      </c>
      <c r="G49">
        <v>6.1026447087922611</v>
      </c>
      <c r="H49">
        <v>-2.0823709033553799</v>
      </c>
      <c r="I49">
        <v>6.1026447087922611</v>
      </c>
    </row>
    <row r="50" spans="1:9" x14ac:dyDescent="0.25">
      <c r="A50" t="s">
        <v>5</v>
      </c>
      <c r="B50">
        <v>290.86657482851928</v>
      </c>
      <c r="C50">
        <v>186.77687255494493</v>
      </c>
      <c r="D50">
        <v>1.5572943847368139</v>
      </c>
      <c r="E50" s="5">
        <v>0.13895817060686258</v>
      </c>
      <c r="F50">
        <v>-105.0827070726815</v>
      </c>
      <c r="G50">
        <v>686.81585672972005</v>
      </c>
      <c r="H50">
        <v>-105.0827070726815</v>
      </c>
      <c r="I50">
        <v>686.81585672972005</v>
      </c>
    </row>
    <row r="51" spans="1:9" x14ac:dyDescent="0.25">
      <c r="A51" t="s">
        <v>7</v>
      </c>
      <c r="B51">
        <v>19.793893585583156</v>
      </c>
      <c r="C51">
        <v>33.675171436330615</v>
      </c>
      <c r="D51">
        <v>0.58778894780112156</v>
      </c>
      <c r="E51" s="5">
        <v>0.56487845007907356</v>
      </c>
      <c r="F51">
        <v>-51.594280794478358</v>
      </c>
      <c r="G51">
        <v>91.182067965644677</v>
      </c>
      <c r="H51">
        <v>-51.594280794478358</v>
      </c>
      <c r="I51">
        <v>91.182067965644677</v>
      </c>
    </row>
    <row r="52" spans="1:9" ht="15.75" thickBot="1" x14ac:dyDescent="0.3">
      <c r="A52" s="2" t="s">
        <v>8</v>
      </c>
      <c r="B52" s="2">
        <v>8.1890347093874691</v>
      </c>
      <c r="C52" s="2">
        <v>128.49846640514085</v>
      </c>
      <c r="D52" s="2">
        <v>6.3728657146524897E-2</v>
      </c>
      <c r="E52" s="6">
        <v>0.9499756855350403</v>
      </c>
      <c r="F52" s="2">
        <v>-264.21554516467506</v>
      </c>
      <c r="G52" s="2">
        <v>280.59361458344995</v>
      </c>
      <c r="H52" s="2">
        <v>-264.21554516467506</v>
      </c>
      <c r="I52" s="2">
        <v>280.59361458344995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1BEA-C697-4CAD-8162-17002785299E}">
  <dimension ref="A1:Q107"/>
  <sheetViews>
    <sheetView topLeftCell="A27" zoomScale="85" zoomScaleNormal="85" workbookViewId="0">
      <selection activeCell="I15" sqref="I15"/>
    </sheetView>
  </sheetViews>
  <sheetFormatPr defaultRowHeight="15" x14ac:dyDescent="0.25"/>
  <cols>
    <col min="1" max="1" width="19.42578125" customWidth="1"/>
    <col min="2" max="2" width="15" customWidth="1"/>
    <col min="3" max="3" width="13.7109375" bestFit="1" customWidth="1"/>
    <col min="4" max="4" width="10.5703125" bestFit="1" customWidth="1"/>
    <col min="5" max="5" width="9.42578125" bestFit="1" customWidth="1"/>
    <col min="6" max="6" width="12.28515625" bestFit="1" customWidth="1"/>
    <col min="7" max="7" width="12.85546875" bestFit="1" customWidth="1"/>
    <col min="8" max="8" width="12.28515625" bestFit="1" customWidth="1"/>
    <col min="9" max="9" width="11.28515625" bestFit="1" customWidth="1"/>
    <col min="11" max="12" width="13.28515625" bestFit="1" customWidth="1"/>
    <col min="13" max="13" width="11.5703125" bestFit="1" customWidth="1"/>
  </cols>
  <sheetData>
    <row r="1" spans="1:17" x14ac:dyDescent="0.25">
      <c r="A1" t="s">
        <v>0</v>
      </c>
      <c r="B1" t="s">
        <v>6</v>
      </c>
      <c r="C1" t="s">
        <v>3</v>
      </c>
      <c r="D1" t="s">
        <v>2</v>
      </c>
      <c r="E1" t="s">
        <v>4</v>
      </c>
      <c r="F1" t="s">
        <v>1</v>
      </c>
      <c r="G1" t="s">
        <v>5</v>
      </c>
      <c r="K1" t="s">
        <v>70</v>
      </c>
      <c r="L1" t="s">
        <v>73</v>
      </c>
      <c r="M1" t="s">
        <v>74</v>
      </c>
    </row>
    <row r="2" spans="1:17" x14ac:dyDescent="0.25">
      <c r="A2">
        <v>3669.88</v>
      </c>
      <c r="B2">
        <v>74.86</v>
      </c>
      <c r="C2">
        <v>4582.8999999999996</v>
      </c>
      <c r="D2">
        <v>74065.100000000006</v>
      </c>
      <c r="E2">
        <v>2.5099999999999998</v>
      </c>
      <c r="F2">
        <v>43.1</v>
      </c>
      <c r="G2">
        <v>0.34</v>
      </c>
      <c r="K2">
        <v>4119349.1362790568</v>
      </c>
      <c r="L2" s="15">
        <f>C40</f>
        <v>3297222.8701811242</v>
      </c>
      <c r="M2" s="15">
        <f>(K2-L2)/3</f>
        <v>274042.08869931084</v>
      </c>
    </row>
    <row r="3" spans="1:17" x14ac:dyDescent="0.25">
      <c r="A3">
        <v>3473.95</v>
      </c>
      <c r="B3">
        <v>107.32</v>
      </c>
      <c r="C3">
        <v>5539.8</v>
      </c>
      <c r="D3">
        <v>58117.3</v>
      </c>
      <c r="E3">
        <v>5.51</v>
      </c>
      <c r="F3">
        <v>108.13</v>
      </c>
      <c r="G3">
        <v>0.15</v>
      </c>
      <c r="O3" t="s">
        <v>45</v>
      </c>
      <c r="P3" s="15">
        <f>M2/M5</f>
        <v>1.49603402341942</v>
      </c>
    </row>
    <row r="4" spans="1:17" x14ac:dyDescent="0.25">
      <c r="A4">
        <v>2295.1</v>
      </c>
      <c r="B4">
        <v>96.75</v>
      </c>
      <c r="C4">
        <v>2950.4</v>
      </c>
      <c r="D4">
        <v>21118.5</v>
      </c>
      <c r="E4">
        <v>10.91</v>
      </c>
      <c r="F4">
        <v>13.82</v>
      </c>
      <c r="G4">
        <v>-0.72</v>
      </c>
      <c r="K4" t="s">
        <v>73</v>
      </c>
      <c r="L4" t="s">
        <v>43</v>
      </c>
      <c r="M4" t="s">
        <v>44</v>
      </c>
    </row>
    <row r="5" spans="1:17" x14ac:dyDescent="0.25">
      <c r="A5">
        <v>4675.5600000000004</v>
      </c>
      <c r="B5">
        <v>195.12</v>
      </c>
      <c r="C5">
        <v>2243.1</v>
      </c>
      <c r="D5">
        <v>68521.3</v>
      </c>
      <c r="E5">
        <v>8.27</v>
      </c>
      <c r="F5">
        <v>186.18</v>
      </c>
      <c r="G5">
        <v>0.17</v>
      </c>
      <c r="K5" s="15">
        <f>L2</f>
        <v>3297222.8701811242</v>
      </c>
      <c r="L5">
        <f>25-6-1</f>
        <v>18</v>
      </c>
      <c r="M5" s="15">
        <f>K5/L5</f>
        <v>183179.04834339579</v>
      </c>
      <c r="O5" t="s">
        <v>46</v>
      </c>
      <c r="P5" s="5">
        <f>_xlfn.F.DIST.RT(P3,3,L5)</f>
        <v>0.24943465131122916</v>
      </c>
    </row>
    <row r="6" spans="1:17" x14ac:dyDescent="0.25">
      <c r="A6">
        <v>6125.96</v>
      </c>
      <c r="B6">
        <v>180.44</v>
      </c>
      <c r="C6">
        <v>7747.1</v>
      </c>
      <c r="D6">
        <v>57805.1</v>
      </c>
      <c r="E6">
        <v>9.15</v>
      </c>
      <c r="F6">
        <v>161.79</v>
      </c>
      <c r="G6">
        <v>0.5</v>
      </c>
    </row>
    <row r="7" spans="1:17" x14ac:dyDescent="0.25">
      <c r="A7">
        <v>2134.94</v>
      </c>
      <c r="B7">
        <v>104.88</v>
      </c>
      <c r="C7">
        <v>402.4</v>
      </c>
      <c r="D7">
        <v>37806.9</v>
      </c>
      <c r="E7">
        <v>5.51</v>
      </c>
      <c r="F7">
        <v>8.94</v>
      </c>
      <c r="G7">
        <v>0.15</v>
      </c>
    </row>
    <row r="8" spans="1:17" x14ac:dyDescent="0.25">
      <c r="A8">
        <v>5031.66</v>
      </c>
      <c r="B8">
        <v>256.10000000000002</v>
      </c>
      <c r="C8">
        <v>3140.6</v>
      </c>
      <c r="D8">
        <v>50935.3</v>
      </c>
      <c r="E8">
        <v>8.5399999999999991</v>
      </c>
      <c r="F8">
        <v>365.04</v>
      </c>
      <c r="G8">
        <v>0.55000000000000004</v>
      </c>
    </row>
    <row r="9" spans="1:17" x14ac:dyDescent="0.25">
      <c r="A9">
        <v>3367.45</v>
      </c>
      <c r="B9">
        <v>126.83</v>
      </c>
      <c r="C9">
        <v>2086.1999999999998</v>
      </c>
      <c r="D9">
        <v>35602.1</v>
      </c>
      <c r="E9">
        <v>7.07</v>
      </c>
      <c r="F9">
        <v>220.32</v>
      </c>
      <c r="G9">
        <v>-0.49</v>
      </c>
    </row>
    <row r="10" spans="1:17" x14ac:dyDescent="0.25">
      <c r="A10">
        <v>6519.45</v>
      </c>
      <c r="B10">
        <v>203.25</v>
      </c>
      <c r="C10">
        <v>8846.2000000000007</v>
      </c>
      <c r="D10">
        <v>46176.800000000003</v>
      </c>
      <c r="E10">
        <v>12.54</v>
      </c>
      <c r="F10">
        <v>127.64</v>
      </c>
      <c r="G10">
        <v>1.24</v>
      </c>
    </row>
    <row r="11" spans="1:17" x14ac:dyDescent="0.25">
      <c r="A11">
        <v>4876.37</v>
      </c>
      <c r="B11">
        <v>119.51</v>
      </c>
      <c r="C11">
        <v>5673.1</v>
      </c>
      <c r="D11">
        <v>42053.2</v>
      </c>
      <c r="E11">
        <v>8.85</v>
      </c>
      <c r="F11">
        <v>105.69</v>
      </c>
      <c r="G11">
        <v>0.31</v>
      </c>
    </row>
    <row r="12" spans="1:17" x14ac:dyDescent="0.25">
      <c r="A12">
        <v>2468.27</v>
      </c>
      <c r="B12">
        <v>116.26</v>
      </c>
      <c r="C12">
        <v>2761.8</v>
      </c>
      <c r="D12">
        <v>36829.699999999997</v>
      </c>
      <c r="E12">
        <v>5.38</v>
      </c>
      <c r="F12">
        <v>57.72</v>
      </c>
      <c r="G12">
        <v>0.37</v>
      </c>
    </row>
    <row r="13" spans="1:17" x14ac:dyDescent="0.25">
      <c r="A13">
        <v>2533.31</v>
      </c>
      <c r="B13">
        <v>142.28</v>
      </c>
      <c r="C13">
        <v>1991.8</v>
      </c>
      <c r="D13">
        <v>33612.699999999997</v>
      </c>
      <c r="E13">
        <v>5.43</v>
      </c>
      <c r="F13">
        <v>23.58</v>
      </c>
      <c r="G13">
        <v>-0.65</v>
      </c>
    </row>
    <row r="14" spans="1:17" x14ac:dyDescent="0.25">
      <c r="A14">
        <v>2408.11</v>
      </c>
      <c r="B14">
        <v>89.43</v>
      </c>
      <c r="C14">
        <v>1971.5</v>
      </c>
      <c r="D14">
        <v>21412.799999999999</v>
      </c>
      <c r="E14">
        <v>8.48</v>
      </c>
      <c r="F14">
        <v>13.82</v>
      </c>
      <c r="G14">
        <v>0.64</v>
      </c>
      <c r="Q14" s="25"/>
    </row>
    <row r="15" spans="1:17" x14ac:dyDescent="0.25">
      <c r="A15">
        <v>2337.38</v>
      </c>
      <c r="B15">
        <v>84.55</v>
      </c>
      <c r="C15">
        <v>1737.4</v>
      </c>
      <c r="D15">
        <v>20416.900000000001</v>
      </c>
      <c r="E15">
        <v>7.8</v>
      </c>
      <c r="F15">
        <v>13.82</v>
      </c>
      <c r="G15">
        <v>1.01</v>
      </c>
    </row>
    <row r="16" spans="1:17" x14ac:dyDescent="0.25">
      <c r="A16">
        <v>4586.95</v>
      </c>
      <c r="B16">
        <v>119.51</v>
      </c>
      <c r="C16">
        <v>10694.2</v>
      </c>
      <c r="D16">
        <v>36272</v>
      </c>
      <c r="E16">
        <v>10.34</v>
      </c>
      <c r="F16">
        <v>86.99</v>
      </c>
      <c r="G16">
        <v>0.11</v>
      </c>
    </row>
    <row r="17" spans="1:7" x14ac:dyDescent="0.25">
      <c r="A17">
        <v>2729.24</v>
      </c>
      <c r="B17">
        <v>80.489999999999995</v>
      </c>
      <c r="C17">
        <v>8618.6</v>
      </c>
      <c r="D17">
        <v>23093.3</v>
      </c>
      <c r="E17">
        <v>5.15</v>
      </c>
      <c r="F17">
        <v>165.85</v>
      </c>
      <c r="G17">
        <v>0.04</v>
      </c>
    </row>
    <row r="18" spans="1:7" x14ac:dyDescent="0.25">
      <c r="A18">
        <v>3289.4</v>
      </c>
      <c r="B18">
        <v>136.58000000000001</v>
      </c>
      <c r="C18">
        <v>7747.9</v>
      </c>
      <c r="D18">
        <v>26878.6</v>
      </c>
      <c r="E18">
        <v>6.64</v>
      </c>
      <c r="F18">
        <v>116.26</v>
      </c>
      <c r="G18">
        <v>0.68</v>
      </c>
    </row>
    <row r="19" spans="1:7" x14ac:dyDescent="0.25">
      <c r="A19">
        <v>2800.78</v>
      </c>
      <c r="B19">
        <v>78.86</v>
      </c>
      <c r="C19">
        <v>4565.8</v>
      </c>
      <c r="D19">
        <v>39572</v>
      </c>
      <c r="E19">
        <v>5.45</v>
      </c>
      <c r="F19">
        <v>42.28</v>
      </c>
      <c r="G19">
        <v>0.66</v>
      </c>
    </row>
    <row r="20" spans="1:7" x14ac:dyDescent="0.25">
      <c r="A20">
        <v>3264.2</v>
      </c>
      <c r="B20">
        <v>136.58000000000001</v>
      </c>
      <c r="C20">
        <v>6022.7</v>
      </c>
      <c r="D20">
        <v>51866.1</v>
      </c>
      <c r="E20">
        <v>6.31</v>
      </c>
      <c r="F20">
        <v>52.84</v>
      </c>
      <c r="G20">
        <v>-0.1</v>
      </c>
    </row>
    <row r="21" spans="1:7" x14ac:dyDescent="0.25">
      <c r="A21">
        <v>3453.62</v>
      </c>
      <c r="B21">
        <v>138.21</v>
      </c>
      <c r="C21">
        <v>3721.1</v>
      </c>
      <c r="D21">
        <v>58749.8</v>
      </c>
      <c r="E21">
        <v>6.35</v>
      </c>
      <c r="F21">
        <v>165.04</v>
      </c>
      <c r="G21">
        <v>-0.03</v>
      </c>
    </row>
    <row r="22" spans="1:7" x14ac:dyDescent="0.25">
      <c r="A22">
        <v>1741.45</v>
      </c>
      <c r="B22">
        <v>75.61</v>
      </c>
      <c r="C22">
        <v>861</v>
      </c>
      <c r="D22">
        <v>23990.799999999999</v>
      </c>
      <c r="E22">
        <v>7.37</v>
      </c>
      <c r="F22">
        <v>10.57</v>
      </c>
      <c r="G22">
        <v>-1.63</v>
      </c>
    </row>
    <row r="23" spans="1:7" x14ac:dyDescent="0.25">
      <c r="A23">
        <v>2035.75</v>
      </c>
      <c r="B23">
        <v>102.44</v>
      </c>
      <c r="C23">
        <v>3571.5</v>
      </c>
      <c r="D23">
        <v>25694.9</v>
      </c>
      <c r="E23">
        <v>8.39</v>
      </c>
      <c r="F23">
        <v>13.82</v>
      </c>
      <c r="G23">
        <v>-0.43</v>
      </c>
    </row>
    <row r="24" spans="1:7" x14ac:dyDescent="0.25">
      <c r="A24">
        <v>1578</v>
      </c>
      <c r="B24">
        <v>76.42</v>
      </c>
      <c r="C24">
        <v>2845.5</v>
      </c>
      <c r="D24">
        <v>23736.3</v>
      </c>
      <c r="E24">
        <v>5.15</v>
      </c>
      <c r="F24">
        <v>8.1300000000000008</v>
      </c>
      <c r="G24">
        <v>0.04</v>
      </c>
    </row>
    <row r="25" spans="1:7" x14ac:dyDescent="0.25">
      <c r="A25">
        <v>4167.4399999999996</v>
      </c>
      <c r="B25">
        <v>136.58000000000001</v>
      </c>
      <c r="C25">
        <v>5060.1000000000004</v>
      </c>
      <c r="D25">
        <v>34314.300000000003</v>
      </c>
      <c r="E25">
        <v>12.88</v>
      </c>
      <c r="F25">
        <v>58.44</v>
      </c>
      <c r="G25">
        <v>0.22</v>
      </c>
    </row>
    <row r="26" spans="1:7" x14ac:dyDescent="0.25">
      <c r="A26">
        <v>2799.97</v>
      </c>
      <c r="B26">
        <v>88.62</v>
      </c>
      <c r="C26">
        <v>3552</v>
      </c>
      <c r="D26">
        <v>22809.5</v>
      </c>
      <c r="E26">
        <v>9.14</v>
      </c>
      <c r="F26">
        <v>21.14</v>
      </c>
      <c r="G26">
        <v>-0.74</v>
      </c>
    </row>
    <row r="28" spans="1:7" x14ac:dyDescent="0.25">
      <c r="A28" t="s">
        <v>9</v>
      </c>
    </row>
    <row r="29" spans="1:7" ht="15.75" thickBot="1" x14ac:dyDescent="0.3"/>
    <row r="30" spans="1:7" x14ac:dyDescent="0.25">
      <c r="A30" s="4" t="s">
        <v>10</v>
      </c>
      <c r="B30" s="4"/>
    </row>
    <row r="31" spans="1:7" x14ac:dyDescent="0.25">
      <c r="A31" t="s">
        <v>11</v>
      </c>
      <c r="B31">
        <v>0.95933183695641411</v>
      </c>
    </row>
    <row r="32" spans="1:7" x14ac:dyDescent="0.25">
      <c r="A32" t="s">
        <v>12</v>
      </c>
      <c r="B32">
        <v>0.920317573398168</v>
      </c>
    </row>
    <row r="33" spans="1:10" x14ac:dyDescent="0.25">
      <c r="A33" t="s">
        <v>13</v>
      </c>
      <c r="B33">
        <v>0.8937567645308907</v>
      </c>
    </row>
    <row r="34" spans="1:10" x14ac:dyDescent="0.25">
      <c r="A34" t="s">
        <v>14</v>
      </c>
      <c r="B34">
        <v>427.99421531534256</v>
      </c>
    </row>
    <row r="35" spans="1:10" ht="15.75" thickBot="1" x14ac:dyDescent="0.3">
      <c r="A35" s="2" t="s">
        <v>15</v>
      </c>
      <c r="B35" s="2">
        <v>25</v>
      </c>
    </row>
    <row r="37" spans="1:10" ht="15.75" thickBot="1" x14ac:dyDescent="0.3">
      <c r="A37" t="s">
        <v>16</v>
      </c>
    </row>
    <row r="38" spans="1:10" x14ac:dyDescent="0.25">
      <c r="A38" s="3"/>
      <c r="B38" s="3" t="s">
        <v>21</v>
      </c>
      <c r="C38" s="3" t="s">
        <v>22</v>
      </c>
      <c r="D38" s="3" t="s">
        <v>23</v>
      </c>
      <c r="E38" s="3" t="s">
        <v>24</v>
      </c>
      <c r="F38" s="3" t="s">
        <v>25</v>
      </c>
    </row>
    <row r="39" spans="1:10" x14ac:dyDescent="0.25">
      <c r="A39" t="s">
        <v>17</v>
      </c>
      <c r="B39">
        <v>6</v>
      </c>
      <c r="C39">
        <v>38082326.056674883</v>
      </c>
      <c r="D39">
        <v>6347054.3427791474</v>
      </c>
      <c r="E39">
        <v>34.649455820300311</v>
      </c>
      <c r="F39">
        <v>6.1378357411181431E-9</v>
      </c>
    </row>
    <row r="40" spans="1:10" x14ac:dyDescent="0.25">
      <c r="A40" t="s">
        <v>18</v>
      </c>
      <c r="B40">
        <v>18</v>
      </c>
      <c r="C40">
        <v>3297222.8701811242</v>
      </c>
      <c r="D40">
        <v>183179.04834339579</v>
      </c>
    </row>
    <row r="41" spans="1:10" ht="15.75" thickBot="1" x14ac:dyDescent="0.3">
      <c r="A41" s="2" t="s">
        <v>19</v>
      </c>
      <c r="B41" s="2">
        <v>24</v>
      </c>
      <c r="C41" s="2">
        <v>41379548.926856004</v>
      </c>
      <c r="D41" s="2"/>
      <c r="E41" s="2"/>
      <c r="F41" s="2"/>
    </row>
    <row r="42" spans="1:10" ht="15.75" thickBot="1" x14ac:dyDescent="0.3"/>
    <row r="43" spans="1:10" x14ac:dyDescent="0.25">
      <c r="A43" s="3"/>
      <c r="B43" s="3" t="s">
        <v>26</v>
      </c>
      <c r="C43" s="3" t="s">
        <v>14</v>
      </c>
      <c r="D43" s="3" t="s">
        <v>27</v>
      </c>
      <c r="E43" s="3" t="s">
        <v>28</v>
      </c>
      <c r="F43" s="3" t="s">
        <v>29</v>
      </c>
      <c r="G43" s="3" t="s">
        <v>30</v>
      </c>
      <c r="H43" s="3" t="s">
        <v>31</v>
      </c>
      <c r="I43" s="3" t="s">
        <v>32</v>
      </c>
    </row>
    <row r="44" spans="1:10" x14ac:dyDescent="0.25">
      <c r="A44" t="s">
        <v>20</v>
      </c>
      <c r="B44" s="23">
        <v>-1165.5114338985757</v>
      </c>
      <c r="C44" s="23">
        <v>420.35380997393906</v>
      </c>
      <c r="D44" s="23">
        <v>-2.7726914952212152</v>
      </c>
      <c r="E44" s="23">
        <v>1.2549198071019318E-2</v>
      </c>
      <c r="F44" s="23">
        <v>-2048.6420179721172</v>
      </c>
      <c r="G44" s="23">
        <v>-282.38084982503415</v>
      </c>
      <c r="H44" s="23">
        <v>-2048.6420179721172</v>
      </c>
      <c r="I44" s="23">
        <v>-282.38084982503415</v>
      </c>
      <c r="J44" s="23"/>
    </row>
    <row r="45" spans="1:10" x14ac:dyDescent="0.25">
      <c r="A45" t="s">
        <v>6</v>
      </c>
      <c r="B45" s="23">
        <v>4.3765565092939314</v>
      </c>
      <c r="C45" s="23">
        <v>3.9991193062461159</v>
      </c>
      <c r="D45" s="23">
        <v>1.0943800807488555</v>
      </c>
      <c r="E45" s="23">
        <v>0.28821727366980238</v>
      </c>
      <c r="F45" s="23">
        <v>-4.0252813827519818</v>
      </c>
      <c r="G45" s="23">
        <v>12.778394401339845</v>
      </c>
      <c r="H45" s="23">
        <v>-4.0252813827519818</v>
      </c>
      <c r="I45" s="23">
        <v>12.778394401339845</v>
      </c>
      <c r="J45" s="23"/>
    </row>
    <row r="46" spans="1:10" x14ac:dyDescent="0.25">
      <c r="A46" t="s">
        <v>3</v>
      </c>
      <c r="B46" s="23">
        <v>0.14066510880848429</v>
      </c>
      <c r="C46" s="23">
        <v>3.8391836510497976E-2</v>
      </c>
      <c r="D46" s="23">
        <v>3.6639327938901909</v>
      </c>
      <c r="E46" s="23">
        <v>1.775694824347475E-3</v>
      </c>
      <c r="F46" s="23">
        <v>6.0006853318248524E-2</v>
      </c>
      <c r="G46" s="23">
        <v>0.22132336429872007</v>
      </c>
      <c r="H46" s="23">
        <v>6.0006853318248524E-2</v>
      </c>
      <c r="I46" s="23">
        <v>0.22132336429872007</v>
      </c>
      <c r="J46" s="23"/>
    </row>
    <row r="47" spans="1:10" x14ac:dyDescent="0.25">
      <c r="A47" t="s">
        <v>2</v>
      </c>
      <c r="B47" s="23">
        <v>3.8278723326045747E-2</v>
      </c>
      <c r="C47" s="23">
        <v>7.5467578025664034E-3</v>
      </c>
      <c r="D47" s="23">
        <v>5.0722077384050159</v>
      </c>
      <c r="E47" s="23">
        <v>7.9429868068075824E-5</v>
      </c>
      <c r="F47" s="23">
        <v>2.2423573526272968E-2</v>
      </c>
      <c r="G47" s="23">
        <v>5.4133873125818521E-2</v>
      </c>
      <c r="H47" s="23">
        <v>2.2423573526272968E-2</v>
      </c>
      <c r="I47" s="23">
        <v>5.4133873125818521E-2</v>
      </c>
      <c r="J47" s="23"/>
    </row>
    <row r="48" spans="1:10" x14ac:dyDescent="0.25">
      <c r="A48" t="s">
        <v>4</v>
      </c>
      <c r="B48" s="23">
        <v>221.62205149125867</v>
      </c>
      <c r="C48" s="23">
        <v>50.585264398642437</v>
      </c>
      <c r="D48" s="23">
        <v>4.3811583101502256</v>
      </c>
      <c r="E48" s="23">
        <v>3.6016795553687331E-4</v>
      </c>
      <c r="F48" s="23">
        <v>115.34635460473046</v>
      </c>
      <c r="G48" s="23">
        <v>327.89774837778691</v>
      </c>
      <c r="H48" s="23">
        <v>115.34635460473046</v>
      </c>
      <c r="I48" s="23">
        <v>327.89774837778691</v>
      </c>
      <c r="J48" s="23"/>
    </row>
    <row r="49" spans="1:10" x14ac:dyDescent="0.25">
      <c r="A49" t="s">
        <v>1</v>
      </c>
      <c r="B49" s="23">
        <v>2.269859584997123</v>
      </c>
      <c r="C49" s="23">
        <v>1.6989497673199696</v>
      </c>
      <c r="D49" s="23">
        <v>1.3360369027141648</v>
      </c>
      <c r="E49" s="23">
        <v>0.19818398869344583</v>
      </c>
      <c r="F49" s="23">
        <v>-1.299501426427784</v>
      </c>
      <c r="G49" s="23">
        <v>5.8392205964220301</v>
      </c>
      <c r="H49" s="23">
        <v>-1.299501426427784</v>
      </c>
      <c r="I49" s="23">
        <v>5.8392205964220301</v>
      </c>
      <c r="J49" s="23"/>
    </row>
    <row r="50" spans="1:10" ht="15.75" thickBot="1" x14ac:dyDescent="0.3">
      <c r="A50" s="2" t="s">
        <v>5</v>
      </c>
      <c r="B50" s="26">
        <v>285.12053749459295</v>
      </c>
      <c r="C50" s="26">
        <v>160.55644006905351</v>
      </c>
      <c r="D50" s="26">
        <v>1.7758274745750831</v>
      </c>
      <c r="E50" s="26">
        <v>9.2669706158662976E-2</v>
      </c>
      <c r="F50" s="26">
        <v>-52.196026149120883</v>
      </c>
      <c r="G50" s="26">
        <v>622.43710113830684</v>
      </c>
      <c r="H50" s="26">
        <v>-52.196026149120883</v>
      </c>
      <c r="I50" s="26">
        <v>622.43710113830684</v>
      </c>
      <c r="J50" s="23"/>
    </row>
    <row r="54" spans="1:10" x14ac:dyDescent="0.25">
      <c r="A54" t="s">
        <v>33</v>
      </c>
      <c r="F54" t="s">
        <v>38</v>
      </c>
    </row>
    <row r="55" spans="1:10" ht="15.75" thickBot="1" x14ac:dyDescent="0.3"/>
    <row r="56" spans="1:10" x14ac:dyDescent="0.25">
      <c r="A56" s="3" t="s">
        <v>34</v>
      </c>
      <c r="B56" s="3" t="s">
        <v>35</v>
      </c>
      <c r="C56" s="3" t="s">
        <v>36</v>
      </c>
      <c r="D56" s="3" t="s">
        <v>37</v>
      </c>
      <c r="F56" s="3" t="s">
        <v>39</v>
      </c>
      <c r="G56" s="3" t="s">
        <v>0</v>
      </c>
    </row>
    <row r="57" spans="1:10" x14ac:dyDescent="0.25">
      <c r="A57">
        <v>1</v>
      </c>
      <c r="B57" s="24">
        <v>3392.9324646660789</v>
      </c>
      <c r="C57" s="24">
        <v>276.94753533392122</v>
      </c>
      <c r="D57" s="24">
        <v>0.74718642614659148</v>
      </c>
      <c r="E57" s="24"/>
      <c r="F57" s="24">
        <v>2</v>
      </c>
      <c r="G57" s="24">
        <v>1578</v>
      </c>
    </row>
    <row r="58" spans="1:10" x14ac:dyDescent="0.25">
      <c r="A58">
        <v>2</v>
      </c>
      <c r="B58" s="24">
        <v>3817.438728879652</v>
      </c>
      <c r="C58" s="24">
        <v>-343.48872887965217</v>
      </c>
      <c r="D58" s="24">
        <v>-0.92671023572668587</v>
      </c>
      <c r="E58" s="24"/>
      <c r="F58" s="24">
        <v>6</v>
      </c>
      <c r="G58" s="24">
        <v>1741.45</v>
      </c>
    </row>
    <row r="59" spans="1:10" x14ac:dyDescent="0.25">
      <c r="A59">
        <v>3</v>
      </c>
      <c r="B59" s="24">
        <v>2725.3072182034471</v>
      </c>
      <c r="C59" s="24">
        <v>-430.20721820344716</v>
      </c>
      <c r="D59" s="24">
        <v>-1.1606710761456238</v>
      </c>
      <c r="E59" s="24"/>
      <c r="F59" s="24">
        <v>10</v>
      </c>
      <c r="G59" s="24">
        <v>2035.75</v>
      </c>
    </row>
    <row r="60" spans="1:10" x14ac:dyDescent="0.25">
      <c r="A60">
        <v>4</v>
      </c>
      <c r="B60" s="24">
        <v>4930.7633771457004</v>
      </c>
      <c r="C60" s="24">
        <v>-255.20337714569996</v>
      </c>
      <c r="D60" s="24">
        <v>-0.68852210249903156</v>
      </c>
      <c r="E60" s="24"/>
      <c r="F60" s="24">
        <v>14</v>
      </c>
      <c r="G60" s="24">
        <v>2134.94</v>
      </c>
    </row>
    <row r="61" spans="1:10" x14ac:dyDescent="0.25">
      <c r="A61">
        <v>5</v>
      </c>
      <c r="B61" s="24">
        <v>5464.2891389720344</v>
      </c>
      <c r="C61" s="24">
        <v>661.67086102796566</v>
      </c>
      <c r="D61" s="24">
        <v>1.7851449204656249</v>
      </c>
      <c r="E61" s="24"/>
      <c r="F61" s="24">
        <v>18</v>
      </c>
      <c r="G61" s="24">
        <v>2295.1</v>
      </c>
    </row>
    <row r="62" spans="1:10" x14ac:dyDescent="0.25">
      <c r="A62">
        <v>6</v>
      </c>
      <c r="B62" s="24">
        <v>2081.5034465270833</v>
      </c>
      <c r="C62" s="24">
        <v>53.436553472916785</v>
      </c>
      <c r="D62" s="24">
        <v>0.14416834353437757</v>
      </c>
      <c r="E62" s="24"/>
      <c r="F62" s="24">
        <v>22</v>
      </c>
      <c r="G62" s="24">
        <v>2337.38</v>
      </c>
    </row>
    <row r="63" spans="1:10" x14ac:dyDescent="0.25">
      <c r="A63">
        <v>7</v>
      </c>
      <c r="B63" s="24">
        <v>5224.8939433493879</v>
      </c>
      <c r="C63" s="24">
        <v>-193.23394334938803</v>
      </c>
      <c r="D63" s="24">
        <v>-0.52133260318550279</v>
      </c>
      <c r="E63" s="24"/>
      <c r="F63" s="24">
        <v>26</v>
      </c>
      <c r="G63" s="24">
        <v>2408.11</v>
      </c>
    </row>
    <row r="64" spans="1:10" x14ac:dyDescent="0.25">
      <c r="A64">
        <v>8</v>
      </c>
      <c r="B64" s="24">
        <v>2973.0800183350616</v>
      </c>
      <c r="C64" s="24">
        <v>394.36998166493822</v>
      </c>
      <c r="D64" s="24">
        <v>1.0639845443088525</v>
      </c>
      <c r="E64" s="24"/>
      <c r="F64" s="24">
        <v>30</v>
      </c>
      <c r="G64" s="24">
        <v>2468.27</v>
      </c>
    </row>
    <row r="65" spans="1:7" x14ac:dyDescent="0.25">
      <c r="A65">
        <v>9</v>
      </c>
      <c r="B65" s="24">
        <v>6158.3791830618902</v>
      </c>
      <c r="C65" s="24">
        <v>361.0708169381096</v>
      </c>
      <c r="D65" s="24">
        <v>0.97414556503826044</v>
      </c>
      <c r="E65" s="24"/>
      <c r="F65" s="24">
        <v>34</v>
      </c>
      <c r="G65" s="24">
        <v>2533.31</v>
      </c>
    </row>
    <row r="66" spans="1:7" x14ac:dyDescent="0.25">
      <c r="A66">
        <v>10</v>
      </c>
      <c r="B66" s="24">
        <v>4054.9248529427305</v>
      </c>
      <c r="C66" s="24">
        <v>821.44514705726942</v>
      </c>
      <c r="D66" s="30">
        <v>2.2162055458090442</v>
      </c>
      <c r="E66" s="24"/>
      <c r="F66" s="24">
        <v>38</v>
      </c>
      <c r="G66" s="24">
        <v>2729.24</v>
      </c>
    </row>
    <row r="67" spans="1:7" x14ac:dyDescent="0.25">
      <c r="A67">
        <v>11</v>
      </c>
      <c r="B67" s="24">
        <v>2570.4273510024809</v>
      </c>
      <c r="C67" s="24">
        <v>-102.15735100248094</v>
      </c>
      <c r="D67" s="24">
        <v>-0.27561388444245705</v>
      </c>
      <c r="E67" s="24"/>
      <c r="F67" s="24">
        <v>42</v>
      </c>
      <c r="G67" s="24">
        <v>2799.97</v>
      </c>
    </row>
    <row r="68" spans="1:7" x14ac:dyDescent="0.25">
      <c r="A68">
        <v>12</v>
      </c>
      <c r="B68" s="24">
        <v>2095.6157127501629</v>
      </c>
      <c r="C68" s="24">
        <v>437.69428724983709</v>
      </c>
      <c r="D68" s="24">
        <v>1.1808707011624697</v>
      </c>
      <c r="E68" s="24"/>
      <c r="F68" s="24">
        <v>46</v>
      </c>
      <c r="G68" s="24">
        <v>2800.78</v>
      </c>
    </row>
    <row r="69" spans="1:7" x14ac:dyDescent="0.25">
      <c r="A69">
        <v>13</v>
      </c>
      <c r="B69" s="24">
        <v>2416.0615236865333</v>
      </c>
      <c r="C69" s="24">
        <v>-7.9515236865331644</v>
      </c>
      <c r="D69" s="24">
        <v>-2.1452693408508493E-2</v>
      </c>
      <c r="E69" s="24"/>
      <c r="F69" s="24">
        <v>50</v>
      </c>
      <c r="G69" s="24">
        <v>3264.2</v>
      </c>
    </row>
    <row r="70" spans="1:7" x14ac:dyDescent="0.25">
      <c r="A70">
        <v>14</v>
      </c>
      <c r="B70" s="24">
        <v>2278.4440492476469</v>
      </c>
      <c r="C70" s="24">
        <v>58.935950752353165</v>
      </c>
      <c r="D70" s="24">
        <v>0.15900535948481007</v>
      </c>
      <c r="E70" s="24"/>
      <c r="F70" s="24">
        <v>54</v>
      </c>
      <c r="G70" s="24">
        <v>3289.4</v>
      </c>
    </row>
    <row r="71" spans="1:7" x14ac:dyDescent="0.25">
      <c r="A71">
        <v>15</v>
      </c>
      <c r="B71" s="24">
        <v>4770.6678504720849</v>
      </c>
      <c r="C71" s="24">
        <v>-183.71785047208505</v>
      </c>
      <c r="D71" s="24">
        <v>-0.49565880392493877</v>
      </c>
      <c r="E71" s="24"/>
      <c r="F71" s="24">
        <v>58</v>
      </c>
      <c r="G71" s="24">
        <v>3367.45</v>
      </c>
    </row>
    <row r="72" spans="1:7" x14ac:dyDescent="0.25">
      <c r="A72">
        <v>16</v>
      </c>
      <c r="B72" s="24">
        <v>2812.2905465482063</v>
      </c>
      <c r="C72" s="24">
        <v>-83.050546548206512</v>
      </c>
      <c r="D72" s="24">
        <v>-0.22406496952592669</v>
      </c>
      <c r="E72" s="24"/>
      <c r="F72" s="24">
        <v>62</v>
      </c>
      <c r="G72" s="24">
        <v>3453.62</v>
      </c>
    </row>
    <row r="73" spans="1:7" x14ac:dyDescent="0.25">
      <c r="A73">
        <v>17</v>
      </c>
      <c r="B73" s="24">
        <v>3480.3226062195445</v>
      </c>
      <c r="C73" s="24">
        <v>-190.92260621954438</v>
      </c>
      <c r="D73" s="24">
        <v>-0.51509676603466659</v>
      </c>
      <c r="E73" s="24"/>
      <c r="F73" s="24">
        <v>66</v>
      </c>
      <c r="G73" s="24">
        <v>3473.95</v>
      </c>
    </row>
    <row r="74" spans="1:7" x14ac:dyDescent="0.25">
      <c r="A74">
        <v>18</v>
      </c>
      <c r="B74" s="24">
        <v>2828.6276043078733</v>
      </c>
      <c r="C74" s="24">
        <v>-27.847604307873098</v>
      </c>
      <c r="D74" s="24">
        <v>-7.5131024056438275E-2</v>
      </c>
      <c r="E74" s="24"/>
      <c r="F74" s="24">
        <v>70</v>
      </c>
      <c r="G74" s="24">
        <v>3669.88</v>
      </c>
    </row>
    <row r="75" spans="1:7" x14ac:dyDescent="0.25">
      <c r="A75">
        <v>19</v>
      </c>
      <c r="B75" s="24">
        <v>3754.6529684942998</v>
      </c>
      <c r="C75" s="24">
        <v>-490.45296849429997</v>
      </c>
      <c r="D75" s="24">
        <v>-1.3232101895414772</v>
      </c>
      <c r="E75" s="24"/>
      <c r="F75" s="24">
        <v>74</v>
      </c>
      <c r="G75" s="24">
        <v>4167.4399999999996</v>
      </c>
    </row>
    <row r="76" spans="1:7" x14ac:dyDescent="0.25">
      <c r="A76">
        <v>20</v>
      </c>
      <c r="B76" s="24">
        <v>3985.0327540512922</v>
      </c>
      <c r="C76" s="24">
        <v>-531.41275405129227</v>
      </c>
      <c r="D76" s="24">
        <v>-1.4337170252465115</v>
      </c>
      <c r="E76" s="24"/>
      <c r="F76" s="24">
        <v>78</v>
      </c>
      <c r="G76" s="24">
        <v>4586.95</v>
      </c>
    </row>
    <row r="77" spans="1:7" x14ac:dyDescent="0.25">
      <c r="A77">
        <v>21</v>
      </c>
      <c r="B77" s="24">
        <v>1397.450317211551</v>
      </c>
      <c r="C77" s="24">
        <v>343.99968278844904</v>
      </c>
      <c r="D77" s="24">
        <v>0.92808875611893005</v>
      </c>
      <c r="E77" s="24"/>
      <c r="F77" s="24">
        <v>82</v>
      </c>
      <c r="G77" s="24">
        <v>4675.5600000000004</v>
      </c>
    </row>
    <row r="78" spans="1:7" x14ac:dyDescent="0.25">
      <c r="A78">
        <v>22</v>
      </c>
      <c r="B78" s="24">
        <v>2536.9530593670552</v>
      </c>
      <c r="C78" s="24">
        <v>-501.20305936705518</v>
      </c>
      <c r="D78" s="24">
        <v>-1.3522132350832268</v>
      </c>
      <c r="E78" s="24"/>
      <c r="F78" s="24">
        <v>86</v>
      </c>
      <c r="G78" s="24">
        <v>4876.37</v>
      </c>
    </row>
    <row r="79" spans="1:7" x14ac:dyDescent="0.25">
      <c r="A79">
        <v>23</v>
      </c>
      <c r="B79" s="24">
        <v>1649.015187246021</v>
      </c>
      <c r="C79" s="24">
        <v>-71.015187246021014</v>
      </c>
      <c r="D79" s="24">
        <v>-0.19159435340887951</v>
      </c>
      <c r="E79" s="24"/>
      <c r="F79" s="24">
        <v>90</v>
      </c>
      <c r="G79" s="24">
        <v>5031.66</v>
      </c>
    </row>
    <row r="80" spans="1:7" x14ac:dyDescent="0.25">
      <c r="A80">
        <v>24</v>
      </c>
      <c r="B80" s="24">
        <v>4507.3949026529872</v>
      </c>
      <c r="C80" s="24">
        <v>-339.95490265298758</v>
      </c>
      <c r="D80" s="24">
        <v>-0.91717620255415389</v>
      </c>
      <c r="E80" s="24"/>
      <c r="F80" s="24">
        <v>94</v>
      </c>
      <c r="G80" s="24">
        <v>6125.96</v>
      </c>
    </row>
    <row r="81" spans="1:10" ht="15.75" thickBot="1" x14ac:dyDescent="0.3">
      <c r="A81" s="2">
        <v>25</v>
      </c>
      <c r="B81" s="27">
        <v>2457.7211946591738</v>
      </c>
      <c r="C81" s="27">
        <v>342.24880534082604</v>
      </c>
      <c r="D81" s="27">
        <v>0.92336500271512112</v>
      </c>
      <c r="E81" s="24"/>
      <c r="F81" s="27">
        <v>98</v>
      </c>
      <c r="G81" s="27">
        <v>6519.45</v>
      </c>
    </row>
    <row r="82" spans="1:10" x14ac:dyDescent="0.25">
      <c r="C82" t="s">
        <v>71</v>
      </c>
      <c r="I82" t="s">
        <v>75</v>
      </c>
    </row>
    <row r="83" spans="1:10" x14ac:dyDescent="0.25">
      <c r="C83" s="24">
        <f>SUM(C57:C81)</f>
        <v>1.9781509763561189E-11</v>
      </c>
      <c r="I83">
        <v>-2.0539999999999998</v>
      </c>
      <c r="J83" s="24">
        <v>-1.4337170252465115</v>
      </c>
    </row>
    <row r="84" spans="1:10" x14ac:dyDescent="0.25">
      <c r="C84" t="s">
        <v>72</v>
      </c>
      <c r="I84">
        <v>-1.5549999999999999</v>
      </c>
      <c r="J84" s="24">
        <v>-1.3522132350832268</v>
      </c>
    </row>
    <row r="85" spans="1:10" x14ac:dyDescent="0.25">
      <c r="C85" s="24">
        <f>AVERAGE(C57:C81)</f>
        <v>7.9126039054244756E-13</v>
      </c>
      <c r="I85">
        <v>-1.282</v>
      </c>
      <c r="J85" s="24">
        <v>-1.3232101895414772</v>
      </c>
    </row>
    <row r="86" spans="1:10" x14ac:dyDescent="0.25">
      <c r="I86">
        <v>-1.08</v>
      </c>
      <c r="J86" s="24">
        <v>-1.1606710761456238</v>
      </c>
    </row>
    <row r="87" spans="1:10" x14ac:dyDescent="0.25">
      <c r="C87">
        <f>_xlfn.STDEV.S(C57:C81)</f>
        <v>370.65386313587356</v>
      </c>
      <c r="I87">
        <v>-0.91500000000000004</v>
      </c>
      <c r="J87" s="24">
        <v>-0.92671023572668587</v>
      </c>
    </row>
    <row r="88" spans="1:10" x14ac:dyDescent="0.25">
      <c r="I88">
        <v>-0.77200000000000002</v>
      </c>
      <c r="J88" s="24">
        <v>-0.91717620255415389</v>
      </c>
    </row>
    <row r="89" spans="1:10" x14ac:dyDescent="0.25">
      <c r="I89">
        <v>-0.64300000000000002</v>
      </c>
      <c r="J89" s="24">
        <v>-0.68852210249903156</v>
      </c>
    </row>
    <row r="90" spans="1:10" x14ac:dyDescent="0.25">
      <c r="I90">
        <v>-0.52400000000000002</v>
      </c>
      <c r="J90" s="24">
        <v>-0.52133260318550279</v>
      </c>
    </row>
    <row r="91" spans="1:10" x14ac:dyDescent="0.25">
      <c r="I91">
        <v>-0.41199999999999998</v>
      </c>
      <c r="J91" s="24">
        <v>-0.51509676603466659</v>
      </c>
    </row>
    <row r="92" spans="1:10" x14ac:dyDescent="0.25">
      <c r="I92">
        <v>-0.30499999999999999</v>
      </c>
      <c r="J92" s="24">
        <v>-0.49565880392493877</v>
      </c>
    </row>
    <row r="93" spans="1:10" x14ac:dyDescent="0.25">
      <c r="I93">
        <v>-0.20200000000000001</v>
      </c>
      <c r="J93" s="24">
        <v>-0.27561388444245705</v>
      </c>
    </row>
    <row r="94" spans="1:10" x14ac:dyDescent="0.25">
      <c r="I94">
        <v>-0.1</v>
      </c>
      <c r="J94" s="24">
        <v>-0.22406496952592669</v>
      </c>
    </row>
    <row r="95" spans="1:10" x14ac:dyDescent="0.25">
      <c r="I95">
        <v>0</v>
      </c>
      <c r="J95" s="24">
        <v>-0.19159435340887951</v>
      </c>
    </row>
    <row r="96" spans="1:10" x14ac:dyDescent="0.25">
      <c r="I96">
        <v>0.1</v>
      </c>
      <c r="J96" s="24">
        <v>-7.5131024056438275E-2</v>
      </c>
    </row>
    <row r="97" spans="9:10" x14ac:dyDescent="0.25">
      <c r="I97">
        <v>0.20200000000000001</v>
      </c>
      <c r="J97" s="24">
        <v>-2.1452693408508493E-2</v>
      </c>
    </row>
    <row r="98" spans="9:10" x14ac:dyDescent="0.25">
      <c r="I98">
        <v>0.30499999999999999</v>
      </c>
      <c r="J98" s="24">
        <v>0.14416834353437757</v>
      </c>
    </row>
    <row r="99" spans="9:10" x14ac:dyDescent="0.25">
      <c r="I99">
        <v>0.41199999999999998</v>
      </c>
      <c r="J99" s="24">
        <v>0.15900535948481007</v>
      </c>
    </row>
    <row r="100" spans="9:10" x14ac:dyDescent="0.25">
      <c r="I100">
        <v>0.52400000000000002</v>
      </c>
      <c r="J100" s="24">
        <v>0.74718642614659148</v>
      </c>
    </row>
    <row r="101" spans="9:10" x14ac:dyDescent="0.25">
      <c r="I101">
        <v>0.64300000000000002</v>
      </c>
      <c r="J101" s="24">
        <v>0.92336500271512112</v>
      </c>
    </row>
    <row r="102" spans="9:10" x14ac:dyDescent="0.25">
      <c r="I102">
        <v>0.77200000000000002</v>
      </c>
      <c r="J102" s="24">
        <v>0.92808875611893005</v>
      </c>
    </row>
    <row r="103" spans="9:10" x14ac:dyDescent="0.25">
      <c r="I103">
        <v>0.91500000000000004</v>
      </c>
      <c r="J103" s="24">
        <v>0.97414556503826044</v>
      </c>
    </row>
    <row r="104" spans="9:10" x14ac:dyDescent="0.25">
      <c r="I104">
        <v>1.08</v>
      </c>
      <c r="J104" s="24">
        <v>1.0639845443088525</v>
      </c>
    </row>
    <row r="105" spans="9:10" x14ac:dyDescent="0.25">
      <c r="I105">
        <v>1.282</v>
      </c>
      <c r="J105" s="24">
        <v>1.1808707011624697</v>
      </c>
    </row>
    <row r="106" spans="9:10" x14ac:dyDescent="0.25">
      <c r="I106">
        <v>1.5549999999999999</v>
      </c>
      <c r="J106" s="24">
        <v>1.7851449204656249</v>
      </c>
    </row>
    <row r="107" spans="9:10" ht="15.75" thickBot="1" x14ac:dyDescent="0.3">
      <c r="I107">
        <v>2.0453999999999999</v>
      </c>
      <c r="J107" s="31">
        <v>2.2162055458090442</v>
      </c>
    </row>
  </sheetData>
  <sortState xmlns:xlrd2="http://schemas.microsoft.com/office/spreadsheetml/2017/richdata2" ref="J83:J107">
    <sortCondition ref="J83:J107"/>
  </sortState>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7C588-D7C3-4DA1-A66C-1CC6F2E1E858}">
  <dimension ref="A1:O26"/>
  <sheetViews>
    <sheetView workbookViewId="0">
      <selection activeCell="H18" sqref="H18"/>
    </sheetView>
  </sheetViews>
  <sheetFormatPr defaultRowHeight="15" x14ac:dyDescent="0.25"/>
  <cols>
    <col min="6" max="6" width="14.7109375" customWidth="1"/>
    <col min="7" max="7" width="15.5703125" customWidth="1"/>
  </cols>
  <sheetData>
    <row r="1" spans="1:11" x14ac:dyDescent="0.25">
      <c r="A1" t="s">
        <v>0</v>
      </c>
      <c r="B1" t="s">
        <v>3</v>
      </c>
      <c r="C1" t="s">
        <v>2</v>
      </c>
      <c r="D1" t="s">
        <v>4</v>
      </c>
    </row>
    <row r="2" spans="1:11" x14ac:dyDescent="0.25">
      <c r="A2">
        <v>3669.88</v>
      </c>
      <c r="B2">
        <v>4582.8999999999996</v>
      </c>
      <c r="C2">
        <v>74065.100000000006</v>
      </c>
      <c r="D2">
        <v>2.5099999999999998</v>
      </c>
    </row>
    <row r="3" spans="1:11" x14ac:dyDescent="0.25">
      <c r="A3">
        <v>3473.95</v>
      </c>
      <c r="B3">
        <v>5539.8</v>
      </c>
      <c r="C3">
        <v>58117.3</v>
      </c>
      <c r="D3">
        <v>5.51</v>
      </c>
    </row>
    <row r="4" spans="1:11" x14ac:dyDescent="0.25">
      <c r="A4">
        <v>2295.1</v>
      </c>
      <c r="B4">
        <v>2950.4</v>
      </c>
      <c r="C4">
        <v>21118.5</v>
      </c>
      <c r="D4">
        <v>10.91</v>
      </c>
    </row>
    <row r="5" spans="1:11" x14ac:dyDescent="0.25">
      <c r="A5">
        <v>4675.5600000000004</v>
      </c>
      <c r="B5">
        <v>2243.1</v>
      </c>
      <c r="C5">
        <v>68521.3</v>
      </c>
      <c r="D5">
        <v>8.27</v>
      </c>
    </row>
    <row r="6" spans="1:11" x14ac:dyDescent="0.25">
      <c r="A6">
        <v>6125.96</v>
      </c>
      <c r="B6">
        <v>7747.1</v>
      </c>
      <c r="C6">
        <v>57805.1</v>
      </c>
      <c r="D6">
        <v>9.15</v>
      </c>
      <c r="F6" t="s">
        <v>9</v>
      </c>
    </row>
    <row r="7" spans="1:11" ht="15.75" thickBot="1" x14ac:dyDescent="0.3">
      <c r="A7">
        <v>2134.94</v>
      </c>
      <c r="B7">
        <v>402.4</v>
      </c>
      <c r="C7">
        <v>37806.9</v>
      </c>
      <c r="D7">
        <v>5.51</v>
      </c>
    </row>
    <row r="8" spans="1:11" x14ac:dyDescent="0.25">
      <c r="A8">
        <v>5031.66</v>
      </c>
      <c r="B8">
        <v>3140.6</v>
      </c>
      <c r="C8">
        <v>50935.3</v>
      </c>
      <c r="D8">
        <v>8.5399999999999991</v>
      </c>
      <c r="F8" s="4" t="s">
        <v>10</v>
      </c>
      <c r="G8" s="4"/>
    </row>
    <row r="9" spans="1:11" x14ac:dyDescent="0.25">
      <c r="A9">
        <v>3367.45</v>
      </c>
      <c r="B9">
        <v>2086.1999999999998</v>
      </c>
      <c r="C9">
        <v>35602.1</v>
      </c>
      <c r="D9">
        <v>7.07</v>
      </c>
      <c r="F9" t="s">
        <v>11</v>
      </c>
      <c r="G9">
        <v>0.92139873124261318</v>
      </c>
    </row>
    <row r="10" spans="1:11" x14ac:dyDescent="0.25">
      <c r="A10">
        <v>6519.45</v>
      </c>
      <c r="B10">
        <v>8846.2000000000007</v>
      </c>
      <c r="C10">
        <v>46176.800000000003</v>
      </c>
      <c r="D10">
        <v>12.54</v>
      </c>
      <c r="F10" t="s">
        <v>12</v>
      </c>
      <c r="G10">
        <v>0.84897562193549725</v>
      </c>
    </row>
    <row r="11" spans="1:11" x14ac:dyDescent="0.25">
      <c r="A11">
        <v>4876.37</v>
      </c>
      <c r="B11">
        <v>5673.1</v>
      </c>
      <c r="C11">
        <v>42053.2</v>
      </c>
      <c r="D11">
        <v>8.85</v>
      </c>
      <c r="F11" t="s">
        <v>13</v>
      </c>
      <c r="G11">
        <v>0.82740071078342547</v>
      </c>
    </row>
    <row r="12" spans="1:11" x14ac:dyDescent="0.25">
      <c r="A12">
        <v>2468.27</v>
      </c>
      <c r="B12">
        <v>2761.8</v>
      </c>
      <c r="C12">
        <v>36829.699999999997</v>
      </c>
      <c r="D12">
        <v>5.38</v>
      </c>
      <c r="F12" t="s">
        <v>14</v>
      </c>
      <c r="G12">
        <v>545.51507513838919</v>
      </c>
    </row>
    <row r="13" spans="1:11" ht="15.75" thickBot="1" x14ac:dyDescent="0.3">
      <c r="A13">
        <v>2533.31</v>
      </c>
      <c r="B13">
        <v>1991.8</v>
      </c>
      <c r="C13">
        <v>33612.699999999997</v>
      </c>
      <c r="D13">
        <v>5.43</v>
      </c>
      <c r="F13" s="2" t="s">
        <v>15</v>
      </c>
      <c r="G13" s="2">
        <v>25</v>
      </c>
    </row>
    <row r="14" spans="1:11" x14ac:dyDescent="0.25">
      <c r="A14">
        <v>2408.11</v>
      </c>
      <c r="B14">
        <v>1971.5</v>
      </c>
      <c r="C14">
        <v>21412.799999999999</v>
      </c>
      <c r="D14">
        <v>8.48</v>
      </c>
    </row>
    <row r="15" spans="1:11" ht="15.75" thickBot="1" x14ac:dyDescent="0.3">
      <c r="A15">
        <v>2337.38</v>
      </c>
      <c r="B15">
        <v>1737.4</v>
      </c>
      <c r="C15">
        <v>20416.900000000001</v>
      </c>
      <c r="D15">
        <v>7.8</v>
      </c>
      <c r="F15" t="s">
        <v>16</v>
      </c>
    </row>
    <row r="16" spans="1:11" x14ac:dyDescent="0.25">
      <c r="A16">
        <v>4586.95</v>
      </c>
      <c r="B16">
        <v>10694.2</v>
      </c>
      <c r="C16">
        <v>36272</v>
      </c>
      <c r="D16">
        <v>10.34</v>
      </c>
      <c r="F16" s="3"/>
      <c r="G16" s="3" t="s">
        <v>21</v>
      </c>
      <c r="H16" s="3" t="s">
        <v>22</v>
      </c>
      <c r="I16" s="3" t="s">
        <v>23</v>
      </c>
      <c r="J16" s="3" t="s">
        <v>24</v>
      </c>
      <c r="K16" s="3" t="s">
        <v>25</v>
      </c>
    </row>
    <row r="17" spans="1:15" x14ac:dyDescent="0.25">
      <c r="A17">
        <v>2729.24</v>
      </c>
      <c r="B17">
        <v>8618.6</v>
      </c>
      <c r="C17">
        <v>23093.3</v>
      </c>
      <c r="D17">
        <v>5.15</v>
      </c>
      <c r="F17" t="s">
        <v>17</v>
      </c>
      <c r="G17">
        <v>3</v>
      </c>
      <c r="H17">
        <v>35130228.285587914</v>
      </c>
      <c r="I17">
        <v>11710076.095195971</v>
      </c>
      <c r="J17">
        <v>39.350132936884464</v>
      </c>
      <c r="K17">
        <v>8.4304230501074492E-9</v>
      </c>
    </row>
    <row r="18" spans="1:15" x14ac:dyDescent="0.25">
      <c r="A18">
        <v>3289.4</v>
      </c>
      <c r="B18">
        <v>7747.9</v>
      </c>
      <c r="C18">
        <v>26878.6</v>
      </c>
      <c r="D18">
        <v>6.64</v>
      </c>
      <c r="F18" t="s">
        <v>18</v>
      </c>
      <c r="G18">
        <v>21</v>
      </c>
      <c r="H18">
        <v>6249320.6412680903</v>
      </c>
      <c r="I18">
        <v>297586.69720324239</v>
      </c>
    </row>
    <row r="19" spans="1:15" ht="15.75" thickBot="1" x14ac:dyDescent="0.3">
      <c r="A19">
        <v>2800.78</v>
      </c>
      <c r="B19">
        <v>4565.8</v>
      </c>
      <c r="C19">
        <v>39572</v>
      </c>
      <c r="D19">
        <v>5.45</v>
      </c>
      <c r="F19" s="2" t="s">
        <v>19</v>
      </c>
      <c r="G19" s="2">
        <v>24</v>
      </c>
      <c r="H19" s="2">
        <v>41379548.926856004</v>
      </c>
      <c r="I19" s="2"/>
      <c r="J19" s="2"/>
      <c r="K19" s="2"/>
    </row>
    <row r="20" spans="1:15" ht="15.75" thickBot="1" x14ac:dyDescent="0.3">
      <c r="A20">
        <v>3264.2</v>
      </c>
      <c r="B20">
        <v>6022.7</v>
      </c>
      <c r="C20">
        <v>51866.1</v>
      </c>
      <c r="D20">
        <v>6.31</v>
      </c>
    </row>
    <row r="21" spans="1:15" x14ac:dyDescent="0.25">
      <c r="A21">
        <v>3453.62</v>
      </c>
      <c r="B21">
        <v>3721.1</v>
      </c>
      <c r="C21">
        <v>58749.8</v>
      </c>
      <c r="D21">
        <v>6.35</v>
      </c>
      <c r="F21" s="3"/>
      <c r="G21" s="3" t="s">
        <v>26</v>
      </c>
      <c r="H21" s="3" t="s">
        <v>14</v>
      </c>
      <c r="I21" s="3" t="s">
        <v>27</v>
      </c>
      <c r="J21" s="3" t="s">
        <v>28</v>
      </c>
      <c r="K21" s="3" t="s">
        <v>29</v>
      </c>
      <c r="L21" s="3" t="s">
        <v>30</v>
      </c>
      <c r="M21" s="3" t="s">
        <v>31</v>
      </c>
      <c r="N21" s="3" t="s">
        <v>32</v>
      </c>
      <c r="O21" t="s">
        <v>32</v>
      </c>
    </row>
    <row r="22" spans="1:15" x14ac:dyDescent="0.25">
      <c r="A22">
        <v>1741.45</v>
      </c>
      <c r="B22">
        <v>861</v>
      </c>
      <c r="C22">
        <v>23990.799999999999</v>
      </c>
      <c r="D22">
        <v>7.37</v>
      </c>
      <c r="F22" t="s">
        <v>20</v>
      </c>
      <c r="G22">
        <v>-1603.5821487238791</v>
      </c>
      <c r="H22">
        <v>505.55091289837821</v>
      </c>
      <c r="I22">
        <v>-3.17194986263672</v>
      </c>
      <c r="J22">
        <v>4.5926396090198041E-3</v>
      </c>
      <c r="K22">
        <v>-2654.9328264020642</v>
      </c>
      <c r="L22">
        <v>-552.23147104569421</v>
      </c>
      <c r="M22">
        <v>-2654.9328264020642</v>
      </c>
      <c r="N22">
        <v>-552.23147104569421</v>
      </c>
      <c r="O22">
        <v>-552.23147104569421</v>
      </c>
    </row>
    <row r="23" spans="1:15" x14ac:dyDescent="0.25">
      <c r="A23">
        <v>2035.75</v>
      </c>
      <c r="B23">
        <v>3571.5</v>
      </c>
      <c r="C23">
        <v>25694.9</v>
      </c>
      <c r="D23">
        <v>8.39</v>
      </c>
      <c r="F23" t="s">
        <v>3</v>
      </c>
      <c r="G23">
        <v>0.16748008128741793</v>
      </c>
      <c r="H23">
        <v>4.4273274564811956E-2</v>
      </c>
      <c r="I23">
        <v>3.7828708839289189</v>
      </c>
      <c r="J23">
        <v>1.0905649034215652E-3</v>
      </c>
      <c r="K23">
        <v>7.5408766551005132E-2</v>
      </c>
      <c r="L23">
        <v>0.2595513960238307</v>
      </c>
      <c r="M23">
        <v>7.5408766551005132E-2</v>
      </c>
      <c r="N23">
        <v>0.2595513960238307</v>
      </c>
      <c r="O23">
        <v>0.2595513960238307</v>
      </c>
    </row>
    <row r="24" spans="1:15" x14ac:dyDescent="0.25">
      <c r="A24">
        <v>1578</v>
      </c>
      <c r="B24">
        <v>2845.5</v>
      </c>
      <c r="C24">
        <v>23736.3</v>
      </c>
      <c r="D24">
        <v>5.15</v>
      </c>
      <c r="F24" t="s">
        <v>2</v>
      </c>
      <c r="G24">
        <v>5.4286048688188947E-2</v>
      </c>
      <c r="H24">
        <v>7.4741239618792985E-3</v>
      </c>
      <c r="I24">
        <v>7.2631988665249843</v>
      </c>
      <c r="J24">
        <v>3.7388316847582225E-7</v>
      </c>
      <c r="K24">
        <v>3.8742757019853857E-2</v>
      </c>
      <c r="L24">
        <v>6.9829340356524036E-2</v>
      </c>
      <c r="M24">
        <v>3.8742757019853857E-2</v>
      </c>
      <c r="N24">
        <v>6.9829340356524036E-2</v>
      </c>
      <c r="O24">
        <v>6.9829340356524036E-2</v>
      </c>
    </row>
    <row r="25" spans="1:15" ht="15.75" thickBot="1" x14ac:dyDescent="0.3">
      <c r="A25">
        <v>4167.4399999999996</v>
      </c>
      <c r="B25">
        <v>5060.1000000000004</v>
      </c>
      <c r="C25">
        <v>34314.300000000003</v>
      </c>
      <c r="D25">
        <v>12.88</v>
      </c>
      <c r="F25" s="2" t="s">
        <v>4</v>
      </c>
      <c r="G25" s="2">
        <v>282.74692648620993</v>
      </c>
      <c r="H25" s="2">
        <v>48.755605938095492</v>
      </c>
      <c r="I25" s="2">
        <v>5.7992700746086694</v>
      </c>
      <c r="J25" s="2">
        <v>9.3329707484427217E-6</v>
      </c>
      <c r="K25" s="2">
        <v>181.35409336925946</v>
      </c>
      <c r="L25" s="2">
        <v>384.13975960316043</v>
      </c>
      <c r="M25" s="2">
        <v>181.35409336925946</v>
      </c>
      <c r="N25" s="2">
        <v>384.13975960316043</v>
      </c>
      <c r="O25">
        <v>384.13975960316043</v>
      </c>
    </row>
    <row r="26" spans="1:15" x14ac:dyDescent="0.25">
      <c r="A26">
        <v>2799.97</v>
      </c>
      <c r="B26">
        <v>3552</v>
      </c>
      <c r="C26">
        <v>22809.5</v>
      </c>
      <c r="D26">
        <v>9.14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24F03-E9B7-42B0-B207-738E2B0221C8}">
  <dimension ref="A1:R51"/>
  <sheetViews>
    <sheetView topLeftCell="A13" zoomScale="93" zoomScaleNormal="93" workbookViewId="0">
      <selection activeCell="K37" sqref="K37"/>
    </sheetView>
  </sheetViews>
  <sheetFormatPr defaultRowHeight="15" x14ac:dyDescent="0.25"/>
  <cols>
    <col min="1" max="1" width="17.5703125" customWidth="1"/>
    <col min="11" max="11" width="12.42578125" bestFit="1" customWidth="1"/>
    <col min="12" max="12" width="15.42578125" customWidth="1"/>
  </cols>
  <sheetData>
    <row r="1" spans="1:18" x14ac:dyDescent="0.25">
      <c r="A1" t="s">
        <v>0</v>
      </c>
      <c r="B1" t="s">
        <v>1</v>
      </c>
      <c r="C1" t="s">
        <v>2</v>
      </c>
      <c r="D1" t="s">
        <v>3</v>
      </c>
      <c r="E1" t="s">
        <v>4</v>
      </c>
      <c r="F1" t="s">
        <v>5</v>
      </c>
      <c r="G1" t="s">
        <v>6</v>
      </c>
      <c r="H1" t="s">
        <v>7</v>
      </c>
      <c r="K1" t="s">
        <v>52</v>
      </c>
      <c r="L1" t="s">
        <v>51</v>
      </c>
      <c r="M1" t="s">
        <v>41</v>
      </c>
    </row>
    <row r="2" spans="1:18" x14ac:dyDescent="0.25">
      <c r="A2">
        <v>3669.88</v>
      </c>
      <c r="B2">
        <v>43.1</v>
      </c>
      <c r="C2">
        <v>74065.100000000006</v>
      </c>
      <c r="D2">
        <v>4582.8999999999996</v>
      </c>
      <c r="E2">
        <v>2.5099999999999998</v>
      </c>
      <c r="F2">
        <v>0.34</v>
      </c>
      <c r="G2">
        <v>74.86</v>
      </c>
      <c r="H2">
        <v>15.05</v>
      </c>
      <c r="K2">
        <f>C40</f>
        <v>3226655.6397181996</v>
      </c>
      <c r="L2" s="13">
        <v>3225836.8131118901</v>
      </c>
      <c r="M2">
        <f>(K2-L2)/1</f>
        <v>818.82660630950704</v>
      </c>
      <c r="R2" t="s">
        <v>53</v>
      </c>
    </row>
    <row r="3" spans="1:18" x14ac:dyDescent="0.25">
      <c r="A3">
        <v>3473.95</v>
      </c>
      <c r="B3">
        <v>108.13</v>
      </c>
      <c r="C3">
        <v>58117.3</v>
      </c>
      <c r="D3">
        <v>5539.8</v>
      </c>
      <c r="E3">
        <v>5.51</v>
      </c>
      <c r="F3">
        <v>0.15</v>
      </c>
      <c r="G3">
        <v>107.32</v>
      </c>
      <c r="H3">
        <v>19.97</v>
      </c>
      <c r="O3" t="s">
        <v>45</v>
      </c>
      <c r="P3">
        <f>M2/M5</f>
        <v>4.0613417416839707E-3</v>
      </c>
      <c r="R3">
        <f>8-7</f>
        <v>1</v>
      </c>
    </row>
    <row r="4" spans="1:18" x14ac:dyDescent="0.25">
      <c r="A4">
        <v>2295.1</v>
      </c>
      <c r="B4">
        <v>13.82</v>
      </c>
      <c r="C4">
        <v>21118.5</v>
      </c>
      <c r="D4">
        <v>2950.4</v>
      </c>
      <c r="E4">
        <v>10.91</v>
      </c>
      <c r="F4">
        <v>-0.72</v>
      </c>
      <c r="G4">
        <v>96.75</v>
      </c>
      <c r="H4">
        <v>17.34</v>
      </c>
      <c r="K4" t="s">
        <v>51</v>
      </c>
      <c r="L4" t="s">
        <v>43</v>
      </c>
      <c r="M4" t="s">
        <v>44</v>
      </c>
      <c r="R4" t="s">
        <v>54</v>
      </c>
    </row>
    <row r="5" spans="1:18" x14ac:dyDescent="0.25">
      <c r="A5">
        <v>4675.5600000000004</v>
      </c>
      <c r="B5">
        <v>186.18</v>
      </c>
      <c r="C5">
        <v>68521.3</v>
      </c>
      <c r="D5">
        <v>2243.1</v>
      </c>
      <c r="E5">
        <v>8.27</v>
      </c>
      <c r="F5">
        <v>0.17</v>
      </c>
      <c r="G5">
        <v>195.12</v>
      </c>
      <c r="H5">
        <v>13.4</v>
      </c>
      <c r="K5" s="18">
        <f>L2</f>
        <v>3225836.8131118901</v>
      </c>
      <c r="L5">
        <f>25-8-1</f>
        <v>16</v>
      </c>
      <c r="M5">
        <f>K5/L5</f>
        <v>201614.80081949313</v>
      </c>
      <c r="O5" t="s">
        <v>46</v>
      </c>
      <c r="P5" s="11">
        <f>_xlfn.F.DIST.RT(P3,1,L5)</f>
        <v>0.94997568553513467</v>
      </c>
      <c r="R5">
        <f>L5</f>
        <v>16</v>
      </c>
    </row>
    <row r="6" spans="1:18" x14ac:dyDescent="0.25">
      <c r="A6">
        <v>6125.96</v>
      </c>
      <c r="B6">
        <v>161.79</v>
      </c>
      <c r="C6">
        <v>57805.1</v>
      </c>
      <c r="D6">
        <v>7747.1</v>
      </c>
      <c r="E6">
        <v>9.15</v>
      </c>
      <c r="F6">
        <v>0.5</v>
      </c>
      <c r="G6">
        <v>180.44</v>
      </c>
      <c r="H6">
        <v>17.64</v>
      </c>
    </row>
    <row r="7" spans="1:18" x14ac:dyDescent="0.25">
      <c r="A7">
        <v>2134.94</v>
      </c>
      <c r="B7">
        <v>8.94</v>
      </c>
      <c r="C7">
        <v>37806.9</v>
      </c>
      <c r="D7">
        <v>402.4</v>
      </c>
      <c r="E7">
        <v>5.51</v>
      </c>
      <c r="F7">
        <v>0.15</v>
      </c>
      <c r="G7">
        <v>104.88</v>
      </c>
      <c r="H7">
        <v>16.22</v>
      </c>
    </row>
    <row r="8" spans="1:18" x14ac:dyDescent="0.25">
      <c r="A8">
        <v>5031.66</v>
      </c>
      <c r="B8">
        <v>365.04</v>
      </c>
      <c r="C8">
        <v>50935.3</v>
      </c>
      <c r="D8">
        <v>3140.6</v>
      </c>
      <c r="E8">
        <v>8.5399999999999991</v>
      </c>
      <c r="F8">
        <v>0.55000000000000004</v>
      </c>
      <c r="G8">
        <v>256.10000000000002</v>
      </c>
      <c r="H8">
        <v>18.8</v>
      </c>
    </row>
    <row r="9" spans="1:18" x14ac:dyDescent="0.25">
      <c r="A9">
        <v>3367.45</v>
      </c>
      <c r="B9">
        <v>220.32</v>
      </c>
      <c r="C9">
        <v>35602.1</v>
      </c>
      <c r="D9">
        <v>2086.1999999999998</v>
      </c>
      <c r="E9">
        <v>7.07</v>
      </c>
      <c r="F9">
        <v>-0.49</v>
      </c>
      <c r="G9">
        <v>126.83</v>
      </c>
      <c r="H9">
        <v>19.86</v>
      </c>
    </row>
    <row r="10" spans="1:18" x14ac:dyDescent="0.25">
      <c r="A10">
        <v>6519.45</v>
      </c>
      <c r="B10">
        <v>127.64</v>
      </c>
      <c r="C10">
        <v>46176.800000000003</v>
      </c>
      <c r="D10">
        <v>8846.2000000000007</v>
      </c>
      <c r="E10">
        <v>12.54</v>
      </c>
      <c r="F10">
        <v>1.24</v>
      </c>
      <c r="G10">
        <v>203.25</v>
      </c>
      <c r="H10">
        <v>17.420000000000002</v>
      </c>
    </row>
    <row r="11" spans="1:18" x14ac:dyDescent="0.25">
      <c r="A11">
        <v>4876.37</v>
      </c>
      <c r="B11">
        <v>105.69</v>
      </c>
      <c r="C11">
        <v>42053.2</v>
      </c>
      <c r="D11">
        <v>5673.1</v>
      </c>
      <c r="E11">
        <v>8.85</v>
      </c>
      <c r="F11">
        <v>0.31</v>
      </c>
      <c r="G11">
        <v>119.51</v>
      </c>
      <c r="H11">
        <v>21.41</v>
      </c>
    </row>
    <row r="12" spans="1:18" x14ac:dyDescent="0.25">
      <c r="A12">
        <v>2468.27</v>
      </c>
      <c r="B12">
        <v>57.72</v>
      </c>
      <c r="C12">
        <v>36829.699999999997</v>
      </c>
      <c r="D12">
        <v>2761.8</v>
      </c>
      <c r="E12">
        <v>5.38</v>
      </c>
      <c r="F12">
        <v>0.37</v>
      </c>
      <c r="G12">
        <v>116.26</v>
      </c>
      <c r="H12">
        <v>16.32</v>
      </c>
    </row>
    <row r="13" spans="1:18" x14ac:dyDescent="0.25">
      <c r="A13">
        <v>2533.31</v>
      </c>
      <c r="B13">
        <v>23.58</v>
      </c>
      <c r="C13">
        <v>33612.699999999997</v>
      </c>
      <c r="D13">
        <v>1991.8</v>
      </c>
      <c r="E13">
        <v>5.43</v>
      </c>
      <c r="F13">
        <v>-0.65</v>
      </c>
      <c r="G13">
        <v>142.28</v>
      </c>
      <c r="H13">
        <v>14.51</v>
      </c>
    </row>
    <row r="14" spans="1:18" x14ac:dyDescent="0.25">
      <c r="A14">
        <v>2408.11</v>
      </c>
      <c r="B14">
        <v>13.82</v>
      </c>
      <c r="C14">
        <v>21412.799999999999</v>
      </c>
      <c r="D14">
        <v>1971.5</v>
      </c>
      <c r="E14">
        <v>8.48</v>
      </c>
      <c r="F14">
        <v>0.64</v>
      </c>
      <c r="G14">
        <v>89.43</v>
      </c>
      <c r="H14">
        <v>19.350000000000001</v>
      </c>
    </row>
    <row r="15" spans="1:18" x14ac:dyDescent="0.25">
      <c r="A15">
        <v>2337.38</v>
      </c>
      <c r="B15">
        <v>13.82</v>
      </c>
      <c r="C15">
        <v>20416.900000000001</v>
      </c>
      <c r="D15">
        <v>1737.4</v>
      </c>
      <c r="E15">
        <v>7.8</v>
      </c>
      <c r="F15">
        <v>1.01</v>
      </c>
      <c r="G15">
        <v>84.55</v>
      </c>
      <c r="H15">
        <v>20.02</v>
      </c>
    </row>
    <row r="16" spans="1:18" x14ac:dyDescent="0.25">
      <c r="A16">
        <v>4586.95</v>
      </c>
      <c r="B16">
        <v>86.99</v>
      </c>
      <c r="C16">
        <v>36272</v>
      </c>
      <c r="D16">
        <v>10694.2</v>
      </c>
      <c r="E16">
        <v>10.34</v>
      </c>
      <c r="F16">
        <v>0.11</v>
      </c>
      <c r="G16">
        <v>119.51</v>
      </c>
      <c r="H16">
        <v>15.26</v>
      </c>
    </row>
    <row r="17" spans="1:8" x14ac:dyDescent="0.25">
      <c r="A17">
        <v>2729.24</v>
      </c>
      <c r="B17">
        <v>165.85</v>
      </c>
      <c r="C17">
        <v>23093.3</v>
      </c>
      <c r="D17">
        <v>8618.6</v>
      </c>
      <c r="E17">
        <v>5.15</v>
      </c>
      <c r="F17">
        <v>0.04</v>
      </c>
      <c r="G17">
        <v>80.489999999999995</v>
      </c>
      <c r="H17">
        <v>15.87</v>
      </c>
    </row>
    <row r="18" spans="1:8" x14ac:dyDescent="0.25">
      <c r="A18">
        <v>3289.4</v>
      </c>
      <c r="B18">
        <v>116.26</v>
      </c>
      <c r="C18">
        <v>26878.6</v>
      </c>
      <c r="D18">
        <v>7747.9</v>
      </c>
      <c r="E18">
        <v>6.64</v>
      </c>
      <c r="F18">
        <v>0.68</v>
      </c>
      <c r="G18">
        <v>136.58000000000001</v>
      </c>
      <c r="H18">
        <v>7.81</v>
      </c>
    </row>
    <row r="19" spans="1:8" x14ac:dyDescent="0.25">
      <c r="A19">
        <v>2800.78</v>
      </c>
      <c r="B19">
        <v>42.28</v>
      </c>
      <c r="C19">
        <v>39572</v>
      </c>
      <c r="D19">
        <v>4565.8</v>
      </c>
      <c r="E19">
        <v>5.45</v>
      </c>
      <c r="F19">
        <v>0.66</v>
      </c>
      <c r="G19">
        <v>78.86</v>
      </c>
      <c r="H19">
        <v>16</v>
      </c>
    </row>
    <row r="20" spans="1:8" x14ac:dyDescent="0.25">
      <c r="A20">
        <v>3264.2</v>
      </c>
      <c r="B20">
        <v>52.84</v>
      </c>
      <c r="C20">
        <v>51866.1</v>
      </c>
      <c r="D20">
        <v>6022.7</v>
      </c>
      <c r="E20">
        <v>6.31</v>
      </c>
      <c r="F20">
        <v>-0.1</v>
      </c>
      <c r="G20">
        <v>136.58000000000001</v>
      </c>
      <c r="H20">
        <v>17.440000000000001</v>
      </c>
    </row>
    <row r="21" spans="1:8" x14ac:dyDescent="0.25">
      <c r="A21">
        <v>3453.62</v>
      </c>
      <c r="B21">
        <v>165.04</v>
      </c>
      <c r="C21">
        <v>58749.8</v>
      </c>
      <c r="D21">
        <v>3721.1</v>
      </c>
      <c r="E21">
        <v>6.35</v>
      </c>
      <c r="F21">
        <v>-0.03</v>
      </c>
      <c r="G21">
        <v>138.21</v>
      </c>
      <c r="H21">
        <v>17.98</v>
      </c>
    </row>
    <row r="22" spans="1:8" x14ac:dyDescent="0.25">
      <c r="A22">
        <v>1741.45</v>
      </c>
      <c r="B22">
        <v>10.57</v>
      </c>
      <c r="C22">
        <v>23990.799999999999</v>
      </c>
      <c r="D22">
        <v>861</v>
      </c>
      <c r="E22">
        <v>7.37</v>
      </c>
      <c r="F22">
        <v>-1.63</v>
      </c>
      <c r="G22">
        <v>75.61</v>
      </c>
      <c r="H22">
        <v>20.99</v>
      </c>
    </row>
    <row r="23" spans="1:8" x14ac:dyDescent="0.25">
      <c r="A23">
        <v>2035.75</v>
      </c>
      <c r="B23">
        <v>13.82</v>
      </c>
      <c r="C23">
        <v>25694.9</v>
      </c>
      <c r="D23">
        <v>3571.5</v>
      </c>
      <c r="E23">
        <v>8.39</v>
      </c>
      <c r="F23">
        <v>-0.43</v>
      </c>
      <c r="G23">
        <v>102.44</v>
      </c>
      <c r="H23">
        <v>21.66</v>
      </c>
    </row>
    <row r="24" spans="1:8" x14ac:dyDescent="0.25">
      <c r="A24">
        <v>1578</v>
      </c>
      <c r="B24">
        <v>8.1300000000000008</v>
      </c>
      <c r="C24">
        <v>23736.3</v>
      </c>
      <c r="D24">
        <v>2845.5</v>
      </c>
      <c r="E24">
        <v>5.15</v>
      </c>
      <c r="F24">
        <v>0.04</v>
      </c>
      <c r="G24">
        <v>76.42</v>
      </c>
      <c r="H24">
        <v>21.46</v>
      </c>
    </row>
    <row r="25" spans="1:8" x14ac:dyDescent="0.25">
      <c r="A25">
        <v>4167.4399999999996</v>
      </c>
      <c r="B25">
        <v>58.44</v>
      </c>
      <c r="C25">
        <v>34314.300000000003</v>
      </c>
      <c r="D25">
        <v>5060.1000000000004</v>
      </c>
      <c r="E25">
        <v>12.88</v>
      </c>
      <c r="F25">
        <v>0.22</v>
      </c>
      <c r="G25">
        <v>136.58000000000001</v>
      </c>
      <c r="H25">
        <v>24.78</v>
      </c>
    </row>
    <row r="26" spans="1:8" x14ac:dyDescent="0.25">
      <c r="A26">
        <v>2799.97</v>
      </c>
      <c r="B26">
        <v>21.14</v>
      </c>
      <c r="C26">
        <v>22809.5</v>
      </c>
      <c r="D26">
        <v>3552</v>
      </c>
      <c r="E26">
        <v>9.14</v>
      </c>
      <c r="F26">
        <v>-0.74</v>
      </c>
      <c r="G26">
        <v>88.62</v>
      </c>
      <c r="H26">
        <v>24.96</v>
      </c>
    </row>
    <row r="28" spans="1:8" x14ac:dyDescent="0.25">
      <c r="A28" t="s">
        <v>9</v>
      </c>
    </row>
    <row r="29" spans="1:8" ht="15.75" thickBot="1" x14ac:dyDescent="0.3"/>
    <row r="30" spans="1:8" x14ac:dyDescent="0.25">
      <c r="A30" s="4" t="s">
        <v>10</v>
      </c>
      <c r="B30" s="4"/>
    </row>
    <row r="31" spans="1:8" x14ac:dyDescent="0.25">
      <c r="A31" t="s">
        <v>11</v>
      </c>
      <c r="B31">
        <v>0.96022025509862985</v>
      </c>
    </row>
    <row r="32" spans="1:8" x14ac:dyDescent="0.25">
      <c r="A32" t="s">
        <v>12</v>
      </c>
      <c r="B32">
        <v>0.9220229383016777</v>
      </c>
    </row>
    <row r="33" spans="1:9" x14ac:dyDescent="0.25">
      <c r="A33" t="s">
        <v>13</v>
      </c>
      <c r="B33">
        <v>0.88991473642589791</v>
      </c>
    </row>
    <row r="34" spans="1:9" x14ac:dyDescent="0.25">
      <c r="A34" t="s">
        <v>14</v>
      </c>
      <c r="B34">
        <v>435.6641744791508</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7</v>
      </c>
      <c r="C39">
        <v>38152893.287137806</v>
      </c>
      <c r="D39">
        <v>5450413.3267339719</v>
      </c>
      <c r="E39">
        <v>28.716118762078292</v>
      </c>
      <c r="F39">
        <v>3.2078449531868179E-8</v>
      </c>
    </row>
    <row r="40" spans="1:9" x14ac:dyDescent="0.25">
      <c r="A40" t="s">
        <v>18</v>
      </c>
      <c r="B40">
        <v>17</v>
      </c>
      <c r="C40">
        <v>3226655.6397181996</v>
      </c>
      <c r="D40">
        <v>189803.27292459997</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-1485.9001351567194</v>
      </c>
      <c r="C44">
        <v>677.62814862080847</v>
      </c>
      <c r="D44">
        <v>-2.192795765909378</v>
      </c>
      <c r="E44">
        <v>4.2522722695446769E-2</v>
      </c>
      <c r="F44">
        <v>-2915.5705590952512</v>
      </c>
      <c r="G44">
        <v>-56.229711218187731</v>
      </c>
      <c r="H44">
        <v>-2915.5705590952512</v>
      </c>
      <c r="I44">
        <v>-56.229711218187731</v>
      </c>
    </row>
    <row r="45" spans="1:9" x14ac:dyDescent="0.25">
      <c r="A45" t="s">
        <v>1</v>
      </c>
      <c r="B45">
        <v>1.9751282954973879</v>
      </c>
      <c r="C45">
        <v>1.795676536301803</v>
      </c>
      <c r="D45">
        <v>1.0999354591808421</v>
      </c>
      <c r="E45">
        <v>0.2866928147877103</v>
      </c>
      <c r="F45">
        <v>-1.8134180335419299</v>
      </c>
      <c r="G45">
        <v>5.7636746245367059</v>
      </c>
      <c r="H45">
        <v>-1.8134180335419299</v>
      </c>
      <c r="I45">
        <v>5.7636746245367059</v>
      </c>
    </row>
    <row r="46" spans="1:9" x14ac:dyDescent="0.25">
      <c r="A46" t="s">
        <v>2</v>
      </c>
      <c r="B46">
        <v>3.7291153962744822E-2</v>
      </c>
      <c r="C46">
        <v>7.8508831868667611E-3</v>
      </c>
      <c r="D46">
        <v>4.7499310682811844</v>
      </c>
      <c r="E46">
        <v>1.8549823663557426E-4</v>
      </c>
      <c r="F46">
        <v>2.0727238315343652E-2</v>
      </c>
      <c r="G46">
        <v>5.3855069610145995E-2</v>
      </c>
      <c r="H46">
        <v>2.0727238315343652E-2</v>
      </c>
      <c r="I46">
        <v>5.3855069610145995E-2</v>
      </c>
    </row>
    <row r="47" spans="1:9" x14ac:dyDescent="0.25">
      <c r="A47" t="s">
        <v>3</v>
      </c>
      <c r="B47">
        <v>0.15195556469711505</v>
      </c>
      <c r="C47">
        <v>4.324464882422753E-2</v>
      </c>
      <c r="D47">
        <v>3.5138582189614853</v>
      </c>
      <c r="E47">
        <v>2.6628174918612631E-3</v>
      </c>
      <c r="F47">
        <v>6.0717330949828577E-2</v>
      </c>
      <c r="G47">
        <v>0.24319379844440153</v>
      </c>
      <c r="H47">
        <v>6.0717330949828577E-2</v>
      </c>
      <c r="I47">
        <v>0.24319379844440153</v>
      </c>
    </row>
    <row r="48" spans="1:9" x14ac:dyDescent="0.25">
      <c r="A48" t="s">
        <v>4</v>
      </c>
      <c r="B48">
        <v>198.32523081155523</v>
      </c>
      <c r="C48">
        <v>64.118688293358232</v>
      </c>
      <c r="D48">
        <v>3.0930955715152839</v>
      </c>
      <c r="E48">
        <v>6.6014716287980529E-3</v>
      </c>
      <c r="F48">
        <v>63.046623419989288</v>
      </c>
      <c r="G48">
        <v>333.6038382031212</v>
      </c>
      <c r="H48">
        <v>63.046623419989288</v>
      </c>
      <c r="I48">
        <v>333.6038382031212</v>
      </c>
    </row>
    <row r="49" spans="1:9" x14ac:dyDescent="0.25">
      <c r="A49" t="s">
        <v>5</v>
      </c>
      <c r="B49">
        <v>295.87737364170107</v>
      </c>
      <c r="C49">
        <v>164.38310160061832</v>
      </c>
      <c r="D49">
        <v>1.7999257269190505</v>
      </c>
      <c r="E49">
        <v>8.9644302077015153E-2</v>
      </c>
      <c r="F49">
        <v>-50.940654847840335</v>
      </c>
      <c r="G49">
        <v>642.69540213124242</v>
      </c>
      <c r="H49">
        <v>-50.940654847840335</v>
      </c>
      <c r="I49">
        <v>642.69540213124242</v>
      </c>
    </row>
    <row r="50" spans="1:9" x14ac:dyDescent="0.25">
      <c r="A50" t="s">
        <v>6</v>
      </c>
      <c r="B50">
        <v>5.6089487219499139</v>
      </c>
      <c r="C50">
        <v>4.5449270889450277</v>
      </c>
      <c r="D50">
        <v>1.2341119257100928</v>
      </c>
      <c r="E50">
        <v>0.23395043045463759</v>
      </c>
      <c r="F50">
        <v>-3.9800092504229356</v>
      </c>
      <c r="G50">
        <v>15.197906694322764</v>
      </c>
      <c r="H50">
        <v>-3.9800092504229356</v>
      </c>
      <c r="I50">
        <v>15.197906694322764</v>
      </c>
    </row>
    <row r="51" spans="1:9" ht="15.75" thickBot="1" x14ac:dyDescent="0.3">
      <c r="A51" s="2" t="s">
        <v>7</v>
      </c>
      <c r="B51" s="2">
        <v>19.898918300377883</v>
      </c>
      <c r="C51" s="2">
        <v>32.634711734750979</v>
      </c>
      <c r="D51" s="2">
        <v>0.60974702219258692</v>
      </c>
      <c r="E51" s="29">
        <v>0.55009330404218515</v>
      </c>
      <c r="F51" s="2">
        <v>-48.95430489569948</v>
      </c>
      <c r="G51" s="2">
        <v>88.752141496455252</v>
      </c>
      <c r="H51" s="2">
        <v>-48.95430489569948</v>
      </c>
      <c r="I51" s="2">
        <v>88.752141496455252</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3004-AD1C-40CF-9F61-769D57AA524D}">
  <dimension ref="A1:P50"/>
  <sheetViews>
    <sheetView topLeftCell="BJ40" zoomScale="115" zoomScaleNormal="115" workbookViewId="0">
      <selection activeCell="BM57" sqref="BM57"/>
    </sheetView>
  </sheetViews>
  <sheetFormatPr defaultRowHeight="15" x14ac:dyDescent="0.25"/>
  <cols>
    <col min="11" max="11" width="21.140625" customWidth="1"/>
    <col min="12" max="12" width="22.140625" customWidth="1"/>
    <col min="16" max="16" width="14.7109375" bestFit="1" customWidth="1"/>
  </cols>
  <sheetData>
    <row r="1" spans="1:16" ht="43.5" customHeight="1" x14ac:dyDescent="0.25">
      <c r="A1" t="s">
        <v>0</v>
      </c>
      <c r="B1" t="s">
        <v>1</v>
      </c>
      <c r="C1" t="s">
        <v>2</v>
      </c>
      <c r="D1" t="s">
        <v>3</v>
      </c>
      <c r="E1" t="s">
        <v>4</v>
      </c>
      <c r="F1" t="s">
        <v>5</v>
      </c>
      <c r="G1" t="s">
        <v>6</v>
      </c>
      <c r="K1" t="s">
        <v>63</v>
      </c>
      <c r="L1" s="9" t="s">
        <v>62</v>
      </c>
      <c r="M1" t="s">
        <v>41</v>
      </c>
    </row>
    <row r="2" spans="1:16" x14ac:dyDescent="0.25">
      <c r="A2">
        <v>3669.88</v>
      </c>
      <c r="B2">
        <v>43.1</v>
      </c>
      <c r="C2">
        <v>74065.100000000006</v>
      </c>
      <c r="D2">
        <v>4582.8999999999996</v>
      </c>
      <c r="E2">
        <v>2.5099999999999998</v>
      </c>
      <c r="F2">
        <v>0.34</v>
      </c>
      <c r="G2">
        <v>74.86</v>
      </c>
      <c r="K2">
        <f>C40</f>
        <v>3297222.8701811242</v>
      </c>
      <c r="L2">
        <v>3226655.6397182001</v>
      </c>
      <c r="M2">
        <f>(K2-L2)/1</f>
        <v>70567.230462924112</v>
      </c>
    </row>
    <row r="3" spans="1:16" x14ac:dyDescent="0.25">
      <c r="A3">
        <v>3473.95</v>
      </c>
      <c r="B3">
        <v>108.13</v>
      </c>
      <c r="C3">
        <v>58117.3</v>
      </c>
      <c r="D3">
        <v>5539.8</v>
      </c>
      <c r="E3">
        <v>5.51</v>
      </c>
      <c r="F3">
        <v>0.15</v>
      </c>
      <c r="G3">
        <v>107.32</v>
      </c>
      <c r="O3" t="s">
        <v>45</v>
      </c>
      <c r="P3">
        <f>M2/M5</f>
        <v>0.37179143107272544</v>
      </c>
    </row>
    <row r="4" spans="1:16" x14ac:dyDescent="0.25">
      <c r="A4">
        <v>2295.1</v>
      </c>
      <c r="B4">
        <v>13.82</v>
      </c>
      <c r="C4">
        <v>21118.5</v>
      </c>
      <c r="D4">
        <v>2950.4</v>
      </c>
      <c r="E4">
        <v>10.91</v>
      </c>
      <c r="F4">
        <v>-0.72</v>
      </c>
      <c r="G4">
        <v>96.75</v>
      </c>
      <c r="K4" t="s">
        <v>48</v>
      </c>
      <c r="L4" t="s">
        <v>43</v>
      </c>
      <c r="M4" t="s">
        <v>44</v>
      </c>
    </row>
    <row r="5" spans="1:16" x14ac:dyDescent="0.25">
      <c r="A5">
        <v>4675.5600000000004</v>
      </c>
      <c r="B5">
        <v>186.18</v>
      </c>
      <c r="C5">
        <v>68521.3</v>
      </c>
      <c r="D5">
        <v>2243.1</v>
      </c>
      <c r="E5">
        <v>8.27</v>
      </c>
      <c r="F5">
        <v>0.17</v>
      </c>
      <c r="G5">
        <v>195.12</v>
      </c>
      <c r="K5">
        <f>L2</f>
        <v>3226655.6397182001</v>
      </c>
      <c r="L5">
        <f>25-7-1</f>
        <v>17</v>
      </c>
      <c r="M5">
        <f>K5/L5</f>
        <v>189803.27292459999</v>
      </c>
      <c r="O5" t="s">
        <v>46</v>
      </c>
      <c r="P5" s="28">
        <f>_xlfn.F.DIST.RT(P3,1,L5)</f>
        <v>0.55009330404218604</v>
      </c>
    </row>
    <row r="6" spans="1:16" x14ac:dyDescent="0.25">
      <c r="A6">
        <v>6125.96</v>
      </c>
      <c r="B6">
        <v>161.79</v>
      </c>
      <c r="C6">
        <v>57805.1</v>
      </c>
      <c r="D6">
        <v>7747.1</v>
      </c>
      <c r="E6">
        <v>9.15</v>
      </c>
      <c r="F6">
        <v>0.5</v>
      </c>
      <c r="G6">
        <v>180.44</v>
      </c>
    </row>
    <row r="7" spans="1:16" x14ac:dyDescent="0.25">
      <c r="A7">
        <v>2134.94</v>
      </c>
      <c r="B7">
        <v>8.94</v>
      </c>
      <c r="C7">
        <v>37806.9</v>
      </c>
      <c r="D7">
        <v>402.4</v>
      </c>
      <c r="E7">
        <v>5.51</v>
      </c>
      <c r="F7">
        <v>0.15</v>
      </c>
      <c r="G7">
        <v>104.88</v>
      </c>
      <c r="P7" s="19"/>
    </row>
    <row r="8" spans="1:16" x14ac:dyDescent="0.25">
      <c r="A8">
        <v>5031.66</v>
      </c>
      <c r="B8">
        <v>365.04</v>
      </c>
      <c r="C8">
        <v>50935.3</v>
      </c>
      <c r="D8">
        <v>3140.6</v>
      </c>
      <c r="E8">
        <v>8.5399999999999991</v>
      </c>
      <c r="F8">
        <v>0.55000000000000004</v>
      </c>
      <c r="G8">
        <v>256.10000000000002</v>
      </c>
    </row>
    <row r="9" spans="1:16" x14ac:dyDescent="0.25">
      <c r="A9">
        <v>3367.45</v>
      </c>
      <c r="B9">
        <v>220.32</v>
      </c>
      <c r="C9">
        <v>35602.1</v>
      </c>
      <c r="D9">
        <v>2086.1999999999998</v>
      </c>
      <c r="E9">
        <v>7.07</v>
      </c>
      <c r="F9">
        <v>-0.49</v>
      </c>
      <c r="G9">
        <v>126.83</v>
      </c>
    </row>
    <row r="10" spans="1:16" x14ac:dyDescent="0.25">
      <c r="A10">
        <v>6519.45</v>
      </c>
      <c r="B10">
        <v>127.64</v>
      </c>
      <c r="C10">
        <v>46176.800000000003</v>
      </c>
      <c r="D10">
        <v>8846.2000000000007</v>
      </c>
      <c r="E10">
        <v>12.54</v>
      </c>
      <c r="F10">
        <v>1.24</v>
      </c>
      <c r="G10">
        <v>203.25</v>
      </c>
    </row>
    <row r="11" spans="1:16" x14ac:dyDescent="0.25">
      <c r="A11">
        <v>4876.37</v>
      </c>
      <c r="B11">
        <v>105.69</v>
      </c>
      <c r="C11">
        <v>42053.2</v>
      </c>
      <c r="D11">
        <v>5673.1</v>
      </c>
      <c r="E11">
        <v>8.85</v>
      </c>
      <c r="F11">
        <v>0.31</v>
      </c>
      <c r="G11">
        <v>119.51</v>
      </c>
    </row>
    <row r="12" spans="1:16" x14ac:dyDescent="0.25">
      <c r="A12">
        <v>2468.27</v>
      </c>
      <c r="B12">
        <v>57.72</v>
      </c>
      <c r="C12">
        <v>36829.699999999997</v>
      </c>
      <c r="D12">
        <v>2761.8</v>
      </c>
      <c r="E12">
        <v>5.38</v>
      </c>
      <c r="F12">
        <v>0.37</v>
      </c>
      <c r="G12">
        <v>116.26</v>
      </c>
    </row>
    <row r="13" spans="1:16" x14ac:dyDescent="0.25">
      <c r="A13">
        <v>2533.31</v>
      </c>
      <c r="B13">
        <v>23.58</v>
      </c>
      <c r="C13">
        <v>33612.699999999997</v>
      </c>
      <c r="D13">
        <v>1991.8</v>
      </c>
      <c r="E13">
        <v>5.43</v>
      </c>
      <c r="F13">
        <v>-0.65</v>
      </c>
      <c r="G13">
        <v>142.28</v>
      </c>
    </row>
    <row r="14" spans="1:16" x14ac:dyDescent="0.25">
      <c r="A14">
        <v>2408.11</v>
      </c>
      <c r="B14">
        <v>13.82</v>
      </c>
      <c r="C14">
        <v>21412.799999999999</v>
      </c>
      <c r="D14">
        <v>1971.5</v>
      </c>
      <c r="E14">
        <v>8.48</v>
      </c>
      <c r="F14">
        <v>0.64</v>
      </c>
      <c r="G14">
        <v>89.43</v>
      </c>
    </row>
    <row r="15" spans="1:16" x14ac:dyDescent="0.25">
      <c r="A15">
        <v>2337.38</v>
      </c>
      <c r="B15">
        <v>13.82</v>
      </c>
      <c r="C15">
        <v>20416.900000000001</v>
      </c>
      <c r="D15">
        <v>1737.4</v>
      </c>
      <c r="E15">
        <v>7.8</v>
      </c>
      <c r="F15">
        <v>1.01</v>
      </c>
      <c r="G15">
        <v>84.55</v>
      </c>
    </row>
    <row r="16" spans="1:16" x14ac:dyDescent="0.25">
      <c r="A16">
        <v>4586.95</v>
      </c>
      <c r="B16">
        <v>86.99</v>
      </c>
      <c r="C16">
        <v>36272</v>
      </c>
      <c r="D16">
        <v>10694.2</v>
      </c>
      <c r="E16">
        <v>10.34</v>
      </c>
      <c r="F16">
        <v>0.11</v>
      </c>
      <c r="G16">
        <v>119.51</v>
      </c>
    </row>
    <row r="17" spans="1:7" x14ac:dyDescent="0.25">
      <c r="A17">
        <v>2729.24</v>
      </c>
      <c r="B17">
        <v>165.85</v>
      </c>
      <c r="C17">
        <v>23093.3</v>
      </c>
      <c r="D17">
        <v>8618.6</v>
      </c>
      <c r="E17">
        <v>5.15</v>
      </c>
      <c r="F17">
        <v>0.04</v>
      </c>
      <c r="G17">
        <v>80.489999999999995</v>
      </c>
    </row>
    <row r="18" spans="1:7" x14ac:dyDescent="0.25">
      <c r="A18">
        <v>3289.4</v>
      </c>
      <c r="B18">
        <v>116.26</v>
      </c>
      <c r="C18">
        <v>26878.6</v>
      </c>
      <c r="D18">
        <v>7747.9</v>
      </c>
      <c r="E18">
        <v>6.64</v>
      </c>
      <c r="F18">
        <v>0.68</v>
      </c>
      <c r="G18">
        <v>136.58000000000001</v>
      </c>
    </row>
    <row r="19" spans="1:7" x14ac:dyDescent="0.25">
      <c r="A19">
        <v>2800.78</v>
      </c>
      <c r="B19">
        <v>42.28</v>
      </c>
      <c r="C19">
        <v>39572</v>
      </c>
      <c r="D19">
        <v>4565.8</v>
      </c>
      <c r="E19">
        <v>5.45</v>
      </c>
      <c r="F19">
        <v>0.66</v>
      </c>
      <c r="G19">
        <v>78.86</v>
      </c>
    </row>
    <row r="20" spans="1:7" x14ac:dyDescent="0.25">
      <c r="A20">
        <v>3264.2</v>
      </c>
      <c r="B20">
        <v>52.84</v>
      </c>
      <c r="C20">
        <v>51866.1</v>
      </c>
      <c r="D20">
        <v>6022.7</v>
      </c>
      <c r="E20">
        <v>6.31</v>
      </c>
      <c r="F20">
        <v>-0.1</v>
      </c>
      <c r="G20">
        <v>136.58000000000001</v>
      </c>
    </row>
    <row r="21" spans="1:7" x14ac:dyDescent="0.25">
      <c r="A21">
        <v>3453.62</v>
      </c>
      <c r="B21">
        <v>165.04</v>
      </c>
      <c r="C21">
        <v>58749.8</v>
      </c>
      <c r="D21">
        <v>3721.1</v>
      </c>
      <c r="E21">
        <v>6.35</v>
      </c>
      <c r="F21">
        <v>-0.03</v>
      </c>
      <c r="G21">
        <v>138.21</v>
      </c>
    </row>
    <row r="22" spans="1:7" x14ac:dyDescent="0.25">
      <c r="A22">
        <v>1741.45</v>
      </c>
      <c r="B22">
        <v>10.57</v>
      </c>
      <c r="C22">
        <v>23990.799999999999</v>
      </c>
      <c r="D22">
        <v>861</v>
      </c>
      <c r="E22">
        <v>7.37</v>
      </c>
      <c r="F22">
        <v>-1.63</v>
      </c>
      <c r="G22">
        <v>75.61</v>
      </c>
    </row>
    <row r="23" spans="1:7" x14ac:dyDescent="0.25">
      <c r="A23">
        <v>2035.75</v>
      </c>
      <c r="B23">
        <v>13.82</v>
      </c>
      <c r="C23">
        <v>25694.9</v>
      </c>
      <c r="D23">
        <v>3571.5</v>
      </c>
      <c r="E23">
        <v>8.39</v>
      </c>
      <c r="F23">
        <v>-0.43</v>
      </c>
      <c r="G23">
        <v>102.44</v>
      </c>
    </row>
    <row r="24" spans="1:7" x14ac:dyDescent="0.25">
      <c r="A24">
        <v>1578</v>
      </c>
      <c r="B24">
        <v>8.1300000000000008</v>
      </c>
      <c r="C24">
        <v>23736.3</v>
      </c>
      <c r="D24">
        <v>2845.5</v>
      </c>
      <c r="E24">
        <v>5.15</v>
      </c>
      <c r="F24">
        <v>0.04</v>
      </c>
      <c r="G24">
        <v>76.42</v>
      </c>
    </row>
    <row r="25" spans="1:7" x14ac:dyDescent="0.25">
      <c r="A25">
        <v>4167.4399999999996</v>
      </c>
      <c r="B25">
        <v>58.44</v>
      </c>
      <c r="C25">
        <v>34314.300000000003</v>
      </c>
      <c r="D25">
        <v>5060.1000000000004</v>
      </c>
      <c r="E25">
        <v>12.88</v>
      </c>
      <c r="F25">
        <v>0.22</v>
      </c>
      <c r="G25">
        <v>136.58000000000001</v>
      </c>
    </row>
    <row r="26" spans="1:7" x14ac:dyDescent="0.25">
      <c r="A26">
        <v>2799.97</v>
      </c>
      <c r="B26">
        <v>21.14</v>
      </c>
      <c r="C26">
        <v>22809.5</v>
      </c>
      <c r="D26">
        <v>3552</v>
      </c>
      <c r="E26">
        <v>9.14</v>
      </c>
      <c r="F26">
        <v>-0.74</v>
      </c>
      <c r="G26">
        <v>88.62</v>
      </c>
    </row>
    <row r="28" spans="1:7" x14ac:dyDescent="0.25">
      <c r="A28" t="s">
        <v>9</v>
      </c>
    </row>
    <row r="29" spans="1:7" ht="15.75" thickBot="1" x14ac:dyDescent="0.3"/>
    <row r="30" spans="1:7" x14ac:dyDescent="0.25">
      <c r="A30" s="4" t="s">
        <v>10</v>
      </c>
      <c r="B30" s="4"/>
    </row>
    <row r="31" spans="1:7" x14ac:dyDescent="0.25">
      <c r="A31" t="s">
        <v>11</v>
      </c>
      <c r="B31">
        <v>0.95933183695641411</v>
      </c>
    </row>
    <row r="32" spans="1:7" x14ac:dyDescent="0.25">
      <c r="A32" t="s">
        <v>12</v>
      </c>
      <c r="B32">
        <v>0.920317573398168</v>
      </c>
    </row>
    <row r="33" spans="1:9" x14ac:dyDescent="0.25">
      <c r="A33" t="s">
        <v>13</v>
      </c>
      <c r="B33">
        <v>0.8937567645308907</v>
      </c>
    </row>
    <row r="34" spans="1:9" x14ac:dyDescent="0.25">
      <c r="A34" t="s">
        <v>14</v>
      </c>
      <c r="B34">
        <v>427.99421531534256</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6</v>
      </c>
      <c r="C39">
        <v>38082326.056674883</v>
      </c>
      <c r="D39">
        <v>6347054.3427791474</v>
      </c>
      <c r="E39">
        <v>34.649455820300311</v>
      </c>
      <c r="F39">
        <v>6.1378357411181431E-9</v>
      </c>
    </row>
    <row r="40" spans="1:9" x14ac:dyDescent="0.25">
      <c r="A40" t="s">
        <v>18</v>
      </c>
      <c r="B40">
        <v>18</v>
      </c>
      <c r="C40">
        <v>3297222.8701811242</v>
      </c>
      <c r="D40">
        <v>183179.04834339579</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-1165.5114338985754</v>
      </c>
      <c r="C44">
        <v>420.35380997393918</v>
      </c>
      <c r="D44">
        <v>-2.7726914952212138</v>
      </c>
      <c r="E44">
        <v>1.2549198071019365E-2</v>
      </c>
      <c r="F44">
        <v>-2048.6420179721172</v>
      </c>
      <c r="G44">
        <v>-282.38084982503358</v>
      </c>
      <c r="H44">
        <v>-2048.6420179721172</v>
      </c>
      <c r="I44">
        <v>-282.38084982503358</v>
      </c>
    </row>
    <row r="45" spans="1:9" x14ac:dyDescent="0.25">
      <c r="A45" t="s">
        <v>1</v>
      </c>
      <c r="B45">
        <v>2.269859584997123</v>
      </c>
      <c r="C45">
        <v>1.6989497673199696</v>
      </c>
      <c r="D45">
        <v>1.3360369027141648</v>
      </c>
      <c r="E45">
        <v>0.19818398869344583</v>
      </c>
      <c r="F45">
        <v>-1.299501426427784</v>
      </c>
      <c r="G45">
        <v>5.8392205964220301</v>
      </c>
      <c r="H45">
        <v>-1.299501426427784</v>
      </c>
      <c r="I45">
        <v>5.8392205964220301</v>
      </c>
    </row>
    <row r="46" spans="1:9" x14ac:dyDescent="0.25">
      <c r="A46" t="s">
        <v>2</v>
      </c>
      <c r="B46">
        <v>3.8278723326045747E-2</v>
      </c>
      <c r="C46">
        <v>7.5467578025664034E-3</v>
      </c>
      <c r="D46">
        <v>5.0722077384050159</v>
      </c>
      <c r="E46">
        <v>7.9429868068075824E-5</v>
      </c>
      <c r="F46">
        <v>2.2423573526272968E-2</v>
      </c>
      <c r="G46">
        <v>5.4133873125818521E-2</v>
      </c>
      <c r="H46">
        <v>2.2423573526272968E-2</v>
      </c>
      <c r="I46">
        <v>5.4133873125818521E-2</v>
      </c>
    </row>
    <row r="47" spans="1:9" x14ac:dyDescent="0.25">
      <c r="A47" t="s">
        <v>3</v>
      </c>
      <c r="B47">
        <v>0.14066510880848429</v>
      </c>
      <c r="C47">
        <v>3.8391836510497976E-2</v>
      </c>
      <c r="D47">
        <v>3.6639327938901909</v>
      </c>
      <c r="E47">
        <v>1.775694824347475E-3</v>
      </c>
      <c r="F47">
        <v>6.0006853318248524E-2</v>
      </c>
      <c r="G47">
        <v>0.22132336429872007</v>
      </c>
      <c r="H47">
        <v>6.0006853318248524E-2</v>
      </c>
      <c r="I47">
        <v>0.22132336429872007</v>
      </c>
    </row>
    <row r="48" spans="1:9" x14ac:dyDescent="0.25">
      <c r="A48" t="s">
        <v>4</v>
      </c>
      <c r="B48">
        <v>221.62205149125867</v>
      </c>
      <c r="C48">
        <v>50.585264398642437</v>
      </c>
      <c r="D48">
        <v>4.3811583101502256</v>
      </c>
      <c r="E48">
        <v>3.6016795553687331E-4</v>
      </c>
      <c r="F48">
        <v>115.34635460473046</v>
      </c>
      <c r="G48">
        <v>327.89774837778691</v>
      </c>
      <c r="H48">
        <v>115.34635460473046</v>
      </c>
      <c r="I48">
        <v>327.89774837778691</v>
      </c>
    </row>
    <row r="49" spans="1:9" x14ac:dyDescent="0.25">
      <c r="A49" t="s">
        <v>5</v>
      </c>
      <c r="B49">
        <v>285.12053749459295</v>
      </c>
      <c r="C49">
        <v>160.55644006905351</v>
      </c>
      <c r="D49">
        <v>1.7758274745750831</v>
      </c>
      <c r="E49">
        <v>9.2669706158662976E-2</v>
      </c>
      <c r="F49">
        <v>-52.196026149120883</v>
      </c>
      <c r="G49">
        <v>622.43710113830684</v>
      </c>
      <c r="H49">
        <v>-52.196026149120883</v>
      </c>
      <c r="I49">
        <v>622.43710113830684</v>
      </c>
    </row>
    <row r="50" spans="1:9" ht="15.75" thickBot="1" x14ac:dyDescent="0.3">
      <c r="A50" s="2" t="s">
        <v>6</v>
      </c>
      <c r="B50" s="2">
        <v>4.3765565092939314</v>
      </c>
      <c r="C50" s="2">
        <v>3.9991193062461159</v>
      </c>
      <c r="D50" s="2">
        <v>1.0943800807488555</v>
      </c>
      <c r="E50" s="21">
        <v>0.28821727366980238</v>
      </c>
      <c r="F50" s="2">
        <v>-4.0252813827519818</v>
      </c>
      <c r="G50" s="2">
        <v>12.778394401339845</v>
      </c>
      <c r="H50" s="2">
        <v>-4.0252813827519818</v>
      </c>
      <c r="I50" s="2">
        <v>12.778394401339845</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3694-9B84-4D75-A363-C135C0E4B654}">
  <dimension ref="A1:P80"/>
  <sheetViews>
    <sheetView topLeftCell="JV1" zoomScale="87" zoomScaleNormal="87" workbookViewId="0">
      <selection activeCell="F55" sqref="F55"/>
    </sheetView>
  </sheetViews>
  <sheetFormatPr defaultRowHeight="15" x14ac:dyDescent="0.25"/>
  <cols>
    <col min="1" max="1" width="19.42578125" customWidth="1"/>
    <col min="3" max="3" width="14.28515625" bestFit="1" customWidth="1"/>
    <col min="4" max="4" width="13.140625" bestFit="1" customWidth="1"/>
    <col min="5" max="5" width="11.28515625" customWidth="1"/>
    <col min="6" max="6" width="13.42578125" bestFit="1" customWidth="1"/>
    <col min="7" max="7" width="12.28515625" bestFit="1" customWidth="1"/>
  </cols>
  <sheetData>
    <row r="1" spans="1:16" ht="30" x14ac:dyDescent="0.25">
      <c r="A1" t="s">
        <v>0</v>
      </c>
      <c r="B1" t="s">
        <v>1</v>
      </c>
      <c r="C1" t="s">
        <v>2</v>
      </c>
      <c r="D1" t="s">
        <v>3</v>
      </c>
      <c r="E1" t="s">
        <v>4</v>
      </c>
      <c r="F1" t="s">
        <v>5</v>
      </c>
      <c r="K1" t="s">
        <v>52</v>
      </c>
      <c r="L1" s="9" t="s">
        <v>65</v>
      </c>
      <c r="M1" t="s">
        <v>41</v>
      </c>
    </row>
    <row r="2" spans="1:16" x14ac:dyDescent="0.25">
      <c r="A2">
        <v>3669.88</v>
      </c>
      <c r="B2">
        <v>43.1</v>
      </c>
      <c r="C2">
        <v>74065.100000000006</v>
      </c>
      <c r="D2">
        <v>4582.8999999999996</v>
      </c>
      <c r="E2">
        <v>2.5099999999999998</v>
      </c>
      <c r="F2">
        <v>0.34</v>
      </c>
      <c r="K2">
        <f>C40</f>
        <v>3516610.5108982935</v>
      </c>
      <c r="L2">
        <v>3297222.8701811242</v>
      </c>
      <c r="M2">
        <f>(K2-L2)/1</f>
        <v>219387.64071716927</v>
      </c>
    </row>
    <row r="3" spans="1:16" x14ac:dyDescent="0.25">
      <c r="A3">
        <v>3473.95</v>
      </c>
      <c r="B3">
        <v>108.13</v>
      </c>
      <c r="C3">
        <v>58117.3</v>
      </c>
      <c r="D3">
        <v>5539.8</v>
      </c>
      <c r="E3">
        <v>5.51</v>
      </c>
      <c r="F3">
        <v>0.15</v>
      </c>
      <c r="O3" t="s">
        <v>45</v>
      </c>
      <c r="P3">
        <f>M2/M5</f>
        <v>1.1976677611398832</v>
      </c>
    </row>
    <row r="4" spans="1:16" x14ac:dyDescent="0.25">
      <c r="A4">
        <v>2295.1</v>
      </c>
      <c r="B4">
        <v>13.82</v>
      </c>
      <c r="C4">
        <v>21118.5</v>
      </c>
      <c r="D4">
        <v>2950.4</v>
      </c>
      <c r="E4">
        <v>10.91</v>
      </c>
      <c r="F4">
        <v>-0.72</v>
      </c>
      <c r="K4" t="s">
        <v>64</v>
      </c>
      <c r="L4" t="s">
        <v>43</v>
      </c>
      <c r="M4" t="s">
        <v>44</v>
      </c>
    </row>
    <row r="5" spans="1:16" x14ac:dyDescent="0.25">
      <c r="A5">
        <v>4675.5600000000004</v>
      </c>
      <c r="B5">
        <v>186.18</v>
      </c>
      <c r="C5">
        <v>68521.3</v>
      </c>
      <c r="D5">
        <v>2243.1</v>
      </c>
      <c r="E5">
        <v>8.27</v>
      </c>
      <c r="F5">
        <v>0.17</v>
      </c>
      <c r="K5">
        <f>L2</f>
        <v>3297222.8701811242</v>
      </c>
      <c r="L5">
        <f>25-6-1</f>
        <v>18</v>
      </c>
      <c r="M5">
        <f>K5/L5</f>
        <v>183179.04834339579</v>
      </c>
      <c r="O5" t="s">
        <v>46</v>
      </c>
      <c r="P5" s="20">
        <f>_xlfn.F.DIST.RT(P3,1,L5)</f>
        <v>0.28821727366980021</v>
      </c>
    </row>
    <row r="6" spans="1:16" x14ac:dyDescent="0.25">
      <c r="A6">
        <v>6125.96</v>
      </c>
      <c r="B6">
        <v>161.79</v>
      </c>
      <c r="C6">
        <v>57805.1</v>
      </c>
      <c r="D6">
        <v>7747.1</v>
      </c>
      <c r="E6">
        <v>9.15</v>
      </c>
      <c r="F6">
        <v>0.5</v>
      </c>
    </row>
    <row r="7" spans="1:16" x14ac:dyDescent="0.25">
      <c r="A7">
        <v>2134.94</v>
      </c>
      <c r="B7">
        <v>8.94</v>
      </c>
      <c r="C7">
        <v>37806.9</v>
      </c>
      <c r="D7">
        <v>402.4</v>
      </c>
      <c r="E7">
        <v>5.51</v>
      </c>
      <c r="F7">
        <v>0.15</v>
      </c>
    </row>
    <row r="8" spans="1:16" x14ac:dyDescent="0.25">
      <c r="A8">
        <v>5031.66</v>
      </c>
      <c r="B8">
        <v>365.04</v>
      </c>
      <c r="C8">
        <v>50935.3</v>
      </c>
      <c r="D8">
        <v>3140.6</v>
      </c>
      <c r="E8">
        <v>8.5399999999999991</v>
      </c>
      <c r="F8">
        <v>0.55000000000000004</v>
      </c>
    </row>
    <row r="9" spans="1:16" x14ac:dyDescent="0.25">
      <c r="A9">
        <v>3367.45</v>
      </c>
      <c r="B9">
        <v>220.32</v>
      </c>
      <c r="C9">
        <v>35602.1</v>
      </c>
      <c r="D9">
        <v>2086.1999999999998</v>
      </c>
      <c r="E9">
        <v>7.07</v>
      </c>
      <c r="F9">
        <v>-0.49</v>
      </c>
    </row>
    <row r="10" spans="1:16" x14ac:dyDescent="0.25">
      <c r="A10">
        <v>6519.45</v>
      </c>
      <c r="B10">
        <v>127.64</v>
      </c>
      <c r="C10">
        <v>46176.800000000003</v>
      </c>
      <c r="D10">
        <v>8846.2000000000007</v>
      </c>
      <c r="E10">
        <v>12.54</v>
      </c>
      <c r="F10">
        <v>1.24</v>
      </c>
    </row>
    <row r="11" spans="1:16" x14ac:dyDescent="0.25">
      <c r="A11">
        <v>4876.37</v>
      </c>
      <c r="B11">
        <v>105.69</v>
      </c>
      <c r="C11">
        <v>42053.2</v>
      </c>
      <c r="D11">
        <v>5673.1</v>
      </c>
      <c r="E11">
        <v>8.85</v>
      </c>
      <c r="F11">
        <v>0.31</v>
      </c>
    </row>
    <row r="12" spans="1:16" x14ac:dyDescent="0.25">
      <c r="A12">
        <v>2468.27</v>
      </c>
      <c r="B12">
        <v>57.72</v>
      </c>
      <c r="C12">
        <v>36829.699999999997</v>
      </c>
      <c r="D12">
        <v>2761.8</v>
      </c>
      <c r="E12">
        <v>5.38</v>
      </c>
      <c r="F12">
        <v>0.37</v>
      </c>
    </row>
    <row r="13" spans="1:16" x14ac:dyDescent="0.25">
      <c r="A13">
        <v>2533.31</v>
      </c>
      <c r="B13">
        <v>23.58</v>
      </c>
      <c r="C13">
        <v>33612.699999999997</v>
      </c>
      <c r="D13">
        <v>1991.8</v>
      </c>
      <c r="E13">
        <v>5.43</v>
      </c>
      <c r="F13">
        <v>-0.65</v>
      </c>
    </row>
    <row r="14" spans="1:16" x14ac:dyDescent="0.25">
      <c r="A14">
        <v>2408.11</v>
      </c>
      <c r="B14">
        <v>13.82</v>
      </c>
      <c r="C14">
        <v>21412.799999999999</v>
      </c>
      <c r="D14">
        <v>1971.5</v>
      </c>
      <c r="E14">
        <v>8.48</v>
      </c>
      <c r="F14">
        <v>0.64</v>
      </c>
    </row>
    <row r="15" spans="1:16" x14ac:dyDescent="0.25">
      <c r="A15">
        <v>2337.38</v>
      </c>
      <c r="B15">
        <v>13.82</v>
      </c>
      <c r="C15">
        <v>20416.900000000001</v>
      </c>
      <c r="D15">
        <v>1737.4</v>
      </c>
      <c r="E15">
        <v>7.8</v>
      </c>
      <c r="F15">
        <v>1.01</v>
      </c>
    </row>
    <row r="16" spans="1:16" x14ac:dyDescent="0.25">
      <c r="A16">
        <v>4586.95</v>
      </c>
      <c r="B16">
        <v>86.99</v>
      </c>
      <c r="C16">
        <v>36272</v>
      </c>
      <c r="D16">
        <v>10694.2</v>
      </c>
      <c r="E16">
        <v>10.34</v>
      </c>
      <c r="F16">
        <v>0.11</v>
      </c>
    </row>
    <row r="17" spans="1:6" x14ac:dyDescent="0.25">
      <c r="A17">
        <v>2729.24</v>
      </c>
      <c r="B17">
        <v>165.85</v>
      </c>
      <c r="C17">
        <v>23093.3</v>
      </c>
      <c r="D17">
        <v>8618.6</v>
      </c>
      <c r="E17">
        <v>5.15</v>
      </c>
      <c r="F17">
        <v>0.04</v>
      </c>
    </row>
    <row r="18" spans="1:6" x14ac:dyDescent="0.25">
      <c r="A18">
        <v>3289.4</v>
      </c>
      <c r="B18">
        <v>116.26</v>
      </c>
      <c r="C18">
        <v>26878.6</v>
      </c>
      <c r="D18">
        <v>7747.9</v>
      </c>
      <c r="E18">
        <v>6.64</v>
      </c>
      <c r="F18">
        <v>0.68</v>
      </c>
    </row>
    <row r="19" spans="1:6" x14ac:dyDescent="0.25">
      <c r="A19">
        <v>2800.78</v>
      </c>
      <c r="B19">
        <v>42.28</v>
      </c>
      <c r="C19">
        <v>39572</v>
      </c>
      <c r="D19">
        <v>4565.8</v>
      </c>
      <c r="E19">
        <v>5.45</v>
      </c>
      <c r="F19">
        <v>0.66</v>
      </c>
    </row>
    <row r="20" spans="1:6" x14ac:dyDescent="0.25">
      <c r="A20">
        <v>3264.2</v>
      </c>
      <c r="B20">
        <v>52.84</v>
      </c>
      <c r="C20">
        <v>51866.1</v>
      </c>
      <c r="D20">
        <v>6022.7</v>
      </c>
      <c r="E20">
        <v>6.31</v>
      </c>
      <c r="F20">
        <v>-0.1</v>
      </c>
    </row>
    <row r="21" spans="1:6" x14ac:dyDescent="0.25">
      <c r="A21">
        <v>3453.62</v>
      </c>
      <c r="B21">
        <v>165.04</v>
      </c>
      <c r="C21">
        <v>58749.8</v>
      </c>
      <c r="D21">
        <v>3721.1</v>
      </c>
      <c r="E21">
        <v>6.35</v>
      </c>
      <c r="F21">
        <v>-0.03</v>
      </c>
    </row>
    <row r="22" spans="1:6" x14ac:dyDescent="0.25">
      <c r="A22">
        <v>1741.45</v>
      </c>
      <c r="B22">
        <v>10.57</v>
      </c>
      <c r="C22">
        <v>23990.799999999999</v>
      </c>
      <c r="D22">
        <v>861</v>
      </c>
      <c r="E22">
        <v>7.37</v>
      </c>
      <c r="F22">
        <v>-1.63</v>
      </c>
    </row>
    <row r="23" spans="1:6" x14ac:dyDescent="0.25">
      <c r="A23">
        <v>2035.75</v>
      </c>
      <c r="B23">
        <v>13.82</v>
      </c>
      <c r="C23">
        <v>25694.9</v>
      </c>
      <c r="D23">
        <v>3571.5</v>
      </c>
      <c r="E23">
        <v>8.39</v>
      </c>
      <c r="F23">
        <v>-0.43</v>
      </c>
    </row>
    <row r="24" spans="1:6" x14ac:dyDescent="0.25">
      <c r="A24">
        <v>1578</v>
      </c>
      <c r="B24">
        <v>8.1300000000000008</v>
      </c>
      <c r="C24">
        <v>23736.3</v>
      </c>
      <c r="D24">
        <v>2845.5</v>
      </c>
      <c r="E24">
        <v>5.15</v>
      </c>
      <c r="F24">
        <v>0.04</v>
      </c>
    </row>
    <row r="25" spans="1:6" x14ac:dyDescent="0.25">
      <c r="A25">
        <v>4167.4399999999996</v>
      </c>
      <c r="B25">
        <v>58.44</v>
      </c>
      <c r="C25">
        <v>34314.300000000003</v>
      </c>
      <c r="D25">
        <v>5060.1000000000004</v>
      </c>
      <c r="E25">
        <v>12.88</v>
      </c>
      <c r="F25">
        <v>0.22</v>
      </c>
    </row>
    <row r="26" spans="1:6" x14ac:dyDescent="0.25">
      <c r="A26">
        <v>2799.97</v>
      </c>
      <c r="B26">
        <v>21.14</v>
      </c>
      <c r="C26">
        <v>22809.5</v>
      </c>
      <c r="D26">
        <v>3552</v>
      </c>
      <c r="E26">
        <v>9.14</v>
      </c>
      <c r="F26">
        <v>-0.74</v>
      </c>
    </row>
    <row r="28" spans="1:6" x14ac:dyDescent="0.25">
      <c r="A28" t="s">
        <v>9</v>
      </c>
    </row>
    <row r="29" spans="1:6" ht="15.75" thickBot="1" x14ac:dyDescent="0.3"/>
    <row r="30" spans="1:6" x14ac:dyDescent="0.25">
      <c r="A30" s="4" t="s">
        <v>10</v>
      </c>
      <c r="B30" s="4"/>
    </row>
    <row r="31" spans="1:6" x14ac:dyDescent="0.25">
      <c r="A31" t="s">
        <v>11</v>
      </c>
      <c r="B31">
        <v>0.95656454878024055</v>
      </c>
    </row>
    <row r="32" spans="1:6" x14ac:dyDescent="0.25">
      <c r="A32" t="s">
        <v>12</v>
      </c>
      <c r="B32">
        <v>0.91501573598314523</v>
      </c>
    </row>
    <row r="33" spans="1:9" x14ac:dyDescent="0.25">
      <c r="A33" t="s">
        <v>13</v>
      </c>
      <c r="B33">
        <v>0.89265145597870987</v>
      </c>
    </row>
    <row r="34" spans="1:9" x14ac:dyDescent="0.25">
      <c r="A34" t="s">
        <v>14</v>
      </c>
      <c r="B34">
        <v>430.21478790423873</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5</v>
      </c>
      <c r="C39">
        <v>37862938.415957712</v>
      </c>
      <c r="D39">
        <v>7572587.6831915425</v>
      </c>
      <c r="E39">
        <v>40.914160250259386</v>
      </c>
      <c r="F39">
        <v>1.5841232375717448E-9</v>
      </c>
    </row>
    <row r="40" spans="1:9" x14ac:dyDescent="0.25">
      <c r="A40" t="s">
        <v>18</v>
      </c>
      <c r="B40">
        <v>19</v>
      </c>
      <c r="C40">
        <v>3516610.5108982935</v>
      </c>
      <c r="D40">
        <v>185084.76373148913</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-1113.8684010376721</v>
      </c>
      <c r="C44">
        <v>419.86380012070737</v>
      </c>
      <c r="D44">
        <v>-2.6529279273836996</v>
      </c>
      <c r="E44">
        <v>1.570190262287605E-2</v>
      </c>
      <c r="F44">
        <v>-1992.653434265595</v>
      </c>
      <c r="G44">
        <v>-235.08336780974912</v>
      </c>
      <c r="H44">
        <v>-1992.653434265595</v>
      </c>
      <c r="I44">
        <v>-235.08336780974912</v>
      </c>
    </row>
    <row r="45" spans="1:9" x14ac:dyDescent="0.25">
      <c r="A45" t="s">
        <v>1</v>
      </c>
      <c r="B45">
        <v>3.6122553547773473</v>
      </c>
      <c r="C45">
        <v>1.1816061982749808</v>
      </c>
      <c r="D45">
        <v>3.0570721108698105</v>
      </c>
      <c r="E45">
        <v>6.4862072813844842E-3</v>
      </c>
      <c r="F45">
        <v>1.1391251589498581</v>
      </c>
      <c r="G45">
        <v>6.0853855506048369</v>
      </c>
      <c r="H45">
        <v>1.1391251589498581</v>
      </c>
      <c r="I45">
        <v>6.0853855506048369</v>
      </c>
    </row>
    <row r="46" spans="1:9" x14ac:dyDescent="0.25">
      <c r="A46" t="s">
        <v>2</v>
      </c>
      <c r="B46">
        <v>4.2087948016149769E-2</v>
      </c>
      <c r="C46">
        <v>6.7308733758570721E-3</v>
      </c>
      <c r="D46">
        <v>6.2529698102945703</v>
      </c>
      <c r="E46">
        <v>5.2697689146830453E-6</v>
      </c>
      <c r="F46">
        <v>2.8000068133304454E-2</v>
      </c>
      <c r="G46">
        <v>5.6175827898995084E-2</v>
      </c>
      <c r="H46">
        <v>2.8000068133304454E-2</v>
      </c>
      <c r="I46">
        <v>5.6175827898995084E-2</v>
      </c>
    </row>
    <row r="47" spans="1:9" x14ac:dyDescent="0.25">
      <c r="A47" t="s">
        <v>3</v>
      </c>
      <c r="B47">
        <v>0.12885358945059097</v>
      </c>
      <c r="C47">
        <v>3.7034700098659383E-2</v>
      </c>
      <c r="D47">
        <v>3.4792664476107187</v>
      </c>
      <c r="E47">
        <v>2.5107072748677324E-3</v>
      </c>
      <c r="F47">
        <v>5.1339071296299083E-2</v>
      </c>
      <c r="G47">
        <v>0.20636810760488286</v>
      </c>
      <c r="H47">
        <v>5.1339071296299083E-2</v>
      </c>
      <c r="I47">
        <v>0.20636810760488286</v>
      </c>
    </row>
    <row r="48" spans="1:9" x14ac:dyDescent="0.25">
      <c r="A48" t="s">
        <v>4</v>
      </c>
      <c r="B48">
        <v>256.96896514108266</v>
      </c>
      <c r="C48">
        <v>39.133612383011908</v>
      </c>
      <c r="D48">
        <v>6.5664514337713973</v>
      </c>
      <c r="E48">
        <v>2.7541483150439962E-6</v>
      </c>
      <c r="F48">
        <v>175.06137308754785</v>
      </c>
      <c r="G48">
        <v>338.87655719461748</v>
      </c>
      <c r="H48">
        <v>175.06137308754785</v>
      </c>
      <c r="I48">
        <v>338.87655719461748</v>
      </c>
    </row>
    <row r="49" spans="1:9" ht="15.75" thickBot="1" x14ac:dyDescent="0.3">
      <c r="A49" s="2" t="s">
        <v>5</v>
      </c>
      <c r="B49" s="2">
        <v>324.53537387715181</v>
      </c>
      <c r="C49" s="2">
        <v>157.27661582670888</v>
      </c>
      <c r="D49" s="2">
        <v>2.0634686992167519</v>
      </c>
      <c r="E49" s="2">
        <v>5.3001392730417679E-2</v>
      </c>
      <c r="F49" s="2">
        <v>-4.6483662440845137</v>
      </c>
      <c r="G49" s="2">
        <v>653.71911399838814</v>
      </c>
      <c r="H49" s="2">
        <v>-4.6483662440845137</v>
      </c>
      <c r="I49" s="2">
        <v>653.71911399838814</v>
      </c>
    </row>
    <row r="53" spans="1:9" x14ac:dyDescent="0.25">
      <c r="A53" t="s">
        <v>33</v>
      </c>
    </row>
    <row r="54" spans="1:9" ht="15.75" thickBot="1" x14ac:dyDescent="0.3"/>
    <row r="55" spans="1:9" x14ac:dyDescent="0.25">
      <c r="A55" s="3" t="s">
        <v>34</v>
      </c>
      <c r="B55" s="3" t="s">
        <v>35</v>
      </c>
      <c r="C55" s="3" t="s">
        <v>36</v>
      </c>
      <c r="D55" s="3" t="s">
        <v>37</v>
      </c>
    </row>
    <row r="56" spans="1:9" x14ac:dyDescent="0.25">
      <c r="A56">
        <v>1</v>
      </c>
      <c r="B56">
        <v>3504.9251280796284</v>
      </c>
      <c r="C56">
        <v>164.95487192037172</v>
      </c>
      <c r="D56">
        <v>0.43093188872796589</v>
      </c>
    </row>
    <row r="57" spans="1:9" x14ac:dyDescent="0.25">
      <c r="A57">
        <v>2</v>
      </c>
      <c r="B57">
        <v>3901.1650905607057</v>
      </c>
      <c r="C57">
        <v>-427.2150905607059</v>
      </c>
      <c r="D57">
        <v>-1.1160664957945858</v>
      </c>
    </row>
    <row r="58" spans="1:9" x14ac:dyDescent="0.25">
      <c r="A58">
        <v>3</v>
      </c>
      <c r="B58">
        <v>2774.9228689570964</v>
      </c>
      <c r="C58">
        <v>-479.82286895709649</v>
      </c>
      <c r="D58">
        <v>-1.2535002620254039</v>
      </c>
    </row>
    <row r="59" spans="1:9" x14ac:dyDescent="0.25">
      <c r="A59">
        <v>4</v>
      </c>
      <c r="B59">
        <v>4911.9180550862675</v>
      </c>
      <c r="C59">
        <v>-236.35805508626709</v>
      </c>
      <c r="D59">
        <v>-0.61746720123284105</v>
      </c>
    </row>
    <row r="60" spans="1:9" x14ac:dyDescent="0.25">
      <c r="A60">
        <v>5</v>
      </c>
      <c r="B60">
        <v>5415.2317974922498</v>
      </c>
      <c r="C60">
        <v>710.72820250775021</v>
      </c>
      <c r="D60">
        <v>1.8567226485238015</v>
      </c>
    </row>
    <row r="61" spans="1:9" x14ac:dyDescent="0.25">
      <c r="A61">
        <v>6</v>
      </c>
      <c r="B61">
        <v>2026.0699920896661</v>
      </c>
      <c r="C61">
        <v>108.87000791033392</v>
      </c>
      <c r="D61">
        <v>0.28441450433350174</v>
      </c>
    </row>
    <row r="62" spans="1:9" x14ac:dyDescent="0.25">
      <c r="A62">
        <v>7</v>
      </c>
      <c r="B62">
        <v>5126.1985532230492</v>
      </c>
      <c r="C62">
        <v>-94.538553223049348</v>
      </c>
      <c r="D62">
        <v>-0.24697468358305996</v>
      </c>
    </row>
    <row r="63" spans="1:9" x14ac:dyDescent="0.25">
      <c r="A63">
        <v>8</v>
      </c>
      <c r="B63">
        <v>3106.9656414521114</v>
      </c>
      <c r="C63">
        <v>260.48435854788841</v>
      </c>
      <c r="D63">
        <v>0.68049530945239922</v>
      </c>
    </row>
    <row r="64" spans="1:9" x14ac:dyDescent="0.25">
      <c r="A64">
        <v>9</v>
      </c>
      <c r="B64">
        <v>6055.3659398729151</v>
      </c>
      <c r="C64">
        <v>464.08406012708474</v>
      </c>
      <c r="D64">
        <v>1.2123838370511879</v>
      </c>
    </row>
    <row r="65" spans="1:4" x14ac:dyDescent="0.25">
      <c r="A65">
        <v>10</v>
      </c>
      <c r="B65">
        <v>4143.6243686341413</v>
      </c>
      <c r="C65">
        <v>732.74563136585857</v>
      </c>
      <c r="D65">
        <v>1.9142414843866089</v>
      </c>
    </row>
    <row r="66" spans="1:4" x14ac:dyDescent="0.25">
      <c r="A66">
        <v>11</v>
      </c>
      <c r="B66">
        <v>2503.1564412286803</v>
      </c>
      <c r="C66">
        <v>-34.886441228680269</v>
      </c>
      <c r="D66">
        <v>-9.1138138780948175E-2</v>
      </c>
    </row>
    <row r="67" spans="1:4" x14ac:dyDescent="0.25">
      <c r="A67">
        <v>12</v>
      </c>
      <c r="B67">
        <v>1827.0422176740321</v>
      </c>
      <c r="C67">
        <v>706.2677823259678</v>
      </c>
      <c r="D67">
        <v>1.8450701445930071</v>
      </c>
    </row>
    <row r="68" spans="1:4" x14ac:dyDescent="0.25">
      <c r="A68">
        <v>13</v>
      </c>
      <c r="B68">
        <v>2478.1080965251608</v>
      </c>
      <c r="C68">
        <v>-69.99809652516069</v>
      </c>
      <c r="D68">
        <v>-0.18286463195528507</v>
      </c>
    </row>
    <row r="69" spans="1:4" x14ac:dyDescent="0.25">
      <c r="A69">
        <v>14</v>
      </c>
      <c r="B69">
        <v>2351.3672758441039</v>
      </c>
      <c r="C69">
        <v>-13.987275844103806</v>
      </c>
      <c r="D69">
        <v>-3.6540680050774002E-2</v>
      </c>
    </row>
    <row r="70" spans="1:4" x14ac:dyDescent="0.25">
      <c r="A70">
        <v>15</v>
      </c>
      <c r="B70">
        <v>4797.719789703985</v>
      </c>
      <c r="C70">
        <v>-210.76978970398523</v>
      </c>
      <c r="D70">
        <v>-0.55061983017864091</v>
      </c>
    </row>
    <row r="71" spans="1:4" x14ac:dyDescent="0.25">
      <c r="A71">
        <v>16</v>
      </c>
      <c r="B71">
        <v>2904.0828909440279</v>
      </c>
      <c r="C71">
        <v>-174.84289094402811</v>
      </c>
      <c r="D71">
        <v>-0.45676357629218189</v>
      </c>
    </row>
    <row r="72" spans="1:4" x14ac:dyDescent="0.25">
      <c r="A72">
        <v>17</v>
      </c>
      <c r="B72">
        <v>3362.6602345331112</v>
      </c>
      <c r="C72">
        <v>-73.260234533111088</v>
      </c>
      <c r="D72">
        <v>-0.19138671606648339</v>
      </c>
    </row>
    <row r="73" spans="1:4" x14ac:dyDescent="0.25">
      <c r="A73">
        <v>18</v>
      </c>
      <c r="B73">
        <v>2907.3559597487215</v>
      </c>
      <c r="C73">
        <v>-106.57595974872129</v>
      </c>
      <c r="D73">
        <v>-0.27842148032876751</v>
      </c>
    </row>
    <row r="74" spans="1:4" x14ac:dyDescent="0.25">
      <c r="A74">
        <v>19</v>
      </c>
      <c r="B74">
        <v>3625.0080383457789</v>
      </c>
      <c r="C74">
        <v>-360.8080383457791</v>
      </c>
      <c r="D74">
        <v>-0.94258319031422866</v>
      </c>
    </row>
    <row r="75" spans="1:4" x14ac:dyDescent="0.25">
      <c r="A75">
        <v>20</v>
      </c>
      <c r="B75">
        <v>4056.4507102081311</v>
      </c>
      <c r="C75">
        <v>-602.83071020813122</v>
      </c>
      <c r="D75">
        <v>-1.5748487662650763</v>
      </c>
    </row>
    <row r="76" spans="1:4" x14ac:dyDescent="0.25">
      <c r="A76">
        <v>21</v>
      </c>
      <c r="B76">
        <v>1409.8482355151509</v>
      </c>
      <c r="C76">
        <v>331.60176448484913</v>
      </c>
      <c r="D76">
        <v>0.86628405097342553</v>
      </c>
    </row>
    <row r="77" spans="1:4" x14ac:dyDescent="0.25">
      <c r="A77">
        <v>22</v>
      </c>
      <c r="B77">
        <v>2494.1185849348112</v>
      </c>
      <c r="C77">
        <v>-458.36858493481122</v>
      </c>
      <c r="D77">
        <v>-1.1974525986408837</v>
      </c>
    </row>
    <row r="78" spans="1:4" x14ac:dyDescent="0.25">
      <c r="A78">
        <v>23</v>
      </c>
      <c r="B78">
        <v>1617.535869705722</v>
      </c>
      <c r="C78">
        <v>-39.535869705722007</v>
      </c>
      <c r="D78">
        <v>-0.10328441231498707</v>
      </c>
    </row>
    <row r="79" spans="1:4" x14ac:dyDescent="0.25">
      <c r="A79">
        <v>24</v>
      </c>
      <c r="B79">
        <v>4574.6203777551373</v>
      </c>
      <c r="C79">
        <v>-407.18037775513767</v>
      </c>
      <c r="D79">
        <v>-1.0637273527979876</v>
      </c>
    </row>
    <row r="80" spans="1:4" ht="15.75" thickBot="1" x14ac:dyDescent="0.3">
      <c r="A80" s="2">
        <v>25</v>
      </c>
      <c r="B80" s="2">
        <v>2488.7278418855913</v>
      </c>
      <c r="C80" s="2">
        <v>311.24215811440854</v>
      </c>
      <c r="D80" s="2">
        <v>0.81309614858029611</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97C9-4AC1-416E-9955-74686AF8DD11}">
  <dimension ref="A1:M48"/>
  <sheetViews>
    <sheetView topLeftCell="A18" zoomScale="85" zoomScaleNormal="85" workbookViewId="0">
      <selection activeCell="F12" sqref="F12"/>
    </sheetView>
  </sheetViews>
  <sheetFormatPr defaultRowHeight="15" x14ac:dyDescent="0.25"/>
  <cols>
    <col min="1" max="1" width="17.7109375" customWidth="1"/>
    <col min="3" max="3" width="14" bestFit="1" customWidth="1"/>
    <col min="8" max="8" width="12.5703125" customWidth="1"/>
  </cols>
  <sheetData>
    <row r="1" spans="1:13" ht="30" x14ac:dyDescent="0.25">
      <c r="A1" t="s">
        <v>0</v>
      </c>
      <c r="B1" t="s">
        <v>1</v>
      </c>
      <c r="C1" t="s">
        <v>2</v>
      </c>
      <c r="D1" t="s">
        <v>3</v>
      </c>
      <c r="E1" t="s">
        <v>4</v>
      </c>
      <c r="H1" t="s">
        <v>52</v>
      </c>
      <c r="I1" s="9" t="s">
        <v>65</v>
      </c>
      <c r="J1" t="s">
        <v>41</v>
      </c>
    </row>
    <row r="2" spans="1:13" x14ac:dyDescent="0.25">
      <c r="A2">
        <v>3669.88</v>
      </c>
      <c r="B2">
        <v>43.1</v>
      </c>
      <c r="C2">
        <v>74065.100000000006</v>
      </c>
      <c r="D2">
        <v>4582.8999999999996</v>
      </c>
      <c r="E2">
        <v>2.5099999999999998</v>
      </c>
      <c r="H2">
        <f>C40</f>
        <v>4304683.4950907966</v>
      </c>
      <c r="I2">
        <v>3516610.5108982935</v>
      </c>
      <c r="J2">
        <f>(H2-I2)/1</f>
        <v>788072.98419250315</v>
      </c>
    </row>
    <row r="3" spans="1:13" x14ac:dyDescent="0.25">
      <c r="A3">
        <v>3473.95</v>
      </c>
      <c r="B3">
        <v>108.13</v>
      </c>
      <c r="C3">
        <v>58117.3</v>
      </c>
      <c r="D3">
        <v>5539.8</v>
      </c>
      <c r="E3">
        <v>5.51</v>
      </c>
      <c r="L3" t="s">
        <v>45</v>
      </c>
      <c r="M3">
        <f>J2/J5</f>
        <v>4.2579030726472782</v>
      </c>
    </row>
    <row r="4" spans="1:13" x14ac:dyDescent="0.25">
      <c r="A4">
        <v>2295.1</v>
      </c>
      <c r="B4">
        <v>13.82</v>
      </c>
      <c r="C4">
        <v>21118.5</v>
      </c>
      <c r="D4">
        <v>2950.4</v>
      </c>
      <c r="E4">
        <v>10.91</v>
      </c>
      <c r="H4" t="s">
        <v>64</v>
      </c>
      <c r="I4" t="s">
        <v>43</v>
      </c>
      <c r="J4" t="s">
        <v>44</v>
      </c>
    </row>
    <row r="5" spans="1:13" x14ac:dyDescent="0.25">
      <c r="A5">
        <v>4675.5600000000004</v>
      </c>
      <c r="B5">
        <v>186.18</v>
      </c>
      <c r="C5">
        <v>68521.3</v>
      </c>
      <c r="D5">
        <v>2243.1</v>
      </c>
      <c r="E5">
        <v>8.27</v>
      </c>
      <c r="H5">
        <f>I2</f>
        <v>3516610.5108982935</v>
      </c>
      <c r="I5">
        <f>25-5-1</f>
        <v>19</v>
      </c>
      <c r="J5">
        <f>H5/I5</f>
        <v>185084.76373148913</v>
      </c>
      <c r="L5" t="s">
        <v>46</v>
      </c>
      <c r="M5" s="22">
        <f>_xlfn.F.DIST.RT(M3,1,I5)</f>
        <v>5.3001392730417513E-2</v>
      </c>
    </row>
    <row r="6" spans="1:13" x14ac:dyDescent="0.25">
      <c r="A6">
        <v>6125.96</v>
      </c>
      <c r="B6">
        <v>161.79</v>
      </c>
      <c r="C6">
        <v>57805.1</v>
      </c>
      <c r="D6">
        <v>7747.1</v>
      </c>
      <c r="E6">
        <v>9.15</v>
      </c>
    </row>
    <row r="7" spans="1:13" x14ac:dyDescent="0.25">
      <c r="A7">
        <v>2134.94</v>
      </c>
      <c r="B7">
        <v>8.94</v>
      </c>
      <c r="C7">
        <v>37806.9</v>
      </c>
      <c r="D7">
        <v>402.4</v>
      </c>
      <c r="E7">
        <v>5.51</v>
      </c>
    </row>
    <row r="8" spans="1:13" x14ac:dyDescent="0.25">
      <c r="A8">
        <v>5031.66</v>
      </c>
      <c r="B8">
        <v>365.04</v>
      </c>
      <c r="C8">
        <v>50935.3</v>
      </c>
      <c r="D8">
        <v>3140.6</v>
      </c>
      <c r="E8">
        <v>8.5399999999999991</v>
      </c>
    </row>
    <row r="9" spans="1:13" x14ac:dyDescent="0.25">
      <c r="A9">
        <v>3367.45</v>
      </c>
      <c r="B9">
        <v>220.32</v>
      </c>
      <c r="C9">
        <v>35602.1</v>
      </c>
      <c r="D9">
        <v>2086.1999999999998</v>
      </c>
      <c r="E9">
        <v>7.07</v>
      </c>
    </row>
    <row r="10" spans="1:13" x14ac:dyDescent="0.25">
      <c r="A10">
        <v>6519.45</v>
      </c>
      <c r="B10">
        <v>127.64</v>
      </c>
      <c r="C10">
        <v>46176.800000000003</v>
      </c>
      <c r="D10">
        <v>8846.2000000000007</v>
      </c>
      <c r="E10">
        <v>12.54</v>
      </c>
    </row>
    <row r="11" spans="1:13" x14ac:dyDescent="0.25">
      <c r="A11">
        <v>4876.37</v>
      </c>
      <c r="B11">
        <v>105.69</v>
      </c>
      <c r="C11">
        <v>42053.2</v>
      </c>
      <c r="D11">
        <v>5673.1</v>
      </c>
      <c r="E11">
        <v>8.85</v>
      </c>
    </row>
    <row r="12" spans="1:13" x14ac:dyDescent="0.25">
      <c r="A12">
        <v>2468.27</v>
      </c>
      <c r="B12">
        <v>57.72</v>
      </c>
      <c r="C12">
        <v>36829.699999999997</v>
      </c>
      <c r="D12">
        <v>2761.8</v>
      </c>
      <c r="E12">
        <v>5.38</v>
      </c>
    </row>
    <row r="13" spans="1:13" x14ac:dyDescent="0.25">
      <c r="A13">
        <v>2533.31</v>
      </c>
      <c r="B13">
        <v>23.58</v>
      </c>
      <c r="C13">
        <v>33612.699999999997</v>
      </c>
      <c r="D13">
        <v>1991.8</v>
      </c>
      <c r="E13">
        <v>5.43</v>
      </c>
    </row>
    <row r="14" spans="1:13" x14ac:dyDescent="0.25">
      <c r="A14">
        <v>2408.11</v>
      </c>
      <c r="B14">
        <v>13.82</v>
      </c>
      <c r="C14">
        <v>21412.799999999999</v>
      </c>
      <c r="D14">
        <v>1971.5</v>
      </c>
      <c r="E14">
        <v>8.48</v>
      </c>
    </row>
    <row r="15" spans="1:13" x14ac:dyDescent="0.25">
      <c r="A15">
        <v>2337.38</v>
      </c>
      <c r="B15">
        <v>13.82</v>
      </c>
      <c r="C15">
        <v>20416.900000000001</v>
      </c>
      <c r="D15">
        <v>1737.4</v>
      </c>
      <c r="E15">
        <v>7.8</v>
      </c>
    </row>
    <row r="16" spans="1:13" x14ac:dyDescent="0.25">
      <c r="A16">
        <v>4586.95</v>
      </c>
      <c r="B16">
        <v>86.99</v>
      </c>
      <c r="C16">
        <v>36272</v>
      </c>
      <c r="D16">
        <v>10694.2</v>
      </c>
      <c r="E16">
        <v>10.34</v>
      </c>
    </row>
    <row r="17" spans="1:5" x14ac:dyDescent="0.25">
      <c r="A17">
        <v>2729.24</v>
      </c>
      <c r="B17">
        <v>165.85</v>
      </c>
      <c r="C17">
        <v>23093.3</v>
      </c>
      <c r="D17">
        <v>8618.6</v>
      </c>
      <c r="E17">
        <v>5.15</v>
      </c>
    </row>
    <row r="18" spans="1:5" x14ac:dyDescent="0.25">
      <c r="A18">
        <v>3289.4</v>
      </c>
      <c r="B18">
        <v>116.26</v>
      </c>
      <c r="C18">
        <v>26878.6</v>
      </c>
      <c r="D18">
        <v>7747.9</v>
      </c>
      <c r="E18">
        <v>6.64</v>
      </c>
    </row>
    <row r="19" spans="1:5" x14ac:dyDescent="0.25">
      <c r="A19">
        <v>2800.78</v>
      </c>
      <c r="B19">
        <v>42.28</v>
      </c>
      <c r="C19">
        <v>39572</v>
      </c>
      <c r="D19">
        <v>4565.8</v>
      </c>
      <c r="E19">
        <v>5.45</v>
      </c>
    </row>
    <row r="20" spans="1:5" x14ac:dyDescent="0.25">
      <c r="A20">
        <v>3264.2</v>
      </c>
      <c r="B20">
        <v>52.84</v>
      </c>
      <c r="C20">
        <v>51866.1</v>
      </c>
      <c r="D20">
        <v>6022.7</v>
      </c>
      <c r="E20">
        <v>6.31</v>
      </c>
    </row>
    <row r="21" spans="1:5" x14ac:dyDescent="0.25">
      <c r="A21">
        <v>3453.62</v>
      </c>
      <c r="B21">
        <v>165.04</v>
      </c>
      <c r="C21">
        <v>58749.8</v>
      </c>
      <c r="D21">
        <v>3721.1</v>
      </c>
      <c r="E21">
        <v>6.35</v>
      </c>
    </row>
    <row r="22" spans="1:5" x14ac:dyDescent="0.25">
      <c r="A22">
        <v>1741.45</v>
      </c>
      <c r="B22">
        <v>10.57</v>
      </c>
      <c r="C22">
        <v>23990.799999999999</v>
      </c>
      <c r="D22">
        <v>861</v>
      </c>
      <c r="E22">
        <v>7.37</v>
      </c>
    </row>
    <row r="23" spans="1:5" x14ac:dyDescent="0.25">
      <c r="A23">
        <v>2035.75</v>
      </c>
      <c r="B23">
        <v>13.82</v>
      </c>
      <c r="C23">
        <v>25694.9</v>
      </c>
      <c r="D23">
        <v>3571.5</v>
      </c>
      <c r="E23">
        <v>8.39</v>
      </c>
    </row>
    <row r="24" spans="1:5" x14ac:dyDescent="0.25">
      <c r="A24">
        <v>1578</v>
      </c>
      <c r="B24">
        <v>8.1300000000000008</v>
      </c>
      <c r="C24">
        <v>23736.3</v>
      </c>
      <c r="D24">
        <v>2845.5</v>
      </c>
      <c r="E24">
        <v>5.15</v>
      </c>
    </row>
    <row r="25" spans="1:5" x14ac:dyDescent="0.25">
      <c r="A25">
        <v>4167.4399999999996</v>
      </c>
      <c r="B25">
        <v>58.44</v>
      </c>
      <c r="C25">
        <v>34314.300000000003</v>
      </c>
      <c r="D25">
        <v>5060.1000000000004</v>
      </c>
      <c r="E25">
        <v>12.88</v>
      </c>
    </row>
    <row r="26" spans="1:5" x14ac:dyDescent="0.25">
      <c r="A26">
        <v>2799.97</v>
      </c>
      <c r="B26">
        <v>21.14</v>
      </c>
      <c r="C26">
        <v>22809.5</v>
      </c>
      <c r="D26">
        <v>3552</v>
      </c>
      <c r="E26">
        <v>9.14</v>
      </c>
    </row>
    <row r="28" spans="1:5" x14ac:dyDescent="0.25">
      <c r="A28" t="s">
        <v>9</v>
      </c>
    </row>
    <row r="29" spans="1:5" ht="15.75" thickBot="1" x14ac:dyDescent="0.3"/>
    <row r="30" spans="1:5" x14ac:dyDescent="0.25">
      <c r="A30" s="4" t="s">
        <v>10</v>
      </c>
      <c r="B30" s="4"/>
    </row>
    <row r="31" spans="1:5" x14ac:dyDescent="0.25">
      <c r="A31" t="s">
        <v>11</v>
      </c>
      <c r="B31">
        <v>0.94655731399290299</v>
      </c>
    </row>
    <row r="32" spans="1:5" x14ac:dyDescent="0.25">
      <c r="A32" t="s">
        <v>12</v>
      </c>
      <c r="B32">
        <v>0.89597074867345916</v>
      </c>
    </row>
    <row r="33" spans="1:9" x14ac:dyDescent="0.25">
      <c r="A33" t="s">
        <v>13</v>
      </c>
      <c r="B33">
        <v>0.87516489840815093</v>
      </c>
    </row>
    <row r="34" spans="1:9" x14ac:dyDescent="0.25">
      <c r="A34" t="s">
        <v>14</v>
      </c>
      <c r="B34">
        <v>463.93337318470617</v>
      </c>
    </row>
    <row r="35" spans="1:9" ht="15.75" thickBot="1" x14ac:dyDescent="0.3">
      <c r="A35" s="2" t="s">
        <v>15</v>
      </c>
      <c r="B35" s="2">
        <v>25</v>
      </c>
    </row>
    <row r="37" spans="1:9" ht="15.75" thickBot="1" x14ac:dyDescent="0.3">
      <c r="A37" t="s">
        <v>16</v>
      </c>
    </row>
    <row r="38" spans="1:9" x14ac:dyDescent="0.25">
      <c r="A38" s="3"/>
      <c r="B38" s="3" t="s">
        <v>21</v>
      </c>
      <c r="C38" s="3" t="s">
        <v>22</v>
      </c>
      <c r="D38" s="3" t="s">
        <v>23</v>
      </c>
      <c r="E38" s="3" t="s">
        <v>24</v>
      </c>
      <c r="F38" s="3" t="s">
        <v>25</v>
      </c>
    </row>
    <row r="39" spans="1:9" x14ac:dyDescent="0.25">
      <c r="A39" t="s">
        <v>17</v>
      </c>
      <c r="B39">
        <v>4</v>
      </c>
      <c r="C39">
        <v>37074865.431765206</v>
      </c>
      <c r="D39">
        <v>9268716.3579413015</v>
      </c>
      <c r="E39">
        <v>43.06340463131216</v>
      </c>
      <c r="F39">
        <v>1.4784318614591653E-9</v>
      </c>
    </row>
    <row r="40" spans="1:9" x14ac:dyDescent="0.25">
      <c r="A40" t="s">
        <v>18</v>
      </c>
      <c r="B40">
        <v>20</v>
      </c>
      <c r="C40" s="14">
        <v>4304683.4950907966</v>
      </c>
      <c r="D40">
        <v>215234.17475453982</v>
      </c>
    </row>
    <row r="41" spans="1:9" ht="15.75" thickBot="1" x14ac:dyDescent="0.3">
      <c r="A41" s="2" t="s">
        <v>19</v>
      </c>
      <c r="B41" s="2">
        <v>24</v>
      </c>
      <c r="C41" s="2">
        <v>41379548.926856004</v>
      </c>
      <c r="D41" s="2"/>
      <c r="E41" s="2"/>
      <c r="F41" s="2"/>
    </row>
    <row r="42" spans="1:9" ht="15.75" thickBot="1" x14ac:dyDescent="0.3"/>
    <row r="43" spans="1:9" x14ac:dyDescent="0.25">
      <c r="A43" s="3"/>
      <c r="B43" s="3" t="s">
        <v>26</v>
      </c>
      <c r="C43" s="3" t="s">
        <v>14</v>
      </c>
      <c r="D43" s="3" t="s">
        <v>27</v>
      </c>
      <c r="E43" s="3" t="s">
        <v>28</v>
      </c>
      <c r="F43" s="3" t="s">
        <v>29</v>
      </c>
      <c r="G43" s="3" t="s">
        <v>30</v>
      </c>
      <c r="H43" s="3" t="s">
        <v>31</v>
      </c>
      <c r="I43" s="3" t="s">
        <v>32</v>
      </c>
    </row>
    <row r="44" spans="1:9" x14ac:dyDescent="0.25">
      <c r="A44" t="s">
        <v>20</v>
      </c>
      <c r="B44">
        <v>-1312.3816582524514</v>
      </c>
      <c r="C44">
        <v>440.72544538285075</v>
      </c>
      <c r="D44">
        <v>-2.9777760099882764</v>
      </c>
      <c r="E44">
        <v>7.4385487537714061E-3</v>
      </c>
      <c r="F44">
        <v>-2231.7188276010465</v>
      </c>
      <c r="G44">
        <v>-393.0444889038564</v>
      </c>
      <c r="H44">
        <v>-2231.7188276010465</v>
      </c>
      <c r="I44">
        <v>-393.0444889038564</v>
      </c>
    </row>
    <row r="45" spans="1:9" x14ac:dyDescent="0.25">
      <c r="A45" t="s">
        <v>1</v>
      </c>
      <c r="B45">
        <v>3.8165956689443892</v>
      </c>
      <c r="C45">
        <v>1.2697332113247033</v>
      </c>
      <c r="D45">
        <v>3.0058248732129824</v>
      </c>
      <c r="E45">
        <v>6.9837073665654833E-3</v>
      </c>
      <c r="F45">
        <v>1.1679786023415542</v>
      </c>
      <c r="G45">
        <v>6.4652127355472242</v>
      </c>
      <c r="H45">
        <v>1.1679786023415542</v>
      </c>
      <c r="I45">
        <v>6.4652127355472242</v>
      </c>
    </row>
    <row r="46" spans="1:9" x14ac:dyDescent="0.25">
      <c r="A46" t="s">
        <v>2</v>
      </c>
      <c r="B46">
        <v>4.4395804049387373E-2</v>
      </c>
      <c r="C46">
        <v>7.1575067555168037E-3</v>
      </c>
      <c r="D46">
        <v>6.2026911836539087</v>
      </c>
      <c r="E46">
        <v>4.6542795425186249E-6</v>
      </c>
      <c r="F46">
        <v>2.9465506583820827E-2</v>
      </c>
      <c r="G46">
        <v>5.9326101514953919E-2</v>
      </c>
      <c r="H46">
        <v>2.9465506583820827E-2</v>
      </c>
      <c r="I46">
        <v>5.9326101514953919E-2</v>
      </c>
    </row>
    <row r="47" spans="1:9" x14ac:dyDescent="0.25">
      <c r="A47" t="s">
        <v>3</v>
      </c>
      <c r="B47">
        <v>0.15247414116453456</v>
      </c>
      <c r="C47">
        <v>3.7981733051443138E-2</v>
      </c>
      <c r="D47">
        <v>4.014407161411536</v>
      </c>
      <c r="E47">
        <v>6.8021821998425836E-4</v>
      </c>
      <c r="F47">
        <v>7.3245634355414396E-2</v>
      </c>
      <c r="G47">
        <v>0.23170264797365472</v>
      </c>
      <c r="H47">
        <v>7.3245634355414396E-2</v>
      </c>
      <c r="I47">
        <v>0.23170264797365472</v>
      </c>
    </row>
    <row r="48" spans="1:9" ht="15.75" thickBot="1" x14ac:dyDescent="0.3">
      <c r="A48" s="2" t="s">
        <v>4</v>
      </c>
      <c r="B48" s="2">
        <v>259.48432102156676</v>
      </c>
      <c r="C48" s="2">
        <v>42.18027631843534</v>
      </c>
      <c r="D48" s="2">
        <v>6.1517928204789012</v>
      </c>
      <c r="E48" s="2">
        <v>5.1985898303582257E-6</v>
      </c>
      <c r="F48" s="2">
        <v>171.49780642573666</v>
      </c>
      <c r="G48" s="2">
        <v>347.47083561739686</v>
      </c>
      <c r="H48" s="2">
        <v>171.49780642573666</v>
      </c>
      <c r="I48" s="2">
        <v>347.47083561739686</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BCAD-F48F-4E22-AF5F-8D46FD5C4EAF}">
  <dimension ref="A1:R20"/>
  <sheetViews>
    <sheetView topLeftCell="A12" workbookViewId="0">
      <selection activeCell="R25" sqref="R25"/>
    </sheetView>
  </sheetViews>
  <sheetFormatPr defaultRowHeight="15" x14ac:dyDescent="0.25"/>
  <cols>
    <col min="1" max="1" width="17.28515625" bestFit="1" customWidth="1"/>
    <col min="2" max="2" width="12.7109375" bestFit="1" customWidth="1"/>
    <col min="3" max="3" width="13.28515625" bestFit="1" customWidth="1"/>
    <col min="4" max="4" width="2.42578125" customWidth="1"/>
    <col min="5" max="5" width="4.140625" customWidth="1"/>
  </cols>
  <sheetData>
    <row r="1" spans="1:15" ht="15.75" x14ac:dyDescent="0.25">
      <c r="A1" s="44" t="s">
        <v>88</v>
      </c>
      <c r="B1" s="44" t="s">
        <v>89</v>
      </c>
      <c r="C1" s="44" t="s">
        <v>90</v>
      </c>
      <c r="F1" s="44" t="s">
        <v>91</v>
      </c>
      <c r="G1" s="44" t="s">
        <v>92</v>
      </c>
      <c r="H1" s="44" t="s">
        <v>93</v>
      </c>
    </row>
    <row r="2" spans="1:15" x14ac:dyDescent="0.25">
      <c r="A2" s="45">
        <v>58</v>
      </c>
      <c r="B2" s="45">
        <v>58</v>
      </c>
      <c r="C2" s="45">
        <v>48</v>
      </c>
      <c r="F2" s="45">
        <v>1</v>
      </c>
      <c r="G2" s="45">
        <v>0</v>
      </c>
      <c r="H2" s="45">
        <v>58</v>
      </c>
      <c r="J2" t="s">
        <v>9</v>
      </c>
    </row>
    <row r="3" spans="1:15" ht="15.75" thickBot="1" x14ac:dyDescent="0.3">
      <c r="A3" s="45">
        <v>64</v>
      </c>
      <c r="B3" s="45">
        <v>69</v>
      </c>
      <c r="C3" s="45">
        <v>57</v>
      </c>
      <c r="F3" s="45">
        <v>1</v>
      </c>
      <c r="G3" s="45">
        <v>0</v>
      </c>
      <c r="H3" s="45">
        <v>64</v>
      </c>
    </row>
    <row r="4" spans="1:15" x14ac:dyDescent="0.25">
      <c r="A4" s="45">
        <v>55</v>
      </c>
      <c r="B4" s="45">
        <v>71</v>
      </c>
      <c r="C4" s="45">
        <v>59</v>
      </c>
      <c r="F4" s="45">
        <v>1</v>
      </c>
      <c r="G4" s="45">
        <v>0</v>
      </c>
      <c r="H4" s="45">
        <v>55</v>
      </c>
      <c r="J4" s="4" t="s">
        <v>10</v>
      </c>
      <c r="K4" s="4"/>
    </row>
    <row r="5" spans="1:15" x14ac:dyDescent="0.25">
      <c r="A5" s="45">
        <v>66</v>
      </c>
      <c r="B5" s="45">
        <v>64</v>
      </c>
      <c r="C5" s="45">
        <v>47</v>
      </c>
      <c r="F5" s="45">
        <v>1</v>
      </c>
      <c r="G5" s="45">
        <v>0</v>
      </c>
      <c r="H5" s="45">
        <v>66</v>
      </c>
      <c r="J5" t="s">
        <v>11</v>
      </c>
      <c r="K5">
        <v>0.77759318592095295</v>
      </c>
    </row>
    <row r="6" spans="1:15" x14ac:dyDescent="0.25">
      <c r="A6" s="45">
        <v>67</v>
      </c>
      <c r="B6" s="45">
        <v>68</v>
      </c>
      <c r="C6" s="45">
        <v>49</v>
      </c>
      <c r="F6" s="45">
        <v>1</v>
      </c>
      <c r="G6" s="45">
        <v>0</v>
      </c>
      <c r="H6" s="45">
        <v>67</v>
      </c>
      <c r="J6" t="s">
        <v>12</v>
      </c>
      <c r="K6">
        <v>0.60465116279069764</v>
      </c>
    </row>
    <row r="7" spans="1:15" x14ac:dyDescent="0.25">
      <c r="F7" s="45">
        <v>0</v>
      </c>
      <c r="G7" s="45">
        <v>1</v>
      </c>
      <c r="H7" s="45">
        <v>58</v>
      </c>
      <c r="J7" t="s">
        <v>13</v>
      </c>
      <c r="K7">
        <v>0.53875968992248058</v>
      </c>
    </row>
    <row r="8" spans="1:15" x14ac:dyDescent="0.25">
      <c r="F8" s="45">
        <v>0</v>
      </c>
      <c r="G8" s="45">
        <v>1</v>
      </c>
      <c r="H8" s="45">
        <v>69</v>
      </c>
      <c r="J8" t="s">
        <v>14</v>
      </c>
      <c r="K8">
        <v>5.3229064742237702</v>
      </c>
    </row>
    <row r="9" spans="1:15" ht="15.75" thickBot="1" x14ac:dyDescent="0.3">
      <c r="F9" s="45">
        <v>0</v>
      </c>
      <c r="G9" s="45">
        <v>1</v>
      </c>
      <c r="H9" s="45">
        <v>71</v>
      </c>
      <c r="J9" s="2" t="s">
        <v>15</v>
      </c>
      <c r="K9" s="2">
        <v>15</v>
      </c>
    </row>
    <row r="10" spans="1:15" x14ac:dyDescent="0.25">
      <c r="F10" s="45">
        <v>0</v>
      </c>
      <c r="G10" s="45">
        <v>1</v>
      </c>
      <c r="H10" s="45">
        <v>64</v>
      </c>
    </row>
    <row r="11" spans="1:15" ht="15.75" thickBot="1" x14ac:dyDescent="0.3">
      <c r="F11" s="45">
        <v>0</v>
      </c>
      <c r="G11" s="45">
        <v>1</v>
      </c>
      <c r="H11" s="45">
        <v>68</v>
      </c>
      <c r="J11" t="s">
        <v>16</v>
      </c>
    </row>
    <row r="12" spans="1:15" x14ac:dyDescent="0.25">
      <c r="F12" s="45">
        <v>0</v>
      </c>
      <c r="G12" s="45">
        <v>0</v>
      </c>
      <c r="H12" s="45">
        <v>48</v>
      </c>
      <c r="J12" s="3"/>
      <c r="K12" s="3" t="s">
        <v>21</v>
      </c>
      <c r="L12" s="3" t="s">
        <v>22</v>
      </c>
      <c r="M12" s="3" t="s">
        <v>23</v>
      </c>
      <c r="N12" s="3" t="s">
        <v>24</v>
      </c>
      <c r="O12" s="3" t="s">
        <v>25</v>
      </c>
    </row>
    <row r="13" spans="1:15" x14ac:dyDescent="0.25">
      <c r="F13" s="45">
        <v>0</v>
      </c>
      <c r="G13" s="45">
        <v>0</v>
      </c>
      <c r="H13" s="45">
        <v>57</v>
      </c>
      <c r="J13" t="s">
        <v>17</v>
      </c>
      <c r="K13">
        <v>2</v>
      </c>
      <c r="L13">
        <v>520</v>
      </c>
      <c r="M13">
        <v>260</v>
      </c>
      <c r="N13">
        <v>9.1764705882352953</v>
      </c>
      <c r="O13">
        <v>3.8184120755124845E-3</v>
      </c>
    </row>
    <row r="14" spans="1:15" x14ac:dyDescent="0.25">
      <c r="F14" s="45">
        <v>0</v>
      </c>
      <c r="G14" s="45">
        <v>0</v>
      </c>
      <c r="H14" s="45">
        <v>59</v>
      </c>
      <c r="J14" t="s">
        <v>18</v>
      </c>
      <c r="K14">
        <v>12</v>
      </c>
      <c r="L14">
        <v>340</v>
      </c>
      <c r="M14">
        <v>28.333333333333332</v>
      </c>
    </row>
    <row r="15" spans="1:15" ht="15.75" thickBot="1" x14ac:dyDescent="0.3">
      <c r="F15" s="45">
        <v>0</v>
      </c>
      <c r="G15" s="45">
        <v>0</v>
      </c>
      <c r="H15" s="45">
        <v>47</v>
      </c>
      <c r="J15" s="2" t="s">
        <v>19</v>
      </c>
      <c r="K15" s="2">
        <v>14</v>
      </c>
      <c r="L15" s="2">
        <v>860</v>
      </c>
      <c r="M15" s="2"/>
      <c r="N15" s="2"/>
      <c r="O15" s="2"/>
    </row>
    <row r="16" spans="1:15" ht="15.75" thickBot="1" x14ac:dyDescent="0.3">
      <c r="F16" s="45">
        <v>0</v>
      </c>
      <c r="G16" s="45">
        <v>0</v>
      </c>
      <c r="H16" s="45">
        <v>49</v>
      </c>
    </row>
    <row r="17" spans="10:18" x14ac:dyDescent="0.25">
      <c r="J17" s="3"/>
      <c r="K17" s="3" t="s">
        <v>26</v>
      </c>
      <c r="L17" s="3" t="s">
        <v>14</v>
      </c>
      <c r="M17" s="3" t="s">
        <v>27</v>
      </c>
      <c r="N17" s="3" t="s">
        <v>28</v>
      </c>
      <c r="O17" s="3" t="s">
        <v>29</v>
      </c>
      <c r="P17" s="3" t="s">
        <v>30</v>
      </c>
      <c r="Q17" s="3" t="s">
        <v>31</v>
      </c>
      <c r="R17" s="3" t="s">
        <v>32</v>
      </c>
    </row>
    <row r="18" spans="10:18" x14ac:dyDescent="0.25">
      <c r="J18" t="s">
        <v>20</v>
      </c>
      <c r="K18">
        <v>52</v>
      </c>
      <c r="L18">
        <v>2.3804761428476171</v>
      </c>
      <c r="M18">
        <v>21.844369310836949</v>
      </c>
      <c r="N18">
        <v>4.9684652473898513E-11</v>
      </c>
      <c r="O18">
        <v>46.813388039246853</v>
      </c>
      <c r="P18">
        <v>57.186611960753147</v>
      </c>
      <c r="Q18">
        <v>46.813388039246853</v>
      </c>
      <c r="R18">
        <v>57.186611960753147</v>
      </c>
    </row>
    <row r="19" spans="10:18" x14ac:dyDescent="0.25">
      <c r="J19" t="s">
        <v>91</v>
      </c>
      <c r="K19">
        <v>9.9999999999999982</v>
      </c>
      <c r="L19">
        <v>3.366501646120692</v>
      </c>
      <c r="M19">
        <v>2.970442628930023</v>
      </c>
      <c r="N19">
        <v>1.1691565553439491E-2</v>
      </c>
      <c r="O19">
        <v>2.6650230223363911</v>
      </c>
      <c r="P19">
        <v>17.334976977663604</v>
      </c>
      <c r="Q19">
        <v>2.6650230223363911</v>
      </c>
      <c r="R19">
        <v>17.334976977663604</v>
      </c>
    </row>
    <row r="20" spans="10:18" ht="15.75" thickBot="1" x14ac:dyDescent="0.3">
      <c r="J20" s="2" t="s">
        <v>92</v>
      </c>
      <c r="K20" s="2">
        <v>14.000000000000002</v>
      </c>
      <c r="L20" s="2">
        <v>3.3665016461206929</v>
      </c>
      <c r="M20" s="2">
        <v>4.1586196805020323</v>
      </c>
      <c r="N20" s="2">
        <v>1.3260532637609746E-3</v>
      </c>
      <c r="O20" s="2">
        <v>6.665023022336392</v>
      </c>
      <c r="P20" s="2">
        <v>21.334976977663612</v>
      </c>
      <c r="Q20" s="2">
        <v>6.665023022336392</v>
      </c>
      <c r="R20" s="2">
        <v>21.334976977663612</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A5053-F320-4364-8260-9B5753C6A6EC}">
  <dimension ref="A1:M119"/>
  <sheetViews>
    <sheetView tabSelected="1" topLeftCell="A78" zoomScale="85" zoomScaleNormal="85" workbookViewId="0">
      <selection activeCell="H102" sqref="H102"/>
    </sheetView>
  </sheetViews>
  <sheetFormatPr defaultRowHeight="15" x14ac:dyDescent="0.25"/>
  <cols>
    <col min="1" max="1" width="13.140625" customWidth="1"/>
    <col min="2" max="2" width="15.28515625" customWidth="1"/>
    <col min="4" max="4" width="18.140625" customWidth="1"/>
    <col min="8" max="8" width="13.85546875" bestFit="1" customWidth="1"/>
    <col min="9" max="9" width="25" customWidth="1"/>
    <col min="10" max="10" width="23.42578125" customWidth="1"/>
    <col min="11" max="11" width="9.5703125" customWidth="1"/>
    <col min="12" max="12" width="34.28515625" customWidth="1"/>
  </cols>
  <sheetData>
    <row r="1" spans="1:9" x14ac:dyDescent="0.25">
      <c r="A1" t="s">
        <v>0</v>
      </c>
      <c r="B1" t="s">
        <v>6</v>
      </c>
      <c r="C1" t="s">
        <v>3</v>
      </c>
      <c r="D1" t="s">
        <v>2</v>
      </c>
      <c r="E1" t="s">
        <v>4</v>
      </c>
      <c r="F1" t="s">
        <v>1</v>
      </c>
      <c r="G1" t="s">
        <v>5</v>
      </c>
    </row>
    <row r="2" spans="1:9" x14ac:dyDescent="0.25">
      <c r="A2">
        <v>3669.88</v>
      </c>
      <c r="B2">
        <v>74.86</v>
      </c>
      <c r="C2">
        <v>4582.8999999999996</v>
      </c>
      <c r="D2">
        <v>74065.100000000006</v>
      </c>
      <c r="E2">
        <v>2.5099999999999998</v>
      </c>
      <c r="F2">
        <v>43.1</v>
      </c>
      <c r="G2">
        <v>0.34</v>
      </c>
      <c r="I2" s="24"/>
    </row>
    <row r="3" spans="1:9" x14ac:dyDescent="0.25">
      <c r="A3">
        <v>3473.95</v>
      </c>
      <c r="B3">
        <v>107.32</v>
      </c>
      <c r="C3">
        <v>5539.8</v>
      </c>
      <c r="D3">
        <v>58117.3</v>
      </c>
      <c r="E3">
        <v>5.51</v>
      </c>
      <c r="F3">
        <v>108.13</v>
      </c>
      <c r="G3">
        <v>0.15</v>
      </c>
      <c r="I3" s="24"/>
    </row>
    <row r="4" spans="1:9" x14ac:dyDescent="0.25">
      <c r="A4">
        <v>2295.1</v>
      </c>
      <c r="B4">
        <v>96.75</v>
      </c>
      <c r="C4">
        <v>2950.4</v>
      </c>
      <c r="D4">
        <v>21118.5</v>
      </c>
      <c r="E4">
        <v>10.91</v>
      </c>
      <c r="F4">
        <v>13.82</v>
      </c>
      <c r="G4">
        <v>-0.72</v>
      </c>
    </row>
    <row r="5" spans="1:9" x14ac:dyDescent="0.25">
      <c r="A5">
        <v>4675.5600000000004</v>
      </c>
      <c r="B5">
        <v>195.12</v>
      </c>
      <c r="C5">
        <v>2243.1</v>
      </c>
      <c r="D5">
        <v>68521.3</v>
      </c>
      <c r="E5">
        <v>8.27</v>
      </c>
      <c r="F5">
        <v>186.18</v>
      </c>
      <c r="G5">
        <v>0.17</v>
      </c>
    </row>
    <row r="6" spans="1:9" x14ac:dyDescent="0.25">
      <c r="A6">
        <v>6125.96</v>
      </c>
      <c r="B6">
        <v>180.44</v>
      </c>
      <c r="C6">
        <v>7747.1</v>
      </c>
      <c r="D6">
        <v>57805.1</v>
      </c>
      <c r="E6">
        <v>9.15</v>
      </c>
      <c r="F6">
        <v>161.79</v>
      </c>
      <c r="G6">
        <v>0.5</v>
      </c>
    </row>
    <row r="7" spans="1:9" x14ac:dyDescent="0.25">
      <c r="A7">
        <v>2134.94</v>
      </c>
      <c r="B7">
        <v>104.88</v>
      </c>
      <c r="C7">
        <v>402.4</v>
      </c>
      <c r="D7">
        <v>37806.9</v>
      </c>
      <c r="E7">
        <v>5.51</v>
      </c>
      <c r="F7">
        <v>8.94</v>
      </c>
      <c r="G7">
        <v>0.15</v>
      </c>
    </row>
    <row r="8" spans="1:9" x14ac:dyDescent="0.25">
      <c r="A8">
        <v>5031.66</v>
      </c>
      <c r="B8">
        <v>256.10000000000002</v>
      </c>
      <c r="C8">
        <v>3140.6</v>
      </c>
      <c r="D8">
        <v>50935.3</v>
      </c>
      <c r="E8">
        <v>8.5399999999999991</v>
      </c>
      <c r="F8">
        <v>365.04</v>
      </c>
      <c r="G8">
        <v>0.55000000000000004</v>
      </c>
    </row>
    <row r="9" spans="1:9" x14ac:dyDescent="0.25">
      <c r="A9">
        <v>3367.45</v>
      </c>
      <c r="B9">
        <v>126.83</v>
      </c>
      <c r="C9">
        <v>2086.1999999999998</v>
      </c>
      <c r="D9">
        <v>35602.1</v>
      </c>
      <c r="E9">
        <v>7.07</v>
      </c>
      <c r="F9">
        <v>220.32</v>
      </c>
      <c r="G9">
        <v>-0.49</v>
      </c>
    </row>
    <row r="10" spans="1:9" x14ac:dyDescent="0.25">
      <c r="A10">
        <v>6519.45</v>
      </c>
      <c r="B10">
        <v>203.25</v>
      </c>
      <c r="C10">
        <v>8846.2000000000007</v>
      </c>
      <c r="D10">
        <v>46176.800000000003</v>
      </c>
      <c r="E10">
        <v>12.54</v>
      </c>
      <c r="F10">
        <v>127.64</v>
      </c>
      <c r="G10">
        <v>1.24</v>
      </c>
    </row>
    <row r="11" spans="1:9" x14ac:dyDescent="0.25">
      <c r="A11">
        <v>4876.37</v>
      </c>
      <c r="B11">
        <v>119.51</v>
      </c>
      <c r="C11">
        <v>5673.1</v>
      </c>
      <c r="D11">
        <v>42053.2</v>
      </c>
      <c r="E11">
        <v>8.85</v>
      </c>
      <c r="F11">
        <v>105.69</v>
      </c>
      <c r="G11">
        <v>0.31</v>
      </c>
    </row>
    <row r="12" spans="1:9" x14ac:dyDescent="0.25">
      <c r="A12">
        <v>2468.27</v>
      </c>
      <c r="B12">
        <v>116.26</v>
      </c>
      <c r="C12">
        <v>2761.8</v>
      </c>
      <c r="D12">
        <v>36829.699999999997</v>
      </c>
      <c r="E12">
        <v>5.38</v>
      </c>
      <c r="F12">
        <v>57.72</v>
      </c>
      <c r="G12">
        <v>0.37</v>
      </c>
    </row>
    <row r="13" spans="1:9" x14ac:dyDescent="0.25">
      <c r="A13">
        <v>2533.31</v>
      </c>
      <c r="B13">
        <v>142.28</v>
      </c>
      <c r="C13">
        <v>1991.8</v>
      </c>
      <c r="D13">
        <v>33612.699999999997</v>
      </c>
      <c r="E13">
        <v>5.43</v>
      </c>
      <c r="F13">
        <v>23.58</v>
      </c>
      <c r="G13">
        <v>-0.65</v>
      </c>
    </row>
    <row r="14" spans="1:9" x14ac:dyDescent="0.25">
      <c r="A14">
        <v>2408.11</v>
      </c>
      <c r="B14">
        <v>89.43</v>
      </c>
      <c r="C14">
        <v>1971.5</v>
      </c>
      <c r="D14">
        <v>21412.799999999999</v>
      </c>
      <c r="E14">
        <v>8.48</v>
      </c>
      <c r="F14">
        <v>13.82</v>
      </c>
      <c r="G14">
        <v>0.64</v>
      </c>
    </row>
    <row r="15" spans="1:9" x14ac:dyDescent="0.25">
      <c r="A15">
        <v>2337.38</v>
      </c>
      <c r="B15">
        <v>84.55</v>
      </c>
      <c r="C15">
        <v>1737.4</v>
      </c>
      <c r="D15">
        <v>20416.900000000001</v>
      </c>
      <c r="E15">
        <v>7.8</v>
      </c>
      <c r="F15">
        <v>13.82</v>
      </c>
      <c r="G15">
        <v>1.01</v>
      </c>
    </row>
    <row r="16" spans="1:9" x14ac:dyDescent="0.25">
      <c r="A16">
        <v>4586.95</v>
      </c>
      <c r="B16">
        <v>119.51</v>
      </c>
      <c r="C16">
        <v>10694.2</v>
      </c>
      <c r="D16">
        <v>36272</v>
      </c>
      <c r="E16">
        <v>10.34</v>
      </c>
      <c r="F16">
        <v>86.99</v>
      </c>
      <c r="G16">
        <v>0.11</v>
      </c>
    </row>
    <row r="17" spans="1:7" x14ac:dyDescent="0.25">
      <c r="A17">
        <v>2729.24</v>
      </c>
      <c r="B17">
        <v>80.489999999999995</v>
      </c>
      <c r="C17">
        <v>8618.6</v>
      </c>
      <c r="D17">
        <v>23093.3</v>
      </c>
      <c r="E17">
        <v>5.15</v>
      </c>
      <c r="F17">
        <v>165.85</v>
      </c>
      <c r="G17">
        <v>0.04</v>
      </c>
    </row>
    <row r="18" spans="1:7" x14ac:dyDescent="0.25">
      <c r="A18">
        <v>3289.4</v>
      </c>
      <c r="B18">
        <v>136.58000000000001</v>
      </c>
      <c r="C18">
        <v>7747.9</v>
      </c>
      <c r="D18">
        <v>26878.6</v>
      </c>
      <c r="E18">
        <v>6.64</v>
      </c>
      <c r="F18">
        <v>116.26</v>
      </c>
      <c r="G18">
        <v>0.68</v>
      </c>
    </row>
    <row r="19" spans="1:7" x14ac:dyDescent="0.25">
      <c r="A19">
        <v>2800.78</v>
      </c>
      <c r="B19">
        <v>78.86</v>
      </c>
      <c r="C19">
        <v>4565.8</v>
      </c>
      <c r="D19">
        <v>39572</v>
      </c>
      <c r="E19">
        <v>5.45</v>
      </c>
      <c r="F19">
        <v>42.28</v>
      </c>
      <c r="G19">
        <v>0.66</v>
      </c>
    </row>
    <row r="20" spans="1:7" x14ac:dyDescent="0.25">
      <c r="A20">
        <v>3264.2</v>
      </c>
      <c r="B20">
        <v>136.58000000000001</v>
      </c>
      <c r="C20">
        <v>6022.7</v>
      </c>
      <c r="D20">
        <v>51866.1</v>
      </c>
      <c r="E20">
        <v>6.31</v>
      </c>
      <c r="F20">
        <v>52.84</v>
      </c>
      <c r="G20">
        <v>-0.1</v>
      </c>
    </row>
    <row r="21" spans="1:7" x14ac:dyDescent="0.25">
      <c r="A21">
        <v>3453.62</v>
      </c>
      <c r="B21">
        <v>138.21</v>
      </c>
      <c r="C21">
        <v>3721.1</v>
      </c>
      <c r="D21">
        <v>58749.8</v>
      </c>
      <c r="E21">
        <v>6.35</v>
      </c>
      <c r="F21">
        <v>165.04</v>
      </c>
      <c r="G21">
        <v>-0.03</v>
      </c>
    </row>
    <row r="22" spans="1:7" x14ac:dyDescent="0.25">
      <c r="A22">
        <v>1741.45</v>
      </c>
      <c r="B22">
        <v>75.61</v>
      </c>
      <c r="C22">
        <v>861</v>
      </c>
      <c r="D22">
        <v>23990.799999999999</v>
      </c>
      <c r="E22">
        <v>7.37</v>
      </c>
      <c r="F22">
        <v>10.57</v>
      </c>
      <c r="G22">
        <v>-1.63</v>
      </c>
    </row>
    <row r="23" spans="1:7" x14ac:dyDescent="0.25">
      <c r="A23">
        <v>2035.75</v>
      </c>
      <c r="B23">
        <v>102.44</v>
      </c>
      <c r="C23">
        <v>3571.5</v>
      </c>
      <c r="D23">
        <v>25694.9</v>
      </c>
      <c r="E23">
        <v>8.39</v>
      </c>
      <c r="F23">
        <v>13.82</v>
      </c>
      <c r="G23">
        <v>-0.43</v>
      </c>
    </row>
    <row r="24" spans="1:7" x14ac:dyDescent="0.25">
      <c r="A24">
        <v>1578</v>
      </c>
      <c r="B24">
        <v>76.42</v>
      </c>
      <c r="C24">
        <v>2845.5</v>
      </c>
      <c r="D24">
        <v>23736.3</v>
      </c>
      <c r="E24">
        <v>5.15</v>
      </c>
      <c r="F24">
        <v>8.1300000000000008</v>
      </c>
      <c r="G24">
        <v>0.04</v>
      </c>
    </row>
    <row r="25" spans="1:7" x14ac:dyDescent="0.25">
      <c r="A25">
        <v>4167.4399999999996</v>
      </c>
      <c r="B25">
        <v>136.58000000000001</v>
      </c>
      <c r="C25">
        <v>5060.1000000000004</v>
      </c>
      <c r="D25">
        <v>34314.300000000003</v>
      </c>
      <c r="E25">
        <v>12.88</v>
      </c>
      <c r="F25">
        <v>58.44</v>
      </c>
      <c r="G25">
        <v>0.22</v>
      </c>
    </row>
    <row r="26" spans="1:7" x14ac:dyDescent="0.25">
      <c r="A26">
        <v>2799.97</v>
      </c>
      <c r="B26">
        <v>88.62</v>
      </c>
      <c r="C26">
        <v>3552</v>
      </c>
      <c r="D26">
        <v>22809.5</v>
      </c>
      <c r="E26">
        <v>9.14</v>
      </c>
      <c r="F26">
        <v>21.14</v>
      </c>
      <c r="G26">
        <v>-0.74</v>
      </c>
    </row>
    <row r="29" spans="1:7" x14ac:dyDescent="0.25">
      <c r="A29" t="s">
        <v>9</v>
      </c>
    </row>
    <row r="30" spans="1:7" ht="15.75" thickBot="1" x14ac:dyDescent="0.3"/>
    <row r="31" spans="1:7" x14ac:dyDescent="0.25">
      <c r="A31" s="4" t="s">
        <v>10</v>
      </c>
      <c r="B31" s="4"/>
    </row>
    <row r="32" spans="1:7" x14ac:dyDescent="0.25">
      <c r="A32" t="s">
        <v>11</v>
      </c>
      <c r="B32">
        <v>0.95933183695641411</v>
      </c>
    </row>
    <row r="33" spans="1:7" x14ac:dyDescent="0.25">
      <c r="A33" t="s">
        <v>12</v>
      </c>
      <c r="B33">
        <v>0.920317573398168</v>
      </c>
    </row>
    <row r="34" spans="1:7" x14ac:dyDescent="0.25">
      <c r="A34" t="s">
        <v>13</v>
      </c>
      <c r="B34">
        <v>0.8937567645308907</v>
      </c>
    </row>
    <row r="35" spans="1:7" x14ac:dyDescent="0.25">
      <c r="A35" t="s">
        <v>14</v>
      </c>
      <c r="B35">
        <v>427.99421531534256</v>
      </c>
    </row>
    <row r="36" spans="1:7" ht="15.75" thickBot="1" x14ac:dyDescent="0.3">
      <c r="A36" s="2" t="s">
        <v>15</v>
      </c>
      <c r="B36" s="2">
        <v>25</v>
      </c>
    </row>
    <row r="38" spans="1:7" ht="15.75" thickBot="1" x14ac:dyDescent="0.3">
      <c r="A38" t="s">
        <v>16</v>
      </c>
    </row>
    <row r="39" spans="1:7" x14ac:dyDescent="0.25">
      <c r="A39" s="3"/>
      <c r="B39" s="3" t="s">
        <v>21</v>
      </c>
      <c r="C39" s="3" t="s">
        <v>22</v>
      </c>
      <c r="D39" s="3" t="s">
        <v>23</v>
      </c>
      <c r="E39" s="3" t="s">
        <v>24</v>
      </c>
      <c r="F39" s="3" t="s">
        <v>25</v>
      </c>
    </row>
    <row r="40" spans="1:7" x14ac:dyDescent="0.25">
      <c r="A40" t="s">
        <v>17</v>
      </c>
      <c r="B40">
        <v>6</v>
      </c>
      <c r="C40">
        <v>38082326.056674883</v>
      </c>
      <c r="D40">
        <v>6347054.3427791474</v>
      </c>
      <c r="E40">
        <v>34.649455820300311</v>
      </c>
      <c r="F40">
        <v>6.1378357411181431E-9</v>
      </c>
    </row>
    <row r="41" spans="1:7" x14ac:dyDescent="0.25">
      <c r="A41" t="s">
        <v>18</v>
      </c>
      <c r="B41">
        <v>18</v>
      </c>
      <c r="C41">
        <v>3297222.8701811242</v>
      </c>
      <c r="D41">
        <v>183179.04834339579</v>
      </c>
    </row>
    <row r="42" spans="1:7" ht="15.75" thickBot="1" x14ac:dyDescent="0.3">
      <c r="A42" s="2" t="s">
        <v>19</v>
      </c>
      <c r="B42" s="2">
        <v>24</v>
      </c>
      <c r="C42" s="2">
        <v>41379548.926856004</v>
      </c>
      <c r="D42" s="2"/>
      <c r="E42" s="2"/>
      <c r="F42" s="2"/>
    </row>
    <row r="43" spans="1:7" ht="15.75" thickBot="1" x14ac:dyDescent="0.3"/>
    <row r="44" spans="1:7" x14ac:dyDescent="0.25">
      <c r="A44" s="3"/>
      <c r="B44" s="3" t="s">
        <v>26</v>
      </c>
      <c r="C44" s="3" t="s">
        <v>14</v>
      </c>
      <c r="D44" s="3" t="s">
        <v>27</v>
      </c>
      <c r="E44" s="3" t="s">
        <v>28</v>
      </c>
      <c r="F44" s="3" t="s">
        <v>29</v>
      </c>
      <c r="G44" s="3" t="s">
        <v>30</v>
      </c>
    </row>
    <row r="45" spans="1:7" x14ac:dyDescent="0.25">
      <c r="A45" t="s">
        <v>20</v>
      </c>
      <c r="B45" s="23">
        <v>-1165.5114338985757</v>
      </c>
      <c r="C45" s="23">
        <v>420.35380997393906</v>
      </c>
      <c r="D45" s="23">
        <v>-2.7726914952212152</v>
      </c>
      <c r="E45" s="23">
        <v>1.2549198071019318E-2</v>
      </c>
      <c r="F45" s="23">
        <v>-2048.6420179721172</v>
      </c>
      <c r="G45" s="23">
        <v>-282.38084982503415</v>
      </c>
    </row>
    <row r="46" spans="1:7" x14ac:dyDescent="0.25">
      <c r="A46" t="s">
        <v>6</v>
      </c>
      <c r="B46" s="23">
        <v>4.3765565092939314</v>
      </c>
      <c r="C46" s="23">
        <v>3.9991193062461159</v>
      </c>
      <c r="D46" s="23">
        <v>1.0943800807488555</v>
      </c>
      <c r="E46" s="23">
        <v>0.28821727366980238</v>
      </c>
      <c r="F46" s="23">
        <v>-4.0252813827519818</v>
      </c>
      <c r="G46" s="23">
        <v>12.778394401339845</v>
      </c>
    </row>
    <row r="47" spans="1:7" x14ac:dyDescent="0.25">
      <c r="A47" t="s">
        <v>3</v>
      </c>
      <c r="B47" s="23">
        <v>0.14066510880848429</v>
      </c>
      <c r="C47" s="23">
        <v>3.8391836510497976E-2</v>
      </c>
      <c r="D47" s="23">
        <v>3.6639327938901909</v>
      </c>
      <c r="E47" s="23">
        <v>1.775694824347475E-3</v>
      </c>
      <c r="F47" s="23">
        <v>6.0006853318248524E-2</v>
      </c>
      <c r="G47" s="23">
        <v>0.22132336429872007</v>
      </c>
    </row>
    <row r="48" spans="1:7" x14ac:dyDescent="0.25">
      <c r="A48" t="s">
        <v>2</v>
      </c>
      <c r="B48" s="23">
        <v>3.8278723326045747E-2</v>
      </c>
      <c r="C48" s="23">
        <v>7.5467578025664034E-3</v>
      </c>
      <c r="D48" s="23">
        <v>5.0722077384050159</v>
      </c>
      <c r="E48" s="23">
        <v>7.9429868068075824E-5</v>
      </c>
      <c r="F48" s="23">
        <v>2.2423573526272968E-2</v>
      </c>
      <c r="G48" s="23">
        <v>5.4133873125818521E-2</v>
      </c>
    </row>
    <row r="49" spans="1:13" x14ac:dyDescent="0.25">
      <c r="A49" t="s">
        <v>4</v>
      </c>
      <c r="B49" s="23">
        <v>221.62205149125867</v>
      </c>
      <c r="C49" s="23">
        <v>50.585264398642437</v>
      </c>
      <c r="D49" s="23">
        <v>4.3811583101502256</v>
      </c>
      <c r="E49" s="23">
        <v>3.6016795553687331E-4</v>
      </c>
      <c r="F49" s="23">
        <v>115.34635460473046</v>
      </c>
      <c r="G49" s="23">
        <v>327.89774837778691</v>
      </c>
    </row>
    <row r="50" spans="1:13" x14ac:dyDescent="0.25">
      <c r="A50" t="s">
        <v>1</v>
      </c>
      <c r="B50" s="23">
        <v>2.269859584997123</v>
      </c>
      <c r="C50" s="23">
        <v>1.6989497673199696</v>
      </c>
      <c r="D50" s="23">
        <v>1.3360369027141648</v>
      </c>
      <c r="E50" s="23">
        <v>0.19818398869344583</v>
      </c>
      <c r="F50" s="23">
        <v>-1.299501426427784</v>
      </c>
      <c r="G50" s="23">
        <v>5.8392205964220301</v>
      </c>
    </row>
    <row r="51" spans="1:13" ht="15.75" thickBot="1" x14ac:dyDescent="0.3">
      <c r="A51" s="2" t="s">
        <v>5</v>
      </c>
      <c r="B51" s="26">
        <v>285.12053749459295</v>
      </c>
      <c r="C51" s="26">
        <v>160.55644006905351</v>
      </c>
      <c r="D51" s="26">
        <v>1.7758274745750831</v>
      </c>
      <c r="E51" s="26">
        <v>9.2669706158662976E-2</v>
      </c>
      <c r="F51" s="26">
        <v>-52.196026149120883</v>
      </c>
      <c r="G51" s="26">
        <v>622.43710113830684</v>
      </c>
      <c r="K51" t="s">
        <v>96</v>
      </c>
      <c r="M51">
        <v>0.87</v>
      </c>
    </row>
    <row r="52" spans="1:13" x14ac:dyDescent="0.25">
      <c r="K52">
        <f>4-M52</f>
        <v>1.9900000000000002</v>
      </c>
      <c r="M52">
        <v>2.0099999999999998</v>
      </c>
    </row>
    <row r="55" spans="1:13" x14ac:dyDescent="0.25">
      <c r="A55" t="s">
        <v>33</v>
      </c>
      <c r="F55" t="s">
        <v>38</v>
      </c>
      <c r="I55" t="s">
        <v>94</v>
      </c>
      <c r="J55" t="s">
        <v>95</v>
      </c>
    </row>
    <row r="56" spans="1:13" ht="28.5" customHeight="1" thickBot="1" x14ac:dyDescent="0.3">
      <c r="I56" s="9" t="s">
        <v>78</v>
      </c>
    </row>
    <row r="57" spans="1:13" ht="28.5" customHeight="1" x14ac:dyDescent="0.25">
      <c r="A57" s="3" t="s">
        <v>34</v>
      </c>
      <c r="B57" s="3" t="s">
        <v>35</v>
      </c>
      <c r="C57" s="3" t="s">
        <v>36</v>
      </c>
      <c r="D57" s="3" t="s">
        <v>37</v>
      </c>
      <c r="F57" s="3" t="s">
        <v>39</v>
      </c>
      <c r="G57" s="3" t="s">
        <v>0</v>
      </c>
      <c r="I57" s="32" t="s">
        <v>77</v>
      </c>
      <c r="J57" s="32" t="s">
        <v>79</v>
      </c>
    </row>
    <row r="58" spans="1:13" x14ac:dyDescent="0.25">
      <c r="A58">
        <v>1</v>
      </c>
      <c r="B58" s="24">
        <v>3392.9324646660789</v>
      </c>
      <c r="C58" s="24">
        <v>276.94753533392122</v>
      </c>
      <c r="D58" s="24">
        <v>0.74718642614659148</v>
      </c>
      <c r="E58" s="24"/>
      <c r="F58" s="24">
        <v>2</v>
      </c>
      <c r="G58" s="24">
        <v>1578</v>
      </c>
      <c r="J58" s="49">
        <f>C58^2</f>
        <v>76699.937327533538</v>
      </c>
    </row>
    <row r="59" spans="1:13" x14ac:dyDescent="0.25">
      <c r="A59">
        <v>2</v>
      </c>
      <c r="B59" s="24">
        <v>3817.438728879652</v>
      </c>
      <c r="C59" s="24">
        <v>-343.48872887965217</v>
      </c>
      <c r="D59" s="24">
        <v>-0.92671023572668587</v>
      </c>
      <c r="E59" s="24"/>
      <c r="F59" s="24">
        <v>6</v>
      </c>
      <c r="G59" s="24">
        <v>1741.45</v>
      </c>
      <c r="I59" s="24">
        <f>((C59-C58)^2)</f>
        <v>384941.15795129503</v>
      </c>
      <c r="J59" s="23">
        <f>C59^2</f>
        <v>117984.50686735919</v>
      </c>
    </row>
    <row r="60" spans="1:13" x14ac:dyDescent="0.25">
      <c r="A60">
        <v>3</v>
      </c>
      <c r="B60" s="24">
        <v>2725.3072182034471</v>
      </c>
      <c r="C60" s="24">
        <v>-430.20721820344716</v>
      </c>
      <c r="D60" s="24">
        <v>-1.1606710761456238</v>
      </c>
      <c r="E60" s="24"/>
      <c r="F60" s="24">
        <v>10</v>
      </c>
      <c r="G60" s="24">
        <v>2035.75</v>
      </c>
      <c r="I60" s="24">
        <f t="shared" ref="I60:I82" si="0">((C60-C59)^2)</f>
        <v>7520.0963906011448</v>
      </c>
      <c r="J60" s="24">
        <f t="shared" ref="J60:J82" si="1">C60^2</f>
        <v>185078.25059434838</v>
      </c>
    </row>
    <row r="61" spans="1:13" x14ac:dyDescent="0.25">
      <c r="A61">
        <v>4</v>
      </c>
      <c r="B61" s="24">
        <v>4930.7633771457004</v>
      </c>
      <c r="C61" s="24">
        <v>-255.20337714569996</v>
      </c>
      <c r="D61" s="24">
        <v>-0.68852210249903156</v>
      </c>
      <c r="E61" s="24"/>
      <c r="F61" s="24">
        <v>14</v>
      </c>
      <c r="G61" s="24">
        <v>2134.94</v>
      </c>
      <c r="I61" s="24">
        <f t="shared" si="0"/>
        <v>30626.344384965243</v>
      </c>
      <c r="J61" s="24">
        <f t="shared" si="1"/>
        <v>65128.763706570375</v>
      </c>
    </row>
    <row r="62" spans="1:13" x14ac:dyDescent="0.25">
      <c r="A62">
        <v>5</v>
      </c>
      <c r="B62" s="24">
        <v>5464.2891389720344</v>
      </c>
      <c r="C62" s="24">
        <v>661.67086102796566</v>
      </c>
      <c r="D62" s="24">
        <v>1.7851449204656249</v>
      </c>
      <c r="E62" s="24"/>
      <c r="F62" s="24">
        <v>18</v>
      </c>
      <c r="G62" s="24">
        <v>2295.1</v>
      </c>
      <c r="I62" s="24">
        <f t="shared" si="0"/>
        <v>840658.36862653971</v>
      </c>
      <c r="J62" s="24">
        <f t="shared" si="1"/>
        <v>437808.32833348942</v>
      </c>
    </row>
    <row r="63" spans="1:13" x14ac:dyDescent="0.25">
      <c r="A63">
        <v>6</v>
      </c>
      <c r="B63" s="24">
        <v>2081.5034465270833</v>
      </c>
      <c r="C63" s="24">
        <v>53.436553472916785</v>
      </c>
      <c r="D63" s="24">
        <v>0.14416834353437757</v>
      </c>
      <c r="E63" s="24"/>
      <c r="F63" s="24">
        <v>22</v>
      </c>
      <c r="G63" s="24">
        <v>2337.38</v>
      </c>
      <c r="I63" s="24">
        <f t="shared" si="0"/>
        <v>369948.9728869698</v>
      </c>
      <c r="J63" s="24">
        <f t="shared" si="1"/>
        <v>2855.4652470638948</v>
      </c>
    </row>
    <row r="64" spans="1:13" x14ac:dyDescent="0.25">
      <c r="A64">
        <v>7</v>
      </c>
      <c r="B64" s="24">
        <v>5224.8939433493879</v>
      </c>
      <c r="C64" s="24">
        <v>-193.23394334938803</v>
      </c>
      <c r="D64" s="24">
        <v>-0.52133260318550279</v>
      </c>
      <c r="E64" s="24"/>
      <c r="F64" s="24">
        <v>26</v>
      </c>
      <c r="G64" s="24">
        <v>2408.11</v>
      </c>
      <c r="I64" s="24">
        <f t="shared" si="0"/>
        <v>60846.334002562689</v>
      </c>
      <c r="J64" s="24">
        <f t="shared" si="1"/>
        <v>37339.3568623545</v>
      </c>
    </row>
    <row r="65" spans="1:10" x14ac:dyDescent="0.25">
      <c r="A65">
        <v>8</v>
      </c>
      <c r="B65" s="24">
        <v>2973.0800183350616</v>
      </c>
      <c r="C65" s="24">
        <v>394.36998166493822</v>
      </c>
      <c r="D65" s="24">
        <v>1.0639845443088525</v>
      </c>
      <c r="E65" s="24"/>
      <c r="F65" s="24">
        <v>30</v>
      </c>
      <c r="G65" s="24">
        <v>2468.27</v>
      </c>
      <c r="I65" s="24">
        <f t="shared" si="0"/>
        <v>345278.37269224197</v>
      </c>
      <c r="J65" s="24">
        <f t="shared" si="1"/>
        <v>155527.68243840372</v>
      </c>
    </row>
    <row r="66" spans="1:10" x14ac:dyDescent="0.25">
      <c r="A66">
        <v>9</v>
      </c>
      <c r="B66" s="24">
        <v>6158.3791830618902</v>
      </c>
      <c r="C66" s="24">
        <v>361.0708169381096</v>
      </c>
      <c r="D66" s="24">
        <v>0.97414556503826044</v>
      </c>
      <c r="E66" s="24"/>
      <c r="F66" s="24">
        <v>34</v>
      </c>
      <c r="G66" s="24">
        <v>2533.31</v>
      </c>
      <c r="I66" s="24">
        <f t="shared" si="0"/>
        <v>1108.8343715044675</v>
      </c>
      <c r="J66" s="24">
        <f t="shared" si="1"/>
        <v>130372.13484435386</v>
      </c>
    </row>
    <row r="67" spans="1:10" x14ac:dyDescent="0.25">
      <c r="A67">
        <v>10</v>
      </c>
      <c r="B67" s="24">
        <v>4054.9248529427305</v>
      </c>
      <c r="C67" s="24">
        <v>821.44514705726942</v>
      </c>
      <c r="D67" s="24">
        <v>2.2162055458090442</v>
      </c>
      <c r="E67" s="24"/>
      <c r="F67" s="24">
        <v>38</v>
      </c>
      <c r="G67" s="24">
        <v>2729.24</v>
      </c>
      <c r="I67" s="24">
        <f t="shared" si="0"/>
        <v>211944.52383266515</v>
      </c>
      <c r="J67" s="24">
        <f t="shared" si="1"/>
        <v>674772.12962393893</v>
      </c>
    </row>
    <row r="68" spans="1:10" x14ac:dyDescent="0.25">
      <c r="A68">
        <v>11</v>
      </c>
      <c r="B68" s="24">
        <v>2570.4273510024809</v>
      </c>
      <c r="C68" s="24">
        <v>-102.15735100248094</v>
      </c>
      <c r="D68" s="24">
        <v>-0.27561388444245705</v>
      </c>
      <c r="E68" s="24"/>
      <c r="F68" s="24">
        <v>42</v>
      </c>
      <c r="G68" s="24">
        <v>2799.97</v>
      </c>
      <c r="I68" s="24">
        <f t="shared" si="0"/>
        <v>853041.57442221115</v>
      </c>
      <c r="J68" s="24">
        <f t="shared" si="1"/>
        <v>10436.124363844092</v>
      </c>
    </row>
    <row r="69" spans="1:10" x14ac:dyDescent="0.25">
      <c r="A69">
        <v>12</v>
      </c>
      <c r="B69" s="24">
        <v>2095.6157127501629</v>
      </c>
      <c r="C69" s="24">
        <v>437.69428724983709</v>
      </c>
      <c r="D69" s="24">
        <v>1.1808707011624697</v>
      </c>
      <c r="E69" s="24"/>
      <c r="F69" s="24">
        <v>46</v>
      </c>
      <c r="G69" s="24">
        <v>2800.78</v>
      </c>
      <c r="I69" s="24">
        <f t="shared" si="0"/>
        <v>291439.79132371163</v>
      </c>
      <c r="J69" s="24">
        <f t="shared" si="1"/>
        <v>191576.28909114291</v>
      </c>
    </row>
    <row r="70" spans="1:10" x14ac:dyDescent="0.25">
      <c r="A70">
        <v>13</v>
      </c>
      <c r="B70" s="24">
        <v>2416.0615236865333</v>
      </c>
      <c r="C70" s="24">
        <v>-7.9515236865331644</v>
      </c>
      <c r="D70" s="24">
        <v>-2.1452693408508493E-2</v>
      </c>
      <c r="E70" s="24"/>
      <c r="F70" s="24">
        <v>50</v>
      </c>
      <c r="G70" s="24">
        <v>3264.2</v>
      </c>
      <c r="I70" s="24">
        <f t="shared" si="0"/>
        <v>198600.18880513505</v>
      </c>
      <c r="J70" s="24">
        <f t="shared" si="1"/>
        <v>63.226728937497967</v>
      </c>
    </row>
    <row r="71" spans="1:10" x14ac:dyDescent="0.25">
      <c r="A71">
        <v>14</v>
      </c>
      <c r="B71" s="24">
        <v>2278.4440492476469</v>
      </c>
      <c r="C71" s="24">
        <v>58.935950752353165</v>
      </c>
      <c r="D71" s="24">
        <v>0.15900535948481007</v>
      </c>
      <c r="E71" s="24"/>
      <c r="F71" s="24">
        <v>54</v>
      </c>
      <c r="G71" s="24">
        <v>3289.4</v>
      </c>
      <c r="I71" s="24">
        <f t="shared" si="0"/>
        <v>4473.9342368126718</v>
      </c>
      <c r="J71" s="24">
        <f t="shared" si="1"/>
        <v>3473.4462910837974</v>
      </c>
    </row>
    <row r="72" spans="1:10" x14ac:dyDescent="0.25">
      <c r="A72">
        <v>15</v>
      </c>
      <c r="B72" s="24">
        <v>4770.6678504720849</v>
      </c>
      <c r="C72" s="24">
        <v>-183.71785047208505</v>
      </c>
      <c r="D72" s="24">
        <v>-0.49565880392493877</v>
      </c>
      <c r="E72" s="24"/>
      <c r="F72" s="24">
        <v>58</v>
      </c>
      <c r="G72" s="24">
        <v>3367.45</v>
      </c>
      <c r="I72" s="24">
        <f t="shared" si="0"/>
        <v>58880.867248669172</v>
      </c>
      <c r="J72" s="24">
        <f t="shared" si="1"/>
        <v>33752.248582083397</v>
      </c>
    </row>
    <row r="73" spans="1:10" x14ac:dyDescent="0.25">
      <c r="A73">
        <v>16</v>
      </c>
      <c r="B73" s="24">
        <v>2812.2905465482063</v>
      </c>
      <c r="C73" s="24">
        <v>-83.050546548206512</v>
      </c>
      <c r="D73" s="24">
        <v>-0.22406496952592669</v>
      </c>
      <c r="E73" s="24"/>
      <c r="F73" s="24">
        <v>62</v>
      </c>
      <c r="G73" s="24">
        <v>3453.62</v>
      </c>
      <c r="I73" s="24">
        <f t="shared" si="0"/>
        <v>10133.906079302531</v>
      </c>
      <c r="J73" s="24">
        <f t="shared" si="1"/>
        <v>6897.3932819558167</v>
      </c>
    </row>
    <row r="74" spans="1:10" x14ac:dyDescent="0.25">
      <c r="A74">
        <v>17</v>
      </c>
      <c r="B74" s="24">
        <v>3480.3226062195445</v>
      </c>
      <c r="C74" s="24">
        <v>-190.92260621954438</v>
      </c>
      <c r="D74" s="24">
        <v>-0.51509676603466659</v>
      </c>
      <c r="E74" s="24"/>
      <c r="F74" s="24">
        <v>66</v>
      </c>
      <c r="G74" s="24">
        <v>3473.95</v>
      </c>
      <c r="I74" s="24">
        <f t="shared" si="0"/>
        <v>11636.381257736677</v>
      </c>
      <c r="J74" s="24">
        <f t="shared" si="1"/>
        <v>36451.441565663205</v>
      </c>
    </row>
    <row r="75" spans="1:10" x14ac:dyDescent="0.25">
      <c r="A75">
        <v>18</v>
      </c>
      <c r="B75" s="24">
        <v>2828.6276043078733</v>
      </c>
      <c r="C75" s="24">
        <v>-27.847604307873098</v>
      </c>
      <c r="D75" s="24">
        <v>-7.5131024056438275E-2</v>
      </c>
      <c r="E75" s="24"/>
      <c r="F75" s="24">
        <v>70</v>
      </c>
      <c r="G75" s="24">
        <v>3669.88</v>
      </c>
      <c r="I75" s="24">
        <f t="shared" si="0"/>
        <v>26593.456248491591</v>
      </c>
      <c r="J75" s="24">
        <f t="shared" si="1"/>
        <v>775.48906568787231</v>
      </c>
    </row>
    <row r="76" spans="1:10" x14ac:dyDescent="0.25">
      <c r="A76">
        <v>19</v>
      </c>
      <c r="B76" s="24">
        <v>3754.6529684942998</v>
      </c>
      <c r="C76" s="24">
        <v>-490.45296849429997</v>
      </c>
      <c r="D76" s="24">
        <v>-1.3232101895414772</v>
      </c>
      <c r="E76" s="24"/>
      <c r="F76" s="24">
        <v>74</v>
      </c>
      <c r="G76" s="24">
        <v>4167.4399999999996</v>
      </c>
      <c r="I76" s="24">
        <f t="shared" si="0"/>
        <v>214003.72297405664</v>
      </c>
      <c r="J76" s="24">
        <f t="shared" si="1"/>
        <v>240544.1143048708</v>
      </c>
    </row>
    <row r="77" spans="1:10" x14ac:dyDescent="0.25">
      <c r="A77">
        <v>20</v>
      </c>
      <c r="B77" s="24">
        <v>3985.0327540512922</v>
      </c>
      <c r="C77" s="24">
        <v>-531.41275405129227</v>
      </c>
      <c r="D77" s="24">
        <v>-1.4337170252465115</v>
      </c>
      <c r="E77" s="24"/>
      <c r="F77" s="24">
        <v>78</v>
      </c>
      <c r="G77" s="24">
        <v>4586.95</v>
      </c>
      <c r="I77" s="24">
        <f t="shared" si="0"/>
        <v>1677.7040328747951</v>
      </c>
      <c r="J77" s="24">
        <f t="shared" si="1"/>
        <v>282399.51516837924</v>
      </c>
    </row>
    <row r="78" spans="1:10" x14ac:dyDescent="0.25">
      <c r="A78">
        <v>21</v>
      </c>
      <c r="B78" s="24">
        <v>1397.450317211551</v>
      </c>
      <c r="C78" s="24">
        <v>343.99968278844904</v>
      </c>
      <c r="D78" s="24">
        <v>0.92808875611893005</v>
      </c>
      <c r="E78" s="24"/>
      <c r="F78" s="24">
        <v>82</v>
      </c>
      <c r="G78" s="24">
        <v>4675.5600000000004</v>
      </c>
      <c r="I78" s="24">
        <f t="shared" si="0"/>
        <v>766346.93457369402</v>
      </c>
      <c r="J78" s="24">
        <f t="shared" si="1"/>
        <v>118335.78175855357</v>
      </c>
    </row>
    <row r="79" spans="1:10" x14ac:dyDescent="0.25">
      <c r="A79">
        <v>22</v>
      </c>
      <c r="B79" s="24">
        <v>2536.9530593670552</v>
      </c>
      <c r="C79" s="24">
        <v>-501.20305936705518</v>
      </c>
      <c r="D79" s="24">
        <v>-1.3522132350832268</v>
      </c>
      <c r="E79" s="24"/>
      <c r="F79" s="24">
        <v>86</v>
      </c>
      <c r="G79" s="24">
        <v>4876.37</v>
      </c>
      <c r="I79" s="24">
        <f t="shared" si="0"/>
        <v>714367.67534718371</v>
      </c>
      <c r="J79" s="24">
        <f t="shared" si="1"/>
        <v>251204.50671889583</v>
      </c>
    </row>
    <row r="80" spans="1:10" x14ac:dyDescent="0.25">
      <c r="A80">
        <v>23</v>
      </c>
      <c r="B80" s="24">
        <v>1649.015187246021</v>
      </c>
      <c r="C80" s="24">
        <v>-71.015187246021014</v>
      </c>
      <c r="D80" s="24">
        <v>-0.19159435340887951</v>
      </c>
      <c r="E80" s="24"/>
      <c r="F80" s="24">
        <v>90</v>
      </c>
      <c r="G80" s="24">
        <v>5031.66</v>
      </c>
      <c r="I80" s="24">
        <f t="shared" si="0"/>
        <v>185061.60532002323</v>
      </c>
      <c r="J80" s="24">
        <f t="shared" si="1"/>
        <v>5043.1568195874261</v>
      </c>
    </row>
    <row r="81" spans="1:12" x14ac:dyDescent="0.25">
      <c r="A81">
        <v>24</v>
      </c>
      <c r="B81" s="24">
        <v>4507.3949026529872</v>
      </c>
      <c r="C81" s="24">
        <v>-339.95490265298758</v>
      </c>
      <c r="D81" s="24">
        <v>-0.91717620255415389</v>
      </c>
      <c r="E81" s="24"/>
      <c r="F81" s="24">
        <v>94</v>
      </c>
      <c r="G81" s="24">
        <v>6125.96</v>
      </c>
      <c r="I81" s="24">
        <f t="shared" si="0"/>
        <v>72328.570523180169</v>
      </c>
      <c r="J81" s="24">
        <f t="shared" si="1"/>
        <v>115569.33583780227</v>
      </c>
    </row>
    <row r="82" spans="1:12" ht="15.75" thickBot="1" x14ac:dyDescent="0.3">
      <c r="A82" s="2">
        <v>25</v>
      </c>
      <c r="B82" s="27">
        <v>2457.7211946591738</v>
      </c>
      <c r="C82" s="27">
        <v>342.24880534082604</v>
      </c>
      <c r="D82" s="27">
        <v>0.92336500271512112</v>
      </c>
      <c r="E82" s="24"/>
      <c r="F82" s="27">
        <v>98</v>
      </c>
      <c r="G82" s="27">
        <v>6519.45</v>
      </c>
      <c r="I82" s="24">
        <f t="shared" si="0"/>
        <v>465401.89920050855</v>
      </c>
      <c r="J82" s="24">
        <f t="shared" si="1"/>
        <v>117134.24475722264</v>
      </c>
      <c r="L82" s="19"/>
    </row>
    <row r="83" spans="1:12" x14ac:dyDescent="0.25">
      <c r="H83" s="47"/>
      <c r="I83" t="s">
        <v>71</v>
      </c>
      <c r="J83" t="s">
        <v>71</v>
      </c>
      <c r="K83" t="s">
        <v>76</v>
      </c>
    </row>
    <row r="84" spans="1:12" x14ac:dyDescent="0.25">
      <c r="I84" s="23">
        <f>SUM(I59:I82)</f>
        <v>6126861.2167329369</v>
      </c>
      <c r="J84" s="23">
        <f>SUM(J58:J82)</f>
        <v>3297222.8701811256</v>
      </c>
      <c r="K84">
        <f>I84/J84</f>
        <v>1.8581883779049402</v>
      </c>
      <c r="L84" s="47"/>
    </row>
    <row r="85" spans="1:12" x14ac:dyDescent="0.25">
      <c r="J85" s="19"/>
      <c r="L85" s="48"/>
    </row>
    <row r="119" spans="4:4" x14ac:dyDescent="0.25">
      <c r="D119" s="4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Ch 16.2 Plus 1 indep.  variable</vt:lpstr>
      <vt:lpstr>adding multiple indpendent xs </vt:lpstr>
      <vt:lpstr>Sheet1</vt:lpstr>
      <vt:lpstr>Transforming data</vt:lpstr>
      <vt:lpstr>all data &amp; correlation matrix</vt:lpstr>
      <vt:lpstr>backward elim remove rating</vt:lpstr>
      <vt:lpstr>backward elim remove work</vt:lpstr>
      <vt:lpstr>backward elim remove account</vt:lpstr>
      <vt:lpstr>backward elim remove change</vt:lpstr>
      <vt:lpstr>Just those with p value &lt;0.05</vt:lpstr>
      <vt:lpstr>adding accounts to it</vt:lpstr>
      <vt:lpstr>STEPWISE textbook Step 1</vt:lpstr>
      <vt:lpstr>Step 2</vt:lpstr>
      <vt:lpstr>Step 3</vt:lpstr>
      <vt:lpstr>Step 4</vt:lpstr>
      <vt:lpstr>Step 5 fails with any new indep</vt:lpstr>
      <vt:lpstr>Checking for best linear model</vt:lpstr>
      <vt:lpstr>Checking for a different step 2</vt:lpstr>
      <vt:lpstr>Forward Selection (after step4)</vt:lpstr>
      <vt:lpstr>rstudio forward select model</vt:lpstr>
      <vt:lpstr>Sheet4</vt:lpstr>
      <vt:lpstr>Backwards Elimination Step 1</vt:lpstr>
      <vt:lpstr>backwards elimination step 2</vt:lpstr>
      <vt:lpstr>backward elimination step 3</vt:lpstr>
      <vt:lpstr>backward elimination step 4</vt:lpstr>
      <vt:lpstr>16.5 experimental design</vt:lpstr>
      <vt:lpstr>16.6 Durbin Watson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Alvarez</dc:creator>
  <cp:lastModifiedBy>Cristian Alvarez</cp:lastModifiedBy>
  <dcterms:created xsi:type="dcterms:W3CDTF">2023-09-15T02:10:30Z</dcterms:created>
  <dcterms:modified xsi:type="dcterms:W3CDTF">2025-09-17T00:57:38Z</dcterms:modified>
</cp:coreProperties>
</file>