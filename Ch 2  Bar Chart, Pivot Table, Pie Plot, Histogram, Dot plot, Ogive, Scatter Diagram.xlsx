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2.xml" ContentType="application/vnd.openxmlformats-officedocument.spreadsheetml.pivotTable+xml"/>
  <Override PartName="/xl/drawings/drawing9.xml" ContentType="application/vnd.openxmlformats-officedocument.drawing+xml"/>
  <Override PartName="/xl/pivotTables/pivotTable3.xml" ContentType="application/vnd.openxmlformats-officedocument.spreadsheetml.pivotTable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16692\Documents\194 a fall 2021\(5) R files\"/>
    </mc:Choice>
  </mc:AlternateContent>
  <xr:revisionPtr revIDLastSave="0" documentId="13_ncr:1_{7F469537-B4FD-4419-9E03-3C3F0ACD2370}" xr6:coauthVersionLast="47" xr6:coauthVersionMax="47" xr10:uidLastSave="{00000000-0000-0000-0000-000000000000}"/>
  <bookViews>
    <workbookView xWindow="-120" yWindow="-120" windowWidth="20730" windowHeight="11040" firstSheet="5" activeTab="5" xr2:uid="{00000000-000D-0000-FFFF-FFFF00000000}"/>
  </bookViews>
  <sheets>
    <sheet name="Cleaning Data with formula" sheetId="2" r:id="rId1"/>
    <sheet name="Cleaning more data example" sheetId="5" r:id="rId2"/>
    <sheet name="Ch 2.1 Bar Chart" sheetId="4" r:id="rId3"/>
    <sheet name="Ch 2.1 relative &amp; percent freq" sheetId="7" r:id="rId4"/>
    <sheet name="Ch 2.1  pie chart" sheetId="6" r:id="rId5"/>
    <sheet name="Ch. 2.4 Pivot Table &amp; Histogram" sheetId="3" r:id="rId6"/>
    <sheet name="2.3 Dot Plot" sheetId="1" r:id="rId7"/>
    <sheet name="2.7 Cumulative Frequency" sheetId="8" r:id="rId8"/>
    <sheet name="Figure 2.6" sheetId="9" r:id="rId9"/>
    <sheet name="Figure 2.10" sheetId="10" r:id="rId10"/>
    <sheet name="Figure 2.11 Row percentages" sheetId="12" r:id="rId11"/>
    <sheet name="Scatter Diagram" sheetId="15" r:id="rId12"/>
  </sheets>
  <calcPr calcId="191028"/>
  <pivotCaches>
    <pivotCache cacheId="22" r:id="rId13"/>
    <pivotCache cacheId="23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9" l="1"/>
  <c r="D4" i="9"/>
  <c r="D8" i="9"/>
  <c r="D7" i="9"/>
  <c r="D6" i="9"/>
  <c r="D5" i="9"/>
  <c r="E2" i="8"/>
  <c r="F2" i="8" s="1"/>
  <c r="F3" i="8"/>
  <c r="F4" i="8"/>
  <c r="F5" i="8"/>
  <c r="F6" i="8"/>
  <c r="E3" i="8"/>
  <c r="E4" i="8"/>
  <c r="E5" i="8"/>
  <c r="E6" i="8"/>
  <c r="D3" i="8"/>
  <c r="D4" i="8"/>
  <c r="D5" i="8"/>
  <c r="D6" i="8"/>
  <c r="D2" i="8"/>
  <c r="D2" i="6"/>
  <c r="B2" i="1"/>
  <c r="B4" i="1"/>
  <c r="B8" i="1"/>
  <c r="B3" i="1"/>
  <c r="B5" i="1"/>
  <c r="B6" i="1"/>
  <c r="B7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F3" i="7"/>
  <c r="F4" i="7"/>
  <c r="F5" i="7"/>
  <c r="F6" i="7"/>
  <c r="F2" i="7"/>
  <c r="E3" i="7"/>
  <c r="E4" i="7"/>
  <c r="E5" i="7"/>
  <c r="E6" i="7"/>
  <c r="E2" i="7"/>
  <c r="C2" i="7" a="1"/>
  <c r="C2" i="6" a="1"/>
  <c r="C2" i="4" a="1"/>
  <c r="C2" i="4"/>
  <c r="D2" i="4"/>
  <c r="E2" i="5" a="1"/>
  <c r="E2" i="5" s="1"/>
  <c r="B2" i="5" a="1"/>
  <c r="B2" i="5" s="1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3" i="2"/>
  <c r="C4" i="2"/>
  <c r="C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" i="2"/>
  <c r="D6" i="7" l="1"/>
  <c r="D5" i="7"/>
  <c r="D4" i="7"/>
  <c r="D3" i="7"/>
  <c r="C2" i="7"/>
  <c r="D2" i="7" s="1"/>
  <c r="D7" i="7" s="1"/>
  <c r="D6" i="6"/>
  <c r="D5" i="6"/>
  <c r="D4" i="6"/>
  <c r="D3" i="6"/>
  <c r="C2" i="6"/>
  <c r="D3" i="4"/>
  <c r="D4" i="4"/>
  <c r="D5" i="4"/>
  <c r="D6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B8D5A0C-4C5D-43AD-9F0A-90B73F2306A5}" keepAlive="1" name="Query - Page001" description="Connection to the 'Page001' query in the workbook." type="5" refreshedVersion="0" background="1">
    <dbPr connection="Provider=Microsoft.Mashup.OleDb.1;Data Source=$Workbook$;Location=Page001;Extended Properties=&quot;&quot;" command="SELECT * FROM [Page001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<sst xmlns="http://schemas.openxmlformats.org/spreadsheetml/2006/main" count="950" uniqueCount="72">
  <si>
    <t>Raw data</t>
  </si>
  <si>
    <t>Trimmed</t>
  </si>
  <si>
    <t>Brand Purchased Soft Drink Frequency</t>
  </si>
  <si>
    <t>2 Coke Classic</t>
  </si>
  <si>
    <t xml:space="preserve"> 3 Diet Coke</t>
  </si>
  <si>
    <t xml:space="preserve"> 4 Pepsi</t>
  </si>
  <si>
    <t xml:space="preserve"> 5 Diet Coke</t>
  </si>
  <si>
    <t xml:space="preserve"> 6 Coke Classic</t>
  </si>
  <si>
    <t xml:space="preserve"> 7 Coke Classic</t>
  </si>
  <si>
    <t xml:space="preserve"> 8 Dr. Pepper</t>
  </si>
  <si>
    <t xml:space="preserve"> 9 Diet Coke</t>
  </si>
  <si>
    <t xml:space="preserve"> 10 Pepsi</t>
  </si>
  <si>
    <t xml:space="preserve"> 11 Pepsi</t>
  </si>
  <si>
    <t xml:space="preserve"> 12 Coke Classic</t>
  </si>
  <si>
    <t xml:space="preserve"> 13 Dr. Pepper</t>
  </si>
  <si>
    <t xml:space="preserve"> 14 Sprite</t>
  </si>
  <si>
    <t xml:space="preserve"> 15 Coke Classic</t>
  </si>
  <si>
    <t xml:space="preserve"> 16 Diet Coke</t>
  </si>
  <si>
    <t xml:space="preserve"> 17 Coke Classic</t>
  </si>
  <si>
    <t xml:space="preserve"> 18 Coke Classic</t>
  </si>
  <si>
    <t xml:space="preserve"> 19 Sprite</t>
  </si>
  <si>
    <t xml:space="preserve"> 20 Coke Classic</t>
  </si>
  <si>
    <t xml:space="preserve"> 50 Pepsi</t>
  </si>
  <si>
    <t xml:space="preserve"> 51 Sprite</t>
  </si>
  <si>
    <t>untrimmed</t>
  </si>
  <si>
    <t xml:space="preserve"> Coke Classic</t>
  </si>
  <si>
    <t>Coke Classic</t>
  </si>
  <si>
    <t xml:space="preserve"> Diet Coke</t>
  </si>
  <si>
    <t>Diet Coke</t>
  </si>
  <si>
    <t xml:space="preserve"> SoftDrink</t>
  </si>
  <si>
    <t>SoftDrink</t>
  </si>
  <si>
    <t xml:space="preserve"> Pepsi</t>
  </si>
  <si>
    <t>Pepsi</t>
  </si>
  <si>
    <t xml:space="preserve"> Dr. Pepper</t>
  </si>
  <si>
    <t>Dr. Pepper</t>
  </si>
  <si>
    <t xml:space="preserve"> Sprite</t>
  </si>
  <si>
    <t>Sprite</t>
  </si>
  <si>
    <t>Soft Drink</t>
  </si>
  <si>
    <t>Frequency</t>
  </si>
  <si>
    <t>Relative Frequency</t>
  </si>
  <si>
    <t>Percent Frequency</t>
  </si>
  <si>
    <t>Total</t>
  </si>
  <si>
    <t>Audit Time</t>
  </si>
  <si>
    <t>Grand Total</t>
  </si>
  <si>
    <t>Cumulative Count</t>
  </si>
  <si>
    <t>Row Labels</t>
  </si>
  <si>
    <t>Count of Audit Time</t>
  </si>
  <si>
    <t>10-14</t>
  </si>
  <si>
    <t>15-19</t>
  </si>
  <si>
    <t>20-24</t>
  </si>
  <si>
    <t>25-29</t>
  </si>
  <si>
    <t>30-34</t>
  </si>
  <si>
    <t>Cumulative Frequency</t>
  </si>
  <si>
    <t>Less than or Equal to</t>
  </si>
  <si>
    <t>Cumulative Relative Frequency</t>
  </si>
  <si>
    <t>Cumulative Percent Frequency</t>
  </si>
  <si>
    <t>RestaurantID</t>
  </si>
  <si>
    <t>QualityRating</t>
  </si>
  <si>
    <t>MealPrice</t>
  </si>
  <si>
    <t>Good</t>
  </si>
  <si>
    <t>Very Good</t>
  </si>
  <si>
    <t>Excellent</t>
  </si>
  <si>
    <t>Column Labels</t>
  </si>
  <si>
    <t>Count of RestaurantID</t>
  </si>
  <si>
    <t>10-19</t>
  </si>
  <si>
    <t>20-29</t>
  </si>
  <si>
    <t>30-39</t>
  </si>
  <si>
    <t>40-49</t>
  </si>
  <si>
    <t>&gt;50</t>
  </si>
  <si>
    <t>Week</t>
  </si>
  <si>
    <t>Sales</t>
  </si>
  <si>
    <t>Number of Commercials (x)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</si>
</sst>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</font>
    <font>
      <sz val="11"/>
      <color rgb="FFFF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Calibri"/>
      <family val="2"/>
    </font>
    <font>
      <sz val="11.5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20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3" fillId="0" borderId="0" xfId="0" applyFont="1"/>
    <xf numFmtId="0" fontId="3" fillId="2" borderId="0" xfId="0" applyFont="1" applyFill="1"/>
    <xf numFmtId="0" fontId="4" fillId="0" borderId="0" xfId="0" applyFont="1"/>
    <xf numFmtId="0" fontId="4" fillId="0" borderId="0" xfId="0" applyFont="1" applyAlignment="1">
      <alignment wrapText="1"/>
    </xf>
    <xf numFmtId="9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 wrapText="1"/>
    </xf>
    <xf numFmtId="10" fontId="0" fillId="0" borderId="0" xfId="0" applyNumberFormat="1"/>
    <xf numFmtId="0" fontId="1" fillId="0" borderId="0" xfId="0" applyNumberFormat="1" applyFont="1"/>
    <xf numFmtId="10" fontId="1" fillId="0" borderId="0" xfId="0" applyNumberFormat="1" applyFont="1"/>
    <xf numFmtId="1" fontId="6" fillId="0" borderId="1" xfId="1" applyNumberFormat="1" applyFont="1" applyBorder="1" applyAlignment="1">
      <alignment horizontal="left" vertical="top" wrapText="1"/>
    </xf>
    <xf numFmtId="1" fontId="0" fillId="0" borderId="0" xfId="0" applyNumberFormat="1"/>
  </cellXfs>
  <cellStyles count="2">
    <cellStyle name="Normal" xfId="0" builtinId="0"/>
    <cellStyle name="Normal 2" xfId="1" xr:uid="{7182E0B7-A852-4C51-B0D6-772FC7FD8892}"/>
  </cellStyles>
  <dxfs count="3">
    <dxf>
      <numFmt numFmtId="14" formatCode="0.00%"/>
    </dxf>
    <dxf>
      <font>
        <b/>
      </font>
    </dxf>
    <dxf>
      <font>
        <b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Bar Chart of Soft Drink Purchases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Soft Drink</c:v>
          </c:tx>
          <c:spPr>
            <a:solidFill>
              <a:srgbClr val="E87331"/>
            </a:solidFill>
            <a:ln>
              <a:noFill/>
            </a:ln>
            <a:effectLst/>
          </c:spPr>
          <c:invertIfNegative val="0"/>
          <c:cat>
            <c:strRef>
              <c:f>'Ch 2.1 Bar Chart'!$C$2:$C$6</c:f>
              <c:strCache>
                <c:ptCount val="5"/>
                <c:pt idx="0">
                  <c:v>Coke Classic</c:v>
                </c:pt>
                <c:pt idx="1">
                  <c:v>Diet Coke</c:v>
                </c:pt>
                <c:pt idx="2">
                  <c:v>Pepsi</c:v>
                </c:pt>
                <c:pt idx="3">
                  <c:v>Dr. Pepper</c:v>
                </c:pt>
                <c:pt idx="4">
                  <c:v>Sprite</c:v>
                </c:pt>
              </c:strCache>
            </c:strRef>
          </c:cat>
          <c:val>
            <c:numRef>
              <c:f>'Ch 2.1 Bar Chart'!$D$2:$D$6</c:f>
              <c:numCache>
                <c:formatCode>General</c:formatCode>
                <c:ptCount val="5"/>
                <c:pt idx="0">
                  <c:v>19</c:v>
                </c:pt>
                <c:pt idx="1">
                  <c:v>8</c:v>
                </c:pt>
                <c:pt idx="2">
                  <c:v>13</c:v>
                </c:pt>
                <c:pt idx="3">
                  <c:v>5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51-4729-8471-5B0B9C478C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5013128"/>
        <c:axId val="1086961672"/>
      </c:barChart>
      <c:catAx>
        <c:axId val="1075013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6961672"/>
        <c:crosses val="autoZero"/>
        <c:auto val="1"/>
        <c:lblAlgn val="ctr"/>
        <c:lblOffset val="100"/>
        <c:noMultiLvlLbl val="0"/>
      </c:catAx>
      <c:valAx>
        <c:axId val="1086961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5013128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ECF-4865-A73E-741879D79270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ECF-4865-A73E-741879D79270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ECF-4865-A73E-741879D79270}"/>
              </c:ext>
            </c:extLst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ECF-4865-A73E-741879D79270}"/>
              </c:ext>
            </c:extLst>
          </c:dPt>
          <c:dPt>
            <c:idx val="4"/>
            <c:bubble3D val="0"/>
            <c:spPr>
              <a:solidFill>
                <a:srgbClr val="13A10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ECF-4865-A73E-741879D79270}"/>
              </c:ext>
            </c:extLst>
          </c:dPt>
          <c:cat>
            <c:strRef>
              <c:f>'Ch 2.1 relative &amp; percent freq'!$C$10:$C$14</c:f>
              <c:strCache>
                <c:ptCount val="5"/>
                <c:pt idx="0">
                  <c:v>Coke Classic</c:v>
                </c:pt>
                <c:pt idx="1">
                  <c:v>Diet Coke</c:v>
                </c:pt>
                <c:pt idx="2">
                  <c:v>Pepsi</c:v>
                </c:pt>
                <c:pt idx="3">
                  <c:v>Dr. Pepper</c:v>
                </c:pt>
                <c:pt idx="4">
                  <c:v>Sprite</c:v>
                </c:pt>
              </c:strCache>
            </c:strRef>
          </c:cat>
          <c:val>
            <c:numRef>
              <c:f>'Ch 2.1 relative &amp; percent freq'!$D$10:$D$14</c:f>
              <c:numCache>
                <c:formatCode>0%</c:formatCode>
                <c:ptCount val="5"/>
                <c:pt idx="0">
                  <c:v>0.38</c:v>
                </c:pt>
                <c:pt idx="1">
                  <c:v>0.16</c:v>
                </c:pt>
                <c:pt idx="2">
                  <c:v>0.26</c:v>
                </c:pt>
                <c:pt idx="3">
                  <c:v>0.1</c:v>
                </c:pt>
                <c:pt idx="4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B7-494F-A989-8F50AA711F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Soft Drink Frequency</a:t>
            </a:r>
          </a:p>
        </c:rich>
      </c:tx>
      <c:layout>
        <c:manualLayout>
          <c:xMode val="edge"/>
          <c:yMode val="edge"/>
          <c:x val="0.41186801867013634"/>
          <c:y val="3.47222222222222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v>Soft Drink</c:v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0-FC15-4537-930E-A9A18DBF7FD6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717-4539-B010-44204930E149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717-4539-B010-44204930E149}"/>
              </c:ext>
            </c:extLst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717-4539-B010-44204930E149}"/>
              </c:ext>
            </c:extLst>
          </c:dPt>
          <c:dPt>
            <c:idx val="4"/>
            <c:bubble3D val="0"/>
            <c:spPr>
              <a:solidFill>
                <a:srgbClr val="13A10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717-4539-B010-44204930E149}"/>
              </c:ext>
            </c:extLst>
          </c:dPt>
          <c:cat>
            <c:strRef>
              <c:f>'Ch 2.1  pie chart'!$C$2:$C$6</c:f>
              <c:strCache>
                <c:ptCount val="5"/>
                <c:pt idx="0">
                  <c:v>Coke Classic</c:v>
                </c:pt>
                <c:pt idx="1">
                  <c:v>Diet Coke</c:v>
                </c:pt>
                <c:pt idx="2">
                  <c:v>Pepsi</c:v>
                </c:pt>
                <c:pt idx="3">
                  <c:v>Dr. Pepper</c:v>
                </c:pt>
                <c:pt idx="4">
                  <c:v>Sprite</c:v>
                </c:pt>
              </c:strCache>
            </c:strRef>
          </c:cat>
          <c:val>
            <c:numRef>
              <c:f>'Ch 2.1  pie chart'!$D$2:$D$6</c:f>
              <c:numCache>
                <c:formatCode>General</c:formatCode>
                <c:ptCount val="5"/>
                <c:pt idx="0">
                  <c:v>19</c:v>
                </c:pt>
                <c:pt idx="1">
                  <c:v>8</c:v>
                </c:pt>
                <c:pt idx="2">
                  <c:v>13</c:v>
                </c:pt>
                <c:pt idx="3">
                  <c:v>5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93-45D3-B2B2-7664F8C56C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7.9760314060992155E-2"/>
          <c:y val="0.11646822048611112"/>
          <c:w val="0.84531845579604059"/>
          <c:h val="0.2092144881889763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[Ch. 2  Bar Chart, Pie Plot, Histogram, Dot plot, Ogive, Scatter Diagram.xlsx]Ch. 2.4 Pivot Table &amp; Histogram!PivotTable4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Histogram for Audit</a:t>
            </a:r>
            <a:r>
              <a:rPr lang="en-US" baseline="0"/>
              <a:t> Time Data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solidFill>
              <a:srgbClr val="00B05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'Ch. 2.4 Pivot Table &amp; Histogram'!$D$1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rgbClr val="00B05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'Ch. 2.4 Pivot Table &amp; Histogram'!$C$2:$C$7</c:f>
              <c:strCache>
                <c:ptCount val="5"/>
                <c:pt idx="0">
                  <c:v>10-14</c:v>
                </c:pt>
                <c:pt idx="1">
                  <c:v>15-19</c:v>
                </c:pt>
                <c:pt idx="2">
                  <c:v>20-24</c:v>
                </c:pt>
                <c:pt idx="3">
                  <c:v>25-29</c:v>
                </c:pt>
                <c:pt idx="4">
                  <c:v>30-34</c:v>
                </c:pt>
              </c:strCache>
            </c:strRef>
          </c:cat>
          <c:val>
            <c:numRef>
              <c:f>'Ch. 2.4 Pivot Table &amp; Histogram'!$D$2:$D$7</c:f>
              <c:numCache>
                <c:formatCode>General</c:formatCode>
                <c:ptCount val="5"/>
                <c:pt idx="0">
                  <c:v>4</c:v>
                </c:pt>
                <c:pt idx="1">
                  <c:v>8</c:v>
                </c:pt>
                <c:pt idx="2">
                  <c:v>5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AB-4DFD-90FB-A09E593A757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-27"/>
        <c:axId val="1848799872"/>
        <c:axId val="1848795072"/>
      </c:barChart>
      <c:catAx>
        <c:axId val="18487998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Audit Time in 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8795072"/>
        <c:crosses val="autoZero"/>
        <c:auto val="1"/>
        <c:lblAlgn val="ctr"/>
        <c:lblOffset val="100"/>
        <c:noMultiLvlLbl val="0"/>
      </c:catAx>
      <c:valAx>
        <c:axId val="184879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8799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Dot Plot for Audit Times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xVal>
            <c:numRef>
              <c:f>'2.3 Dot Plot'!$A$2:$A$21</c:f>
              <c:numCache>
                <c:formatCode>General</c:formatCode>
                <c:ptCount val="20"/>
                <c:pt idx="0">
                  <c:v>12</c:v>
                </c:pt>
                <c:pt idx="1">
                  <c:v>15</c:v>
                </c:pt>
                <c:pt idx="2">
                  <c:v>20</c:v>
                </c:pt>
                <c:pt idx="3">
                  <c:v>22</c:v>
                </c:pt>
                <c:pt idx="4">
                  <c:v>14</c:v>
                </c:pt>
                <c:pt idx="5">
                  <c:v>14</c:v>
                </c:pt>
                <c:pt idx="6">
                  <c:v>15</c:v>
                </c:pt>
                <c:pt idx="7">
                  <c:v>27</c:v>
                </c:pt>
                <c:pt idx="8">
                  <c:v>21</c:v>
                </c:pt>
                <c:pt idx="9">
                  <c:v>18</c:v>
                </c:pt>
                <c:pt idx="10">
                  <c:v>19</c:v>
                </c:pt>
                <c:pt idx="11">
                  <c:v>18</c:v>
                </c:pt>
                <c:pt idx="12">
                  <c:v>22</c:v>
                </c:pt>
                <c:pt idx="13">
                  <c:v>33</c:v>
                </c:pt>
                <c:pt idx="14">
                  <c:v>16</c:v>
                </c:pt>
                <c:pt idx="15">
                  <c:v>18</c:v>
                </c:pt>
                <c:pt idx="16">
                  <c:v>17</c:v>
                </c:pt>
                <c:pt idx="17">
                  <c:v>23</c:v>
                </c:pt>
                <c:pt idx="18">
                  <c:v>28</c:v>
                </c:pt>
                <c:pt idx="19">
                  <c:v>13</c:v>
                </c:pt>
              </c:numCache>
            </c:numRef>
          </c:xVal>
          <c:yVal>
            <c:numRef>
              <c:f>'2.3 Dot Plot'!$B$2:$B$21</c:f>
              <c:numCache>
                <c:formatCode>General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  <c:pt idx="15">
                  <c:v>3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09F-4B2B-B511-0F0159F25B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7284871"/>
        <c:axId val="1615951367"/>
      </c:scatterChart>
      <c:valAx>
        <c:axId val="1517284871"/>
        <c:scaling>
          <c:orientation val="minMax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Audit Time (days)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5951367"/>
        <c:crosses val="autoZero"/>
        <c:crossBetween val="midCat"/>
        <c:majorUnit val="5"/>
      </c:valAx>
      <c:valAx>
        <c:axId val="1615951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7284871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Ogive</a:t>
            </a:r>
            <a:r>
              <a:rPr lang="en-US" baseline="0"/>
              <a:t> for the Audit Time Data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'Figure 2.6'!$C$3:$C$8</c:f>
              <c:numCache>
                <c:formatCode>General</c:formatCode>
                <c:ptCount val="6"/>
                <c:pt idx="0">
                  <c:v>9.5</c:v>
                </c:pt>
                <c:pt idx="1">
                  <c:v>14.5</c:v>
                </c:pt>
                <c:pt idx="2">
                  <c:v>19.5</c:v>
                </c:pt>
                <c:pt idx="3">
                  <c:v>24.5</c:v>
                </c:pt>
                <c:pt idx="4">
                  <c:v>29.5</c:v>
                </c:pt>
                <c:pt idx="5">
                  <c:v>34.5</c:v>
                </c:pt>
              </c:numCache>
            </c:numRef>
          </c:xVal>
          <c:yVal>
            <c:numRef>
              <c:f>'Figure 2.6'!$D$3:$D$8</c:f>
              <c:numCache>
                <c:formatCode>General</c:formatCode>
                <c:ptCount val="6"/>
                <c:pt idx="0">
                  <c:v>0</c:v>
                </c:pt>
                <c:pt idx="1">
                  <c:v>4</c:v>
                </c:pt>
                <c:pt idx="2">
                  <c:v>12</c:v>
                </c:pt>
                <c:pt idx="3">
                  <c:v>17</c:v>
                </c:pt>
                <c:pt idx="4">
                  <c:v>19</c:v>
                </c:pt>
                <c:pt idx="5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39-4BEB-9563-9A0212869F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4000208"/>
        <c:axId val="1514002608"/>
      </c:scatterChart>
      <c:valAx>
        <c:axId val="1514000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Audit Time 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002608"/>
        <c:crosses val="autoZero"/>
        <c:crossBetween val="midCat"/>
      </c:valAx>
      <c:valAx>
        <c:axId val="1514002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Cumulative 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000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'Scatter Diagram'!$B$8:$B$17</c:f>
              <c:numCache>
                <c:formatCode>0</c:formatCode>
                <c:ptCount val="10"/>
                <c:pt idx="0">
                  <c:v>2</c:v>
                </c:pt>
                <c:pt idx="1">
                  <c:v>5</c:v>
                </c:pt>
                <c:pt idx="2">
                  <c:v>1</c:v>
                </c:pt>
                <c:pt idx="3">
                  <c:v>3</c:v>
                </c:pt>
                <c:pt idx="4">
                  <c:v>4</c:v>
                </c:pt>
                <c:pt idx="5">
                  <c:v>1</c:v>
                </c:pt>
                <c:pt idx="6">
                  <c:v>5</c:v>
                </c:pt>
                <c:pt idx="7">
                  <c:v>3</c:v>
                </c:pt>
                <c:pt idx="8">
                  <c:v>4</c:v>
                </c:pt>
                <c:pt idx="9">
                  <c:v>2</c:v>
                </c:pt>
              </c:numCache>
            </c:numRef>
          </c:xVal>
          <c:yVal>
            <c:numRef>
              <c:f>'Scatter Diagram'!$C$8:$C$17</c:f>
              <c:numCache>
                <c:formatCode>0</c:formatCode>
                <c:ptCount val="10"/>
                <c:pt idx="0">
                  <c:v>50</c:v>
                </c:pt>
                <c:pt idx="1">
                  <c:v>57</c:v>
                </c:pt>
                <c:pt idx="2">
                  <c:v>41</c:v>
                </c:pt>
                <c:pt idx="3">
                  <c:v>54</c:v>
                </c:pt>
                <c:pt idx="4">
                  <c:v>54</c:v>
                </c:pt>
                <c:pt idx="5">
                  <c:v>38</c:v>
                </c:pt>
                <c:pt idx="6">
                  <c:v>63</c:v>
                </c:pt>
                <c:pt idx="7">
                  <c:v>48</c:v>
                </c:pt>
                <c:pt idx="8">
                  <c:v>59</c:v>
                </c:pt>
                <c:pt idx="9">
                  <c:v>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A8-4F34-ACB5-71907FCDB6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3046496"/>
        <c:axId val="92792576"/>
      </c:scatterChart>
      <c:valAx>
        <c:axId val="2053046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792576"/>
        <c:crosses val="autoZero"/>
        <c:crossBetween val="midCat"/>
      </c:valAx>
      <c:valAx>
        <c:axId val="92792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046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57150</xdr:colOff>
      <xdr:row>0</xdr:row>
      <xdr:rowOff>228600</xdr:rowOff>
    </xdr:from>
    <xdr:to>
      <xdr:col>14</xdr:col>
      <xdr:colOff>190500</xdr:colOff>
      <xdr:row>21</xdr:row>
      <xdr:rowOff>114300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5649482-46C7-EFD3-A867-4021CBD7A365}"/>
            </a:ext>
          </a:extLst>
        </xdr:cNvPr>
        <xdr:cNvSpPr txBox="1"/>
      </xdr:nvSpPr>
      <xdr:spPr>
        <a:xfrm>
          <a:off x="6543675" y="228600"/>
          <a:ext cx="3790950" cy="4229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8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Had to copy ccolumn B and paste special, paste the values only to C so that I can erase the first column in 2.1 without erasing column Bs values since it is dependant. Now I also have to erase column B since it looks the same as C. Finished product is sheet "Ch. 2.1"</a:t>
          </a:r>
        </a:p>
        <a:p>
          <a:pPr marL="0" indent="0" algn="l"/>
          <a:r>
            <a:rPr lang="en-US" sz="18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Also when I pasted it from the tetext book the last row said "Sprit" and when I changed it to Sprite it came up as unique so I realized I needed to trim the space in front of the original text/data.</a:t>
          </a:r>
        </a:p>
        <a:p>
          <a:pPr marL="0" indent="0" algn="l"/>
          <a:endParaRPr lang="en-US" sz="1800" b="0" i="0" u="none" strike="noStrike">
            <a:solidFill>
              <a:srgbClr val="000000"/>
            </a:solidFill>
            <a:latin typeface="Aptos Narrow" panose="020B00040202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123825</xdr:colOff>
      <xdr:row>1</xdr:row>
      <xdr:rowOff>28575</xdr:rowOff>
    </xdr:from>
    <xdr:to>
      <xdr:col>12</xdr:col>
      <xdr:colOff>428625</xdr:colOff>
      <xdr:row>18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4EDAE29-00B6-7EC5-0BA5-935E36A261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990600</xdr:colOff>
      <xdr:row>5</xdr:row>
      <xdr:rowOff>171450</xdr:rowOff>
    </xdr:from>
    <xdr:to>
      <xdr:col>4</xdr:col>
      <xdr:colOff>57150</xdr:colOff>
      <xdr:row>6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7F31F554-832E-8AA9-E1F4-7C60DDDE9AC2}"/>
            </a:ext>
          </a:extLst>
        </xdr:cNvPr>
        <xdr:cNvCxnSpPr>
          <a:cxnSpLocks/>
        </xdr:cNvCxnSpPr>
      </xdr:nvCxnSpPr>
      <xdr:spPr>
        <a:xfrm>
          <a:off x="2371725" y="1466850"/>
          <a:ext cx="1600200" cy="190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723900</xdr:colOff>
      <xdr:row>7</xdr:row>
      <xdr:rowOff>161925</xdr:rowOff>
    </xdr:from>
    <xdr:to>
      <xdr:col>12</xdr:col>
      <xdr:colOff>142875</xdr:colOff>
      <xdr:row>22</xdr:row>
      <xdr:rowOff>47625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DE339A0-7897-8FB3-8461-48995E466DBF}"/>
            </a:ext>
            <a:ext uri="{147F2762-F138-4A5C-976F-8EAC2B608ADB}">
              <a16:predDERef xmlns:a16="http://schemas.microsoft.com/office/drawing/2014/main" pred="{7F31F554-832E-8AA9-E1F4-7C60DDDE9A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</xdr:colOff>
      <xdr:row>0</xdr:row>
      <xdr:rowOff>361950</xdr:rowOff>
    </xdr:from>
    <xdr:to>
      <xdr:col>14</xdr:col>
      <xdr:colOff>257175</xdr:colOff>
      <xdr:row>18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8652346-059E-F26E-3D43-74C8CE0C7D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</xdr:colOff>
      <xdr:row>1</xdr:row>
      <xdr:rowOff>147637</xdr:rowOff>
    </xdr:from>
    <xdr:to>
      <xdr:col>21</xdr:col>
      <xdr:colOff>219075</xdr:colOff>
      <xdr:row>16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4AD616-61D1-D648-560C-ABA25C8B34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142875</xdr:colOff>
      <xdr:row>0</xdr:row>
      <xdr:rowOff>171450</xdr:rowOff>
    </xdr:from>
    <xdr:to>
      <xdr:col>12</xdr:col>
      <xdr:colOff>400050</xdr:colOff>
      <xdr:row>18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AECDBE1-0ADE-0ED1-D635-42170CE4A5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9525</xdr:colOff>
      <xdr:row>6</xdr:row>
      <xdr:rowOff>19050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10257B2C-73B9-BC62-D781-E882BA5E902C}"/>
            </a:ext>
          </a:extLst>
        </xdr:cNvPr>
        <xdr:cNvCxnSpPr/>
      </xdr:nvCxnSpPr>
      <xdr:spPr>
        <a:xfrm>
          <a:off x="4419600" y="0"/>
          <a:ext cx="9525" cy="14001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3</xdr:col>
      <xdr:colOff>9525</xdr:colOff>
      <xdr:row>8</xdr:row>
      <xdr:rowOff>19050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5916BFA2-5566-41DE-8667-414D6B441FC9}"/>
            </a:ext>
          </a:extLst>
        </xdr:cNvPr>
        <xdr:cNvCxnSpPr/>
      </xdr:nvCxnSpPr>
      <xdr:spPr>
        <a:xfrm>
          <a:off x="4419600" y="0"/>
          <a:ext cx="9525" cy="14001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28575</xdr:colOff>
      <xdr:row>2</xdr:row>
      <xdr:rowOff>4762</xdr:rowOff>
    </xdr:from>
    <xdr:to>
      <xdr:col>21</xdr:col>
      <xdr:colOff>228600</xdr:colOff>
      <xdr:row>16</xdr:row>
      <xdr:rowOff>80962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6D99386-E9D0-6FE0-CFB8-D17501D9DC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104775</xdr:colOff>
      <xdr:row>11</xdr:row>
      <xdr:rowOff>104774</xdr:rowOff>
    </xdr:from>
    <xdr:ext cx="2085975" cy="1695451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47C9F0E-42A0-8E78-8F99-12D944FB8125}"/>
            </a:ext>
          </a:extLst>
        </xdr:cNvPr>
        <xdr:cNvSpPr txBox="1"/>
      </xdr:nvSpPr>
      <xdr:spPr>
        <a:xfrm>
          <a:off x="3152775" y="2200274"/>
          <a:ext cx="2085975" cy="16954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800"/>
            <a:t>The</a:t>
          </a:r>
          <a:r>
            <a:rPr lang="en-US" sz="1800" baseline="0"/>
            <a:t> first 10 rows are the same data as the textbook but the rest are just generated from Chat GPT</a:t>
          </a:r>
        </a:p>
        <a:p>
          <a:endParaRPr lang="en-US" sz="1100" baseline="0"/>
        </a:p>
      </xdr:txBody>
    </xdr:sp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590550</xdr:colOff>
      <xdr:row>9</xdr:row>
      <xdr:rowOff>114299</xdr:rowOff>
    </xdr:from>
    <xdr:ext cx="2085975" cy="1695451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70613CB-F8DB-4A32-BB3C-A9B35F050A9C}"/>
            </a:ext>
          </a:extLst>
        </xdr:cNvPr>
        <xdr:cNvSpPr txBox="1"/>
      </xdr:nvSpPr>
      <xdr:spPr>
        <a:xfrm>
          <a:off x="2419350" y="1828799"/>
          <a:ext cx="2085975" cy="16954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800"/>
            <a:t>The</a:t>
          </a:r>
          <a:r>
            <a:rPr lang="en-US" sz="1800" baseline="0"/>
            <a:t> first 10 rows are the same data as the textbook but the rest are just generated from Chat GPT</a:t>
          </a:r>
        </a:p>
        <a:p>
          <a:endParaRPr lang="en-US" sz="1100" baseline="0"/>
        </a:p>
      </xdr:txBody>
    </xdr:sp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304800</xdr:colOff>
      <xdr:row>5</xdr:row>
      <xdr:rowOff>95250</xdr:rowOff>
    </xdr:from>
    <xdr:to>
      <xdr:col>17</xdr:col>
      <xdr:colOff>361949</xdr:colOff>
      <xdr:row>20</xdr:row>
      <xdr:rowOff>157162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F26DE9C-459F-683C-08D4-9000C08D81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16692" refreshedDate="45871.702916550923" createdVersion="8" refreshedVersion="8" minRefreshableVersion="3" recordCount="20" xr:uid="{A122F9B6-D1C8-479A-9EA6-DD2D3954CCBC}">
  <cacheSource type="worksheet">
    <worksheetSource ref="A1:A21" sheet="Ch. 2.4 Pivot Table &amp; Histogram"/>
  </cacheSource>
  <cacheFields count="1">
    <cacheField name="Audit Time" numFmtId="0">
      <sharedItems containsSemiMixedTypes="0" containsString="0" containsNumber="1" containsInteger="1" minValue="12" maxValue="33" count="15">
        <n v="12"/>
        <n v="15"/>
        <n v="20"/>
        <n v="22"/>
        <n v="14"/>
        <n v="27"/>
        <n v="21"/>
        <n v="18"/>
        <n v="19"/>
        <n v="33"/>
        <n v="16"/>
        <n v="17"/>
        <n v="23"/>
        <n v="28"/>
        <n v="13"/>
      </sharedItems>
      <fieldGroup base="0">
        <rangePr autoStart="0" autoEnd="0" startNum="10" endNum="34" groupInterval="5"/>
        <groupItems count="7">
          <s v="&lt;10"/>
          <s v="10-14"/>
          <s v="15-19"/>
          <s v="20-24"/>
          <s v="25-29"/>
          <s v="30-34"/>
          <s v="&gt;3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16692" refreshedDate="45873.727662384263" createdVersion="8" refreshedVersion="8" minRefreshableVersion="3" recordCount="300" xr:uid="{AA9B0569-9C11-42BE-9D16-CA98B18D0DE9}">
  <cacheSource type="worksheet">
    <worksheetSource ref="A1:C301" sheet="Figure 2.10"/>
  </cacheSource>
  <cacheFields count="3">
    <cacheField name="RestaurantID" numFmtId="0">
      <sharedItems containsSemiMixedTypes="0" containsString="0" containsNumber="1" containsInteger="1" minValue="1" maxValue="300"/>
    </cacheField>
    <cacheField name="QualityRating" numFmtId="0">
      <sharedItems count="3">
        <s v="Good"/>
        <s v="Very Good"/>
        <s v="Excellent"/>
      </sharedItems>
    </cacheField>
    <cacheField name="MealPrice" numFmtId="0">
      <sharedItems containsSemiMixedTypes="0" containsString="0" containsNumber="1" containsInteger="1" minValue="10" maxValue="60" count="47">
        <n v="18"/>
        <n v="22"/>
        <n v="28"/>
        <n v="38"/>
        <n v="33"/>
        <n v="19"/>
        <n v="11"/>
        <n v="23"/>
        <n v="13"/>
        <n v="24"/>
        <n v="20"/>
        <n v="34"/>
        <n v="29"/>
        <n v="31"/>
        <n v="21"/>
        <n v="39"/>
        <n v="12"/>
        <n v="14"/>
        <n v="10"/>
        <n v="56"/>
        <n v="35"/>
        <n v="16"/>
        <n v="30"/>
        <n v="17"/>
        <n v="55"/>
        <n v="44"/>
        <n v="27"/>
        <n v="25"/>
        <n v="57"/>
        <n v="36"/>
        <n v="48"/>
        <n v="32"/>
        <n v="37"/>
        <n v="51"/>
        <n v="15"/>
        <n v="59"/>
        <n v="50"/>
        <n v="60"/>
        <n v="47"/>
        <n v="43"/>
        <n v="46"/>
        <n v="52"/>
        <n v="26"/>
        <n v="53"/>
        <n v="41"/>
        <n v="42"/>
        <n v="54"/>
      </sharedItems>
      <fieldGroup base="2">
        <rangePr autoEnd="0" startNum="10" endNum="49" groupInterval="10"/>
        <groupItems count="6">
          <s v="&lt;10"/>
          <s v="10-19"/>
          <s v="20-29"/>
          <s v="30-39"/>
          <s v="40-49"/>
          <s v="&gt;5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</r>
  <r>
    <x v="1"/>
  </r>
  <r>
    <x v="2"/>
  </r>
  <r>
    <x v="3"/>
  </r>
  <r>
    <x v="4"/>
  </r>
  <r>
    <x v="4"/>
  </r>
  <r>
    <x v="1"/>
  </r>
  <r>
    <x v="5"/>
  </r>
  <r>
    <x v="6"/>
  </r>
  <r>
    <x v="7"/>
  </r>
  <r>
    <x v="8"/>
  </r>
  <r>
    <x v="7"/>
  </r>
  <r>
    <x v="3"/>
  </r>
  <r>
    <x v="9"/>
  </r>
  <r>
    <x v="10"/>
  </r>
  <r>
    <x v="7"/>
  </r>
  <r>
    <x v="11"/>
  </r>
  <r>
    <x v="12"/>
  </r>
  <r>
    <x v="13"/>
  </r>
  <r>
    <x v="1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n v="1"/>
    <x v="0"/>
    <x v="0"/>
  </r>
  <r>
    <n v="2"/>
    <x v="1"/>
    <x v="1"/>
  </r>
  <r>
    <n v="3"/>
    <x v="0"/>
    <x v="2"/>
  </r>
  <r>
    <n v="4"/>
    <x v="2"/>
    <x v="3"/>
  </r>
  <r>
    <n v="5"/>
    <x v="1"/>
    <x v="4"/>
  </r>
  <r>
    <n v="6"/>
    <x v="0"/>
    <x v="2"/>
  </r>
  <r>
    <n v="7"/>
    <x v="1"/>
    <x v="5"/>
  </r>
  <r>
    <n v="8"/>
    <x v="1"/>
    <x v="6"/>
  </r>
  <r>
    <n v="9"/>
    <x v="1"/>
    <x v="7"/>
  </r>
  <r>
    <n v="10"/>
    <x v="0"/>
    <x v="8"/>
  </r>
  <r>
    <n v="11"/>
    <x v="0"/>
    <x v="9"/>
  </r>
  <r>
    <n v="12"/>
    <x v="1"/>
    <x v="10"/>
  </r>
  <r>
    <n v="13"/>
    <x v="1"/>
    <x v="11"/>
  </r>
  <r>
    <n v="14"/>
    <x v="1"/>
    <x v="12"/>
  </r>
  <r>
    <n v="15"/>
    <x v="1"/>
    <x v="13"/>
  </r>
  <r>
    <n v="16"/>
    <x v="1"/>
    <x v="13"/>
  </r>
  <r>
    <n v="17"/>
    <x v="2"/>
    <x v="8"/>
  </r>
  <r>
    <n v="18"/>
    <x v="1"/>
    <x v="14"/>
  </r>
  <r>
    <n v="19"/>
    <x v="0"/>
    <x v="1"/>
  </r>
  <r>
    <n v="20"/>
    <x v="2"/>
    <x v="15"/>
  </r>
  <r>
    <n v="21"/>
    <x v="1"/>
    <x v="12"/>
  </r>
  <r>
    <n v="22"/>
    <x v="1"/>
    <x v="10"/>
  </r>
  <r>
    <n v="23"/>
    <x v="1"/>
    <x v="5"/>
  </r>
  <r>
    <n v="24"/>
    <x v="1"/>
    <x v="11"/>
  </r>
  <r>
    <n v="25"/>
    <x v="0"/>
    <x v="16"/>
  </r>
  <r>
    <n v="26"/>
    <x v="0"/>
    <x v="17"/>
  </r>
  <r>
    <n v="27"/>
    <x v="2"/>
    <x v="11"/>
  </r>
  <r>
    <n v="28"/>
    <x v="0"/>
    <x v="18"/>
  </r>
  <r>
    <n v="29"/>
    <x v="2"/>
    <x v="4"/>
  </r>
  <r>
    <n v="30"/>
    <x v="0"/>
    <x v="16"/>
  </r>
  <r>
    <n v="31"/>
    <x v="1"/>
    <x v="2"/>
  </r>
  <r>
    <n v="32"/>
    <x v="0"/>
    <x v="10"/>
  </r>
  <r>
    <n v="33"/>
    <x v="2"/>
    <x v="19"/>
  </r>
  <r>
    <n v="34"/>
    <x v="0"/>
    <x v="5"/>
  </r>
  <r>
    <n v="35"/>
    <x v="1"/>
    <x v="4"/>
  </r>
  <r>
    <n v="36"/>
    <x v="1"/>
    <x v="20"/>
  </r>
  <r>
    <n v="37"/>
    <x v="0"/>
    <x v="21"/>
  </r>
  <r>
    <n v="38"/>
    <x v="0"/>
    <x v="10"/>
  </r>
  <r>
    <n v="39"/>
    <x v="1"/>
    <x v="22"/>
  </r>
  <r>
    <n v="40"/>
    <x v="0"/>
    <x v="23"/>
  </r>
  <r>
    <n v="41"/>
    <x v="2"/>
    <x v="4"/>
  </r>
  <r>
    <n v="42"/>
    <x v="1"/>
    <x v="1"/>
  </r>
  <r>
    <n v="43"/>
    <x v="2"/>
    <x v="24"/>
  </r>
  <r>
    <n v="44"/>
    <x v="1"/>
    <x v="1"/>
  </r>
  <r>
    <n v="45"/>
    <x v="2"/>
    <x v="25"/>
  </r>
  <r>
    <n v="46"/>
    <x v="1"/>
    <x v="10"/>
  </r>
  <r>
    <n v="47"/>
    <x v="1"/>
    <x v="13"/>
  </r>
  <r>
    <n v="48"/>
    <x v="0"/>
    <x v="14"/>
  </r>
  <r>
    <n v="49"/>
    <x v="1"/>
    <x v="4"/>
  </r>
  <r>
    <n v="50"/>
    <x v="1"/>
    <x v="26"/>
  </r>
  <r>
    <n v="51"/>
    <x v="0"/>
    <x v="10"/>
  </r>
  <r>
    <n v="52"/>
    <x v="0"/>
    <x v="6"/>
  </r>
  <r>
    <n v="53"/>
    <x v="0"/>
    <x v="1"/>
  </r>
  <r>
    <n v="54"/>
    <x v="0"/>
    <x v="10"/>
  </r>
  <r>
    <n v="55"/>
    <x v="0"/>
    <x v="1"/>
  </r>
  <r>
    <n v="56"/>
    <x v="0"/>
    <x v="27"/>
  </r>
  <r>
    <n v="57"/>
    <x v="0"/>
    <x v="21"/>
  </r>
  <r>
    <n v="58"/>
    <x v="0"/>
    <x v="10"/>
  </r>
  <r>
    <n v="59"/>
    <x v="1"/>
    <x v="11"/>
  </r>
  <r>
    <n v="60"/>
    <x v="1"/>
    <x v="22"/>
  </r>
  <r>
    <n v="61"/>
    <x v="0"/>
    <x v="17"/>
  </r>
  <r>
    <n v="62"/>
    <x v="1"/>
    <x v="2"/>
  </r>
  <r>
    <n v="63"/>
    <x v="0"/>
    <x v="16"/>
  </r>
  <r>
    <n v="64"/>
    <x v="1"/>
    <x v="26"/>
  </r>
  <r>
    <n v="65"/>
    <x v="2"/>
    <x v="28"/>
  </r>
  <r>
    <n v="66"/>
    <x v="2"/>
    <x v="29"/>
  </r>
  <r>
    <n v="67"/>
    <x v="0"/>
    <x v="6"/>
  </r>
  <r>
    <n v="68"/>
    <x v="2"/>
    <x v="25"/>
  </r>
  <r>
    <n v="69"/>
    <x v="0"/>
    <x v="27"/>
  </r>
  <r>
    <n v="70"/>
    <x v="2"/>
    <x v="30"/>
  </r>
  <r>
    <n v="71"/>
    <x v="1"/>
    <x v="0"/>
  </r>
  <r>
    <n v="72"/>
    <x v="1"/>
    <x v="31"/>
  </r>
  <r>
    <n v="73"/>
    <x v="0"/>
    <x v="18"/>
  </r>
  <r>
    <n v="74"/>
    <x v="0"/>
    <x v="16"/>
  </r>
  <r>
    <n v="75"/>
    <x v="0"/>
    <x v="8"/>
  </r>
  <r>
    <n v="76"/>
    <x v="2"/>
    <x v="32"/>
  </r>
  <r>
    <n v="77"/>
    <x v="0"/>
    <x v="8"/>
  </r>
  <r>
    <n v="78"/>
    <x v="1"/>
    <x v="27"/>
  </r>
  <r>
    <n v="79"/>
    <x v="1"/>
    <x v="1"/>
  </r>
  <r>
    <n v="80"/>
    <x v="1"/>
    <x v="27"/>
  </r>
  <r>
    <n v="81"/>
    <x v="1"/>
    <x v="2"/>
  </r>
  <r>
    <n v="82"/>
    <x v="1"/>
    <x v="4"/>
  </r>
  <r>
    <n v="83"/>
    <x v="0"/>
    <x v="6"/>
  </r>
  <r>
    <n v="84"/>
    <x v="2"/>
    <x v="33"/>
  </r>
  <r>
    <n v="85"/>
    <x v="0"/>
    <x v="17"/>
  </r>
  <r>
    <n v="86"/>
    <x v="1"/>
    <x v="5"/>
  </r>
  <r>
    <n v="87"/>
    <x v="0"/>
    <x v="5"/>
  </r>
  <r>
    <n v="88"/>
    <x v="1"/>
    <x v="13"/>
  </r>
  <r>
    <n v="89"/>
    <x v="0"/>
    <x v="23"/>
  </r>
  <r>
    <n v="90"/>
    <x v="1"/>
    <x v="4"/>
  </r>
  <r>
    <n v="91"/>
    <x v="1"/>
    <x v="2"/>
  </r>
  <r>
    <n v="92"/>
    <x v="0"/>
    <x v="5"/>
  </r>
  <r>
    <n v="93"/>
    <x v="0"/>
    <x v="7"/>
  </r>
  <r>
    <n v="94"/>
    <x v="1"/>
    <x v="7"/>
  </r>
  <r>
    <n v="95"/>
    <x v="0"/>
    <x v="34"/>
  </r>
  <r>
    <n v="96"/>
    <x v="1"/>
    <x v="1"/>
  </r>
  <r>
    <n v="97"/>
    <x v="1"/>
    <x v="14"/>
  </r>
  <r>
    <n v="98"/>
    <x v="2"/>
    <x v="32"/>
  </r>
  <r>
    <n v="99"/>
    <x v="0"/>
    <x v="7"/>
  </r>
  <r>
    <n v="100"/>
    <x v="1"/>
    <x v="14"/>
  </r>
  <r>
    <n v="101"/>
    <x v="1"/>
    <x v="7"/>
  </r>
  <r>
    <n v="102"/>
    <x v="0"/>
    <x v="23"/>
  </r>
  <r>
    <n v="103"/>
    <x v="2"/>
    <x v="35"/>
  </r>
  <r>
    <n v="104"/>
    <x v="2"/>
    <x v="36"/>
  </r>
  <r>
    <n v="105"/>
    <x v="2"/>
    <x v="37"/>
  </r>
  <r>
    <n v="106"/>
    <x v="2"/>
    <x v="13"/>
  </r>
  <r>
    <n v="107"/>
    <x v="0"/>
    <x v="9"/>
  </r>
  <r>
    <n v="108"/>
    <x v="2"/>
    <x v="11"/>
  </r>
  <r>
    <n v="109"/>
    <x v="0"/>
    <x v="5"/>
  </r>
  <r>
    <n v="110"/>
    <x v="0"/>
    <x v="18"/>
  </r>
  <r>
    <n v="111"/>
    <x v="1"/>
    <x v="14"/>
  </r>
  <r>
    <n v="112"/>
    <x v="0"/>
    <x v="34"/>
  </r>
  <r>
    <n v="113"/>
    <x v="0"/>
    <x v="10"/>
  </r>
  <r>
    <n v="114"/>
    <x v="2"/>
    <x v="38"/>
  </r>
  <r>
    <n v="115"/>
    <x v="1"/>
    <x v="22"/>
  </r>
  <r>
    <n v="116"/>
    <x v="0"/>
    <x v="18"/>
  </r>
  <r>
    <n v="117"/>
    <x v="1"/>
    <x v="12"/>
  </r>
  <r>
    <n v="118"/>
    <x v="1"/>
    <x v="9"/>
  </r>
  <r>
    <n v="119"/>
    <x v="0"/>
    <x v="8"/>
  </r>
  <r>
    <n v="120"/>
    <x v="2"/>
    <x v="39"/>
  </r>
  <r>
    <n v="121"/>
    <x v="1"/>
    <x v="27"/>
  </r>
  <r>
    <n v="122"/>
    <x v="0"/>
    <x v="10"/>
  </r>
  <r>
    <n v="123"/>
    <x v="0"/>
    <x v="23"/>
  </r>
  <r>
    <n v="124"/>
    <x v="0"/>
    <x v="9"/>
  </r>
  <r>
    <n v="125"/>
    <x v="2"/>
    <x v="3"/>
  </r>
  <r>
    <n v="126"/>
    <x v="1"/>
    <x v="11"/>
  </r>
  <r>
    <n v="127"/>
    <x v="0"/>
    <x v="34"/>
  </r>
  <r>
    <n v="128"/>
    <x v="0"/>
    <x v="10"/>
  </r>
  <r>
    <n v="129"/>
    <x v="2"/>
    <x v="37"/>
  </r>
  <r>
    <n v="130"/>
    <x v="0"/>
    <x v="10"/>
  </r>
  <r>
    <n v="131"/>
    <x v="2"/>
    <x v="4"/>
  </r>
  <r>
    <n v="132"/>
    <x v="1"/>
    <x v="26"/>
  </r>
  <r>
    <n v="133"/>
    <x v="0"/>
    <x v="18"/>
  </r>
  <r>
    <n v="134"/>
    <x v="0"/>
    <x v="6"/>
  </r>
  <r>
    <n v="135"/>
    <x v="2"/>
    <x v="15"/>
  </r>
  <r>
    <n v="136"/>
    <x v="2"/>
    <x v="4"/>
  </r>
  <r>
    <n v="137"/>
    <x v="0"/>
    <x v="18"/>
  </r>
  <r>
    <n v="138"/>
    <x v="1"/>
    <x v="2"/>
  </r>
  <r>
    <n v="139"/>
    <x v="1"/>
    <x v="11"/>
  </r>
  <r>
    <n v="140"/>
    <x v="1"/>
    <x v="22"/>
  </r>
  <r>
    <n v="141"/>
    <x v="1"/>
    <x v="10"/>
  </r>
  <r>
    <n v="142"/>
    <x v="1"/>
    <x v="20"/>
  </r>
  <r>
    <n v="143"/>
    <x v="0"/>
    <x v="9"/>
  </r>
  <r>
    <n v="144"/>
    <x v="1"/>
    <x v="13"/>
  </r>
  <r>
    <n v="145"/>
    <x v="1"/>
    <x v="5"/>
  </r>
  <r>
    <n v="146"/>
    <x v="2"/>
    <x v="40"/>
  </r>
  <r>
    <n v="147"/>
    <x v="0"/>
    <x v="0"/>
  </r>
  <r>
    <n v="148"/>
    <x v="0"/>
    <x v="27"/>
  </r>
  <r>
    <n v="149"/>
    <x v="0"/>
    <x v="6"/>
  </r>
  <r>
    <n v="150"/>
    <x v="0"/>
    <x v="10"/>
  </r>
  <r>
    <n v="151"/>
    <x v="2"/>
    <x v="37"/>
  </r>
  <r>
    <n v="152"/>
    <x v="1"/>
    <x v="14"/>
  </r>
  <r>
    <n v="153"/>
    <x v="0"/>
    <x v="5"/>
  </r>
  <r>
    <n v="154"/>
    <x v="2"/>
    <x v="41"/>
  </r>
  <r>
    <n v="155"/>
    <x v="1"/>
    <x v="9"/>
  </r>
  <r>
    <n v="156"/>
    <x v="0"/>
    <x v="16"/>
  </r>
  <r>
    <n v="157"/>
    <x v="1"/>
    <x v="22"/>
  </r>
  <r>
    <n v="158"/>
    <x v="1"/>
    <x v="4"/>
  </r>
  <r>
    <n v="159"/>
    <x v="0"/>
    <x v="6"/>
  </r>
  <r>
    <n v="160"/>
    <x v="0"/>
    <x v="23"/>
  </r>
  <r>
    <n v="161"/>
    <x v="0"/>
    <x v="8"/>
  </r>
  <r>
    <n v="162"/>
    <x v="1"/>
    <x v="42"/>
  </r>
  <r>
    <n v="163"/>
    <x v="2"/>
    <x v="43"/>
  </r>
  <r>
    <n v="164"/>
    <x v="0"/>
    <x v="5"/>
  </r>
  <r>
    <n v="165"/>
    <x v="0"/>
    <x v="0"/>
  </r>
  <r>
    <n v="166"/>
    <x v="0"/>
    <x v="34"/>
  </r>
  <r>
    <n v="167"/>
    <x v="0"/>
    <x v="8"/>
  </r>
  <r>
    <n v="168"/>
    <x v="1"/>
    <x v="12"/>
  </r>
  <r>
    <n v="169"/>
    <x v="1"/>
    <x v="5"/>
  </r>
  <r>
    <n v="170"/>
    <x v="1"/>
    <x v="11"/>
  </r>
  <r>
    <n v="171"/>
    <x v="0"/>
    <x v="21"/>
  </r>
  <r>
    <n v="172"/>
    <x v="0"/>
    <x v="14"/>
  </r>
  <r>
    <n v="173"/>
    <x v="0"/>
    <x v="14"/>
  </r>
  <r>
    <n v="174"/>
    <x v="0"/>
    <x v="5"/>
  </r>
  <r>
    <n v="175"/>
    <x v="0"/>
    <x v="18"/>
  </r>
  <r>
    <n v="176"/>
    <x v="0"/>
    <x v="17"/>
  </r>
  <r>
    <n v="177"/>
    <x v="1"/>
    <x v="0"/>
  </r>
  <r>
    <n v="178"/>
    <x v="0"/>
    <x v="1"/>
  </r>
  <r>
    <n v="179"/>
    <x v="0"/>
    <x v="5"/>
  </r>
  <r>
    <n v="180"/>
    <x v="1"/>
    <x v="2"/>
  </r>
  <r>
    <n v="181"/>
    <x v="0"/>
    <x v="34"/>
  </r>
  <r>
    <n v="182"/>
    <x v="1"/>
    <x v="9"/>
  </r>
  <r>
    <n v="183"/>
    <x v="0"/>
    <x v="10"/>
  </r>
  <r>
    <n v="184"/>
    <x v="0"/>
    <x v="5"/>
  </r>
  <r>
    <n v="185"/>
    <x v="1"/>
    <x v="7"/>
  </r>
  <r>
    <n v="186"/>
    <x v="1"/>
    <x v="26"/>
  </r>
  <r>
    <n v="187"/>
    <x v="0"/>
    <x v="16"/>
  </r>
  <r>
    <n v="188"/>
    <x v="1"/>
    <x v="12"/>
  </r>
  <r>
    <n v="189"/>
    <x v="0"/>
    <x v="18"/>
  </r>
  <r>
    <n v="190"/>
    <x v="2"/>
    <x v="41"/>
  </r>
  <r>
    <n v="191"/>
    <x v="2"/>
    <x v="22"/>
  </r>
  <r>
    <n v="192"/>
    <x v="0"/>
    <x v="27"/>
  </r>
  <r>
    <n v="193"/>
    <x v="1"/>
    <x v="11"/>
  </r>
  <r>
    <n v="194"/>
    <x v="1"/>
    <x v="14"/>
  </r>
  <r>
    <n v="195"/>
    <x v="0"/>
    <x v="7"/>
  </r>
  <r>
    <n v="196"/>
    <x v="1"/>
    <x v="14"/>
  </r>
  <r>
    <n v="197"/>
    <x v="2"/>
    <x v="44"/>
  </r>
  <r>
    <n v="198"/>
    <x v="2"/>
    <x v="45"/>
  </r>
  <r>
    <n v="199"/>
    <x v="1"/>
    <x v="2"/>
  </r>
  <r>
    <n v="200"/>
    <x v="1"/>
    <x v="42"/>
  </r>
  <r>
    <n v="201"/>
    <x v="2"/>
    <x v="4"/>
  </r>
  <r>
    <n v="202"/>
    <x v="0"/>
    <x v="34"/>
  </r>
  <r>
    <n v="203"/>
    <x v="0"/>
    <x v="10"/>
  </r>
  <r>
    <n v="204"/>
    <x v="0"/>
    <x v="18"/>
  </r>
  <r>
    <n v="205"/>
    <x v="1"/>
    <x v="14"/>
  </r>
  <r>
    <n v="206"/>
    <x v="0"/>
    <x v="34"/>
  </r>
  <r>
    <n v="207"/>
    <x v="1"/>
    <x v="2"/>
  </r>
  <r>
    <n v="208"/>
    <x v="0"/>
    <x v="10"/>
  </r>
  <r>
    <n v="209"/>
    <x v="1"/>
    <x v="22"/>
  </r>
  <r>
    <n v="210"/>
    <x v="0"/>
    <x v="7"/>
  </r>
  <r>
    <n v="211"/>
    <x v="0"/>
    <x v="34"/>
  </r>
  <r>
    <n v="212"/>
    <x v="0"/>
    <x v="18"/>
  </r>
  <r>
    <n v="213"/>
    <x v="0"/>
    <x v="17"/>
  </r>
  <r>
    <n v="214"/>
    <x v="0"/>
    <x v="10"/>
  </r>
  <r>
    <n v="215"/>
    <x v="2"/>
    <x v="11"/>
  </r>
  <r>
    <n v="216"/>
    <x v="2"/>
    <x v="40"/>
  </r>
  <r>
    <n v="217"/>
    <x v="0"/>
    <x v="34"/>
  </r>
  <r>
    <n v="218"/>
    <x v="2"/>
    <x v="33"/>
  </r>
  <r>
    <n v="219"/>
    <x v="0"/>
    <x v="6"/>
  </r>
  <r>
    <n v="220"/>
    <x v="0"/>
    <x v="27"/>
  </r>
  <r>
    <n v="221"/>
    <x v="0"/>
    <x v="1"/>
  </r>
  <r>
    <n v="222"/>
    <x v="1"/>
    <x v="20"/>
  </r>
  <r>
    <n v="223"/>
    <x v="1"/>
    <x v="4"/>
  </r>
  <r>
    <n v="224"/>
    <x v="0"/>
    <x v="6"/>
  </r>
  <r>
    <n v="225"/>
    <x v="1"/>
    <x v="22"/>
  </r>
  <r>
    <n v="226"/>
    <x v="2"/>
    <x v="15"/>
  </r>
  <r>
    <n v="227"/>
    <x v="0"/>
    <x v="27"/>
  </r>
  <r>
    <n v="228"/>
    <x v="0"/>
    <x v="6"/>
  </r>
  <r>
    <n v="229"/>
    <x v="0"/>
    <x v="14"/>
  </r>
  <r>
    <n v="230"/>
    <x v="1"/>
    <x v="22"/>
  </r>
  <r>
    <n v="231"/>
    <x v="0"/>
    <x v="18"/>
  </r>
  <r>
    <n v="232"/>
    <x v="1"/>
    <x v="31"/>
  </r>
  <r>
    <n v="233"/>
    <x v="0"/>
    <x v="7"/>
  </r>
  <r>
    <n v="234"/>
    <x v="1"/>
    <x v="27"/>
  </r>
  <r>
    <n v="235"/>
    <x v="0"/>
    <x v="1"/>
  </r>
  <r>
    <n v="236"/>
    <x v="1"/>
    <x v="5"/>
  </r>
  <r>
    <n v="237"/>
    <x v="0"/>
    <x v="8"/>
  </r>
  <r>
    <n v="238"/>
    <x v="1"/>
    <x v="0"/>
  </r>
  <r>
    <n v="239"/>
    <x v="2"/>
    <x v="4"/>
  </r>
  <r>
    <n v="240"/>
    <x v="1"/>
    <x v="26"/>
  </r>
  <r>
    <n v="241"/>
    <x v="0"/>
    <x v="21"/>
  </r>
  <r>
    <n v="242"/>
    <x v="0"/>
    <x v="0"/>
  </r>
  <r>
    <n v="243"/>
    <x v="1"/>
    <x v="10"/>
  </r>
  <r>
    <n v="244"/>
    <x v="0"/>
    <x v="18"/>
  </r>
  <r>
    <n v="245"/>
    <x v="0"/>
    <x v="17"/>
  </r>
  <r>
    <n v="246"/>
    <x v="2"/>
    <x v="25"/>
  </r>
  <r>
    <n v="247"/>
    <x v="0"/>
    <x v="27"/>
  </r>
  <r>
    <n v="248"/>
    <x v="1"/>
    <x v="13"/>
  </r>
  <r>
    <n v="249"/>
    <x v="1"/>
    <x v="2"/>
  </r>
  <r>
    <n v="250"/>
    <x v="0"/>
    <x v="6"/>
  </r>
  <r>
    <n v="251"/>
    <x v="1"/>
    <x v="42"/>
  </r>
  <r>
    <n v="252"/>
    <x v="1"/>
    <x v="42"/>
  </r>
  <r>
    <n v="253"/>
    <x v="0"/>
    <x v="17"/>
  </r>
  <r>
    <n v="254"/>
    <x v="0"/>
    <x v="23"/>
  </r>
  <r>
    <n v="255"/>
    <x v="2"/>
    <x v="46"/>
  </r>
  <r>
    <n v="256"/>
    <x v="1"/>
    <x v="4"/>
  </r>
  <r>
    <n v="257"/>
    <x v="1"/>
    <x v="10"/>
  </r>
  <r>
    <n v="258"/>
    <x v="1"/>
    <x v="26"/>
  </r>
  <r>
    <n v="259"/>
    <x v="1"/>
    <x v="2"/>
  </r>
  <r>
    <n v="260"/>
    <x v="2"/>
    <x v="33"/>
  </r>
  <r>
    <n v="261"/>
    <x v="0"/>
    <x v="5"/>
  </r>
  <r>
    <n v="262"/>
    <x v="0"/>
    <x v="21"/>
  </r>
  <r>
    <n v="263"/>
    <x v="0"/>
    <x v="27"/>
  </r>
  <r>
    <n v="264"/>
    <x v="2"/>
    <x v="36"/>
  </r>
  <r>
    <n v="265"/>
    <x v="0"/>
    <x v="17"/>
  </r>
  <r>
    <n v="266"/>
    <x v="0"/>
    <x v="17"/>
  </r>
  <r>
    <n v="267"/>
    <x v="2"/>
    <x v="38"/>
  </r>
  <r>
    <n v="268"/>
    <x v="2"/>
    <x v="15"/>
  </r>
  <r>
    <n v="269"/>
    <x v="1"/>
    <x v="10"/>
  </r>
  <r>
    <n v="270"/>
    <x v="0"/>
    <x v="5"/>
  </r>
  <r>
    <n v="271"/>
    <x v="0"/>
    <x v="5"/>
  </r>
  <r>
    <n v="272"/>
    <x v="1"/>
    <x v="7"/>
  </r>
  <r>
    <n v="273"/>
    <x v="0"/>
    <x v="17"/>
  </r>
  <r>
    <n v="274"/>
    <x v="0"/>
    <x v="1"/>
  </r>
  <r>
    <n v="275"/>
    <x v="1"/>
    <x v="7"/>
  </r>
  <r>
    <n v="276"/>
    <x v="0"/>
    <x v="21"/>
  </r>
  <r>
    <n v="277"/>
    <x v="1"/>
    <x v="2"/>
  </r>
  <r>
    <n v="278"/>
    <x v="0"/>
    <x v="23"/>
  </r>
  <r>
    <n v="279"/>
    <x v="1"/>
    <x v="1"/>
  </r>
  <r>
    <n v="280"/>
    <x v="0"/>
    <x v="0"/>
  </r>
  <r>
    <n v="281"/>
    <x v="1"/>
    <x v="20"/>
  </r>
  <r>
    <n v="282"/>
    <x v="0"/>
    <x v="21"/>
  </r>
  <r>
    <n v="283"/>
    <x v="2"/>
    <x v="39"/>
  </r>
  <r>
    <n v="284"/>
    <x v="2"/>
    <x v="20"/>
  </r>
  <r>
    <n v="285"/>
    <x v="1"/>
    <x v="2"/>
  </r>
  <r>
    <n v="286"/>
    <x v="1"/>
    <x v="4"/>
  </r>
  <r>
    <n v="287"/>
    <x v="0"/>
    <x v="8"/>
  </r>
  <r>
    <n v="288"/>
    <x v="0"/>
    <x v="21"/>
  </r>
  <r>
    <n v="289"/>
    <x v="1"/>
    <x v="22"/>
  </r>
  <r>
    <n v="290"/>
    <x v="0"/>
    <x v="18"/>
  </r>
  <r>
    <n v="291"/>
    <x v="1"/>
    <x v="20"/>
  </r>
  <r>
    <n v="292"/>
    <x v="2"/>
    <x v="30"/>
  </r>
  <r>
    <n v="293"/>
    <x v="0"/>
    <x v="7"/>
  </r>
  <r>
    <n v="294"/>
    <x v="2"/>
    <x v="13"/>
  </r>
  <r>
    <n v="295"/>
    <x v="1"/>
    <x v="14"/>
  </r>
  <r>
    <n v="296"/>
    <x v="0"/>
    <x v="0"/>
  </r>
  <r>
    <n v="297"/>
    <x v="1"/>
    <x v="27"/>
  </r>
  <r>
    <n v="298"/>
    <x v="1"/>
    <x v="20"/>
  </r>
  <r>
    <n v="299"/>
    <x v="0"/>
    <x v="5"/>
  </r>
  <r>
    <n v="300"/>
    <x v="1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6E8701-B449-44CE-B45E-E0B2F9405002}" name="PivotTable4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C1:D7" firstHeaderRow="1" firstDataRow="1" firstDataCol="1"/>
  <pivotFields count="1">
    <pivotField axis="axisRow" dataField="1"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0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Audit Time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1E30F2-B614-47B9-9254-3B8D0236E9A1}" name="PivotTable1" cacheId="23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outline="1" outlineData="1" multipleFieldFilters="0">
  <location ref="F1:L6" firstHeaderRow="1" firstDataRow="2" firstDataCol="1"/>
  <pivotFields count="3">
    <pivotField dataField="1" showAll="0"/>
    <pivotField axis="axisRow" showAll="0">
      <items count="4">
        <item x="0"/>
        <item x="1"/>
        <item x="2"/>
        <item t="default"/>
      </items>
    </pivotField>
    <pivotField axis="axisCol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2"/>
  </colFields>
  <colItems count="6">
    <i>
      <x v="1"/>
    </i>
    <i>
      <x v="2"/>
    </i>
    <i>
      <x v="3"/>
    </i>
    <i>
      <x v="4"/>
    </i>
    <i>
      <x v="5"/>
    </i>
    <i t="grand">
      <x/>
    </i>
  </colItems>
  <dataFields count="1">
    <dataField name="Count of RestaurantID" fld="0" subtotal="count" baseField="1" baseItem="0"/>
  </dataFields>
  <formats count="1">
    <format dxfId="2">
      <pivotArea dataOnly="0" grandCol="1" outline="0" axis="axisCol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93BFDB-6AAB-4A90-9699-E40455C2C3A1}" name="PivotTable1" cacheId="23" applyNumberFormats="0" applyBorderFormats="0" applyFontFormats="0" applyPatternFormats="0" applyAlignmentFormats="0" applyWidthHeightFormats="1" dataCaption="Values" missingCaption="0" updatedVersion="8" minRefreshableVersion="3" useAutoFormatting="1" rowGrandTotals="0" itemPrintTitles="1" createdVersion="8" indent="0" outline="1" outlineData="1" multipleFieldFilters="0">
  <location ref="F1:L5" firstHeaderRow="1" firstDataRow="2" firstDataCol="1"/>
  <pivotFields count="3">
    <pivotField dataField="1" showAll="0"/>
    <pivotField axis="axisRow" showAll="0">
      <items count="4">
        <item x="0"/>
        <item x="1"/>
        <item x="2"/>
        <item t="default"/>
      </items>
    </pivotField>
    <pivotField axis="axisCol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"/>
  </rowFields>
  <rowItems count="3">
    <i>
      <x/>
    </i>
    <i>
      <x v="1"/>
    </i>
    <i>
      <x v="2"/>
    </i>
  </rowItems>
  <colFields count="1">
    <field x="2"/>
  </colFields>
  <colItems count="6">
    <i>
      <x v="1"/>
    </i>
    <i>
      <x v="2"/>
    </i>
    <i>
      <x v="3"/>
    </i>
    <i>
      <x v="4"/>
    </i>
    <i>
      <x v="5"/>
    </i>
    <i t="grand">
      <x/>
    </i>
  </colItems>
  <dataFields count="1">
    <dataField name="Count of RestaurantID" fld="0" subtotal="count" showDataAs="percentOfRow" baseField="1" baseItem="0" numFmtId="10"/>
  </dataFields>
  <formats count="2">
    <format dxfId="1">
      <pivotArea dataOnly="0" grandCol="1" outline="0" axis="axisCol" fieldPosition="0"/>
    </format>
    <format dxfId="0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61A73-EC25-4E69-A60B-639FDA260F49}">
  <dimension ref="A1:C22"/>
  <sheetViews>
    <sheetView workbookViewId="0">
      <selection activeCell="D3" sqref="D3"/>
    </sheetView>
  </sheetViews>
  <sheetFormatPr defaultRowHeight="15" x14ac:dyDescent="0.25"/>
  <cols>
    <col min="1" max="1" width="40.28515625" customWidth="1"/>
    <col min="2" max="2" width="22.140625" customWidth="1"/>
    <col min="3" max="3" width="34.85546875" bestFit="1" customWidth="1"/>
  </cols>
  <sheetData>
    <row r="1" spans="1:3" x14ac:dyDescent="0.25">
      <c r="A1" s="2" t="s">
        <v>0</v>
      </c>
      <c r="B1" s="2" t="s">
        <v>1</v>
      </c>
      <c r="C1" s="3" t="s">
        <v>2</v>
      </c>
    </row>
    <row r="2" spans="1:3" x14ac:dyDescent="0.25">
      <c r="A2" t="s">
        <v>3</v>
      </c>
      <c r="B2" t="str">
        <f>TRIM(A2)</f>
        <v>2 Coke Classic</v>
      </c>
      <c r="C2" t="str">
        <f>RIGHT(B2, LEN(B2)-FIND(" ", B2))</f>
        <v>Coke Classic</v>
      </c>
    </row>
    <row r="3" spans="1:3" x14ac:dyDescent="0.25">
      <c r="A3" t="s">
        <v>4</v>
      </c>
      <c r="B3" t="str">
        <f t="shared" ref="B3:B22" si="0">TRIM(A3)</f>
        <v>3 Diet Coke</v>
      </c>
      <c r="C3" t="str">
        <f t="shared" ref="C3:C22" si="1">RIGHT(B3, LEN(B3)-FIND(" ", B3))</f>
        <v>Diet Coke</v>
      </c>
    </row>
    <row r="4" spans="1:3" x14ac:dyDescent="0.25">
      <c r="A4" t="s">
        <v>5</v>
      </c>
      <c r="B4" t="str">
        <f t="shared" si="0"/>
        <v>4 Pepsi</v>
      </c>
      <c r="C4" t="str">
        <f t="shared" si="1"/>
        <v>Pepsi</v>
      </c>
    </row>
    <row r="5" spans="1:3" x14ac:dyDescent="0.25">
      <c r="A5" t="s">
        <v>6</v>
      </c>
      <c r="B5" t="str">
        <f t="shared" si="0"/>
        <v>5 Diet Coke</v>
      </c>
      <c r="C5" t="str">
        <f t="shared" si="1"/>
        <v>Diet Coke</v>
      </c>
    </row>
    <row r="6" spans="1:3" x14ac:dyDescent="0.25">
      <c r="A6" t="s">
        <v>7</v>
      </c>
      <c r="B6" t="str">
        <f t="shared" si="0"/>
        <v>6 Coke Classic</v>
      </c>
      <c r="C6" t="str">
        <f t="shared" si="1"/>
        <v>Coke Classic</v>
      </c>
    </row>
    <row r="7" spans="1:3" x14ac:dyDescent="0.25">
      <c r="A7" t="s">
        <v>8</v>
      </c>
      <c r="B7" t="str">
        <f t="shared" si="0"/>
        <v>7 Coke Classic</v>
      </c>
      <c r="C7" t="str">
        <f t="shared" si="1"/>
        <v>Coke Classic</v>
      </c>
    </row>
    <row r="8" spans="1:3" x14ac:dyDescent="0.25">
      <c r="A8" t="s">
        <v>9</v>
      </c>
      <c r="B8" t="str">
        <f t="shared" si="0"/>
        <v>8 Dr. Pepper</v>
      </c>
      <c r="C8" t="str">
        <f t="shared" si="1"/>
        <v>Dr. Pepper</v>
      </c>
    </row>
    <row r="9" spans="1:3" x14ac:dyDescent="0.25">
      <c r="A9" t="s">
        <v>10</v>
      </c>
      <c r="B9" t="str">
        <f t="shared" si="0"/>
        <v>9 Diet Coke</v>
      </c>
      <c r="C9" t="str">
        <f t="shared" si="1"/>
        <v>Diet Coke</v>
      </c>
    </row>
    <row r="10" spans="1:3" x14ac:dyDescent="0.25">
      <c r="A10" t="s">
        <v>11</v>
      </c>
      <c r="B10" t="str">
        <f t="shared" si="0"/>
        <v>10 Pepsi</v>
      </c>
      <c r="C10" t="str">
        <f t="shared" si="1"/>
        <v>Pepsi</v>
      </c>
    </row>
    <row r="11" spans="1:3" x14ac:dyDescent="0.25">
      <c r="A11" t="s">
        <v>12</v>
      </c>
      <c r="B11" t="str">
        <f t="shared" si="0"/>
        <v>11 Pepsi</v>
      </c>
      <c r="C11" t="str">
        <f t="shared" si="1"/>
        <v>Pepsi</v>
      </c>
    </row>
    <row r="12" spans="1:3" x14ac:dyDescent="0.25">
      <c r="A12" t="s">
        <v>13</v>
      </c>
      <c r="B12" t="str">
        <f t="shared" si="0"/>
        <v>12 Coke Classic</v>
      </c>
      <c r="C12" t="str">
        <f t="shared" si="1"/>
        <v>Coke Classic</v>
      </c>
    </row>
    <row r="13" spans="1:3" x14ac:dyDescent="0.25">
      <c r="A13" t="s">
        <v>14</v>
      </c>
      <c r="B13" t="str">
        <f t="shared" si="0"/>
        <v>13 Dr. Pepper</v>
      </c>
      <c r="C13" t="str">
        <f t="shared" si="1"/>
        <v>Dr. Pepper</v>
      </c>
    </row>
    <row r="14" spans="1:3" x14ac:dyDescent="0.25">
      <c r="A14" t="s">
        <v>15</v>
      </c>
      <c r="B14" t="str">
        <f t="shared" si="0"/>
        <v>14 Sprite</v>
      </c>
      <c r="C14" t="str">
        <f t="shared" si="1"/>
        <v>Sprite</v>
      </c>
    </row>
    <row r="15" spans="1:3" x14ac:dyDescent="0.25">
      <c r="A15" t="s">
        <v>16</v>
      </c>
      <c r="B15" t="str">
        <f t="shared" si="0"/>
        <v>15 Coke Classic</v>
      </c>
      <c r="C15" t="str">
        <f t="shared" si="1"/>
        <v>Coke Classic</v>
      </c>
    </row>
    <row r="16" spans="1:3" x14ac:dyDescent="0.25">
      <c r="A16" t="s">
        <v>17</v>
      </c>
      <c r="B16" t="str">
        <f t="shared" si="0"/>
        <v>16 Diet Coke</v>
      </c>
      <c r="C16" t="str">
        <f t="shared" si="1"/>
        <v>Diet Coke</v>
      </c>
    </row>
    <row r="17" spans="1:3" x14ac:dyDescent="0.25">
      <c r="A17" t="s">
        <v>18</v>
      </c>
      <c r="B17" t="str">
        <f t="shared" si="0"/>
        <v>17 Coke Classic</v>
      </c>
      <c r="C17" t="str">
        <f t="shared" si="1"/>
        <v>Coke Classic</v>
      </c>
    </row>
    <row r="18" spans="1:3" x14ac:dyDescent="0.25">
      <c r="A18" t="s">
        <v>19</v>
      </c>
      <c r="B18" t="str">
        <f t="shared" si="0"/>
        <v>18 Coke Classic</v>
      </c>
      <c r="C18" t="str">
        <f t="shared" si="1"/>
        <v>Coke Classic</v>
      </c>
    </row>
    <row r="19" spans="1:3" x14ac:dyDescent="0.25">
      <c r="A19" t="s">
        <v>20</v>
      </c>
      <c r="B19" t="str">
        <f t="shared" si="0"/>
        <v>19 Sprite</v>
      </c>
      <c r="C19" t="str">
        <f t="shared" si="1"/>
        <v>Sprite</v>
      </c>
    </row>
    <row r="20" spans="1:3" x14ac:dyDescent="0.25">
      <c r="A20" t="s">
        <v>21</v>
      </c>
      <c r="B20" t="str">
        <f t="shared" si="0"/>
        <v>20 Coke Classic</v>
      </c>
      <c r="C20" t="str">
        <f t="shared" si="1"/>
        <v>Coke Classic</v>
      </c>
    </row>
    <row r="21" spans="1:3" x14ac:dyDescent="0.25">
      <c r="A21" t="s">
        <v>22</v>
      </c>
      <c r="B21" t="str">
        <f t="shared" si="0"/>
        <v>50 Pepsi</v>
      </c>
      <c r="C21" t="str">
        <f t="shared" si="1"/>
        <v>Pepsi</v>
      </c>
    </row>
    <row r="22" spans="1:3" x14ac:dyDescent="0.25">
      <c r="A22" t="s">
        <v>23</v>
      </c>
      <c r="B22" t="str">
        <f t="shared" si="0"/>
        <v>51 Sprite</v>
      </c>
      <c r="C22" t="str">
        <f t="shared" si="1"/>
        <v>Sprite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F0DAD-6726-4E41-98BD-764BC5832CC0}">
  <dimension ref="A1:E52"/>
  <sheetViews>
    <sheetView workbookViewId="0">
      <selection activeCell="F6" sqref="F6"/>
    </sheetView>
  </sheetViews>
  <sheetFormatPr defaultRowHeight="15" x14ac:dyDescent="0.25"/>
  <cols>
    <col min="1" max="1" width="20.7109375" customWidth="1"/>
    <col min="2" max="2" width="15" customWidth="1"/>
    <col min="3" max="3" width="15.85546875" customWidth="1"/>
  </cols>
  <sheetData>
    <row r="1" spans="1:5" ht="42" customHeight="1" x14ac:dyDescent="0.25">
      <c r="A1" t="s">
        <v>24</v>
      </c>
      <c r="B1" s="4" t="s">
        <v>2</v>
      </c>
      <c r="C1" s="5" t="s">
        <v>2</v>
      </c>
    </row>
    <row r="2" spans="1:5" x14ac:dyDescent="0.25">
      <c r="A2" t="s">
        <v>25</v>
      </c>
      <c r="B2" t="str" cm="1">
        <f t="array" ref="B2:B52">TRIM(A2:A52)</f>
        <v>Coke Classic</v>
      </c>
      <c r="C2" t="s">
        <v>26</v>
      </c>
      <c r="E2" s="6" t="str" cm="1">
        <f t="array" ref="E2:E8">_xlfn.UNIQUE(A2:A52)</f>
        <v xml:space="preserve"> Coke Classic</v>
      </c>
    </row>
    <row r="3" spans="1:5" x14ac:dyDescent="0.25">
      <c r="A3" t="s">
        <v>27</v>
      </c>
      <c r="B3" t="str">
        <v>Diet Coke</v>
      </c>
      <c r="C3" t="s">
        <v>28</v>
      </c>
      <c r="E3" s="6" t="str">
        <v xml:space="preserve"> Diet Coke</v>
      </c>
    </row>
    <row r="4" spans="1:5" x14ac:dyDescent="0.25">
      <c r="A4" t="s">
        <v>29</v>
      </c>
      <c r="B4" t="str">
        <v>SoftDrink</v>
      </c>
      <c r="C4" t="s">
        <v>30</v>
      </c>
      <c r="E4" s="6" t="str">
        <v xml:space="preserve"> SoftDrink</v>
      </c>
    </row>
    <row r="5" spans="1:5" x14ac:dyDescent="0.25">
      <c r="A5" t="s">
        <v>31</v>
      </c>
      <c r="B5" t="str">
        <v>Pepsi</v>
      </c>
      <c r="C5" t="s">
        <v>32</v>
      </c>
      <c r="E5" s="6" t="str">
        <v xml:space="preserve"> Pepsi</v>
      </c>
    </row>
    <row r="6" spans="1:5" x14ac:dyDescent="0.25">
      <c r="A6" t="s">
        <v>27</v>
      </c>
      <c r="B6" t="str">
        <v>Diet Coke</v>
      </c>
      <c r="C6" t="s">
        <v>28</v>
      </c>
      <c r="E6" s="6" t="str">
        <v xml:space="preserve"> Dr. Pepper</v>
      </c>
    </row>
    <row r="7" spans="1:5" x14ac:dyDescent="0.25">
      <c r="A7" t="s">
        <v>25</v>
      </c>
      <c r="B7" t="str">
        <v>Coke Classic</v>
      </c>
      <c r="C7" t="s">
        <v>26</v>
      </c>
      <c r="E7" s="7" t="str">
        <v xml:space="preserve"> Sprite</v>
      </c>
    </row>
    <row r="8" spans="1:5" x14ac:dyDescent="0.25">
      <c r="A8" t="s">
        <v>25</v>
      </c>
      <c r="B8" t="str">
        <v>Coke Classic</v>
      </c>
      <c r="C8" t="s">
        <v>26</v>
      </c>
      <c r="E8" s="7" t="str">
        <v>Sprite</v>
      </c>
    </row>
    <row r="9" spans="1:5" x14ac:dyDescent="0.25">
      <c r="A9" t="s">
        <v>33</v>
      </c>
      <c r="B9" t="str">
        <v>Dr. Pepper</v>
      </c>
      <c r="C9" t="s">
        <v>34</v>
      </c>
    </row>
    <row r="10" spans="1:5" x14ac:dyDescent="0.25">
      <c r="A10" t="s">
        <v>27</v>
      </c>
      <c r="B10" t="str">
        <v>Diet Coke</v>
      </c>
      <c r="C10" t="s">
        <v>28</v>
      </c>
    </row>
    <row r="11" spans="1:5" x14ac:dyDescent="0.25">
      <c r="A11" t="s">
        <v>31</v>
      </c>
      <c r="B11" t="str">
        <v>Pepsi</v>
      </c>
      <c r="C11" t="s">
        <v>32</v>
      </c>
    </row>
    <row r="12" spans="1:5" x14ac:dyDescent="0.25">
      <c r="A12" t="s">
        <v>31</v>
      </c>
      <c r="B12" t="str">
        <v>Pepsi</v>
      </c>
      <c r="C12" t="s">
        <v>32</v>
      </c>
    </row>
    <row r="13" spans="1:5" x14ac:dyDescent="0.25">
      <c r="A13" t="s">
        <v>25</v>
      </c>
      <c r="B13" t="str">
        <v>Coke Classic</v>
      </c>
      <c r="C13" t="s">
        <v>26</v>
      </c>
    </row>
    <row r="14" spans="1:5" x14ac:dyDescent="0.25">
      <c r="A14" t="s">
        <v>33</v>
      </c>
      <c r="B14" t="str">
        <v>Dr. Pepper</v>
      </c>
      <c r="C14" t="s">
        <v>34</v>
      </c>
    </row>
    <row r="15" spans="1:5" x14ac:dyDescent="0.25">
      <c r="A15" t="s">
        <v>35</v>
      </c>
      <c r="B15" t="str">
        <v>Sprite</v>
      </c>
      <c r="C15" t="s">
        <v>36</v>
      </c>
    </row>
    <row r="16" spans="1:5" x14ac:dyDescent="0.25">
      <c r="A16" t="s">
        <v>35</v>
      </c>
      <c r="B16" t="str">
        <v>Sprite</v>
      </c>
      <c r="C16" t="s">
        <v>36</v>
      </c>
    </row>
    <row r="17" spans="1:3" x14ac:dyDescent="0.25">
      <c r="A17" t="s">
        <v>25</v>
      </c>
      <c r="B17" t="str">
        <v>Coke Classic</v>
      </c>
      <c r="C17" t="s">
        <v>26</v>
      </c>
    </row>
    <row r="18" spans="1:3" x14ac:dyDescent="0.25">
      <c r="A18" t="s">
        <v>27</v>
      </c>
      <c r="B18" t="str">
        <v>Diet Coke</v>
      </c>
      <c r="C18" t="s">
        <v>28</v>
      </c>
    </row>
    <row r="19" spans="1:3" x14ac:dyDescent="0.25">
      <c r="A19" t="s">
        <v>25</v>
      </c>
      <c r="B19" t="str">
        <v>Coke Classic</v>
      </c>
      <c r="C19" t="s">
        <v>26</v>
      </c>
    </row>
    <row r="20" spans="1:3" x14ac:dyDescent="0.25">
      <c r="A20" t="s">
        <v>27</v>
      </c>
      <c r="B20" t="str">
        <v>Diet Coke</v>
      </c>
      <c r="C20" t="s">
        <v>28</v>
      </c>
    </row>
    <row r="21" spans="1:3" x14ac:dyDescent="0.25">
      <c r="A21" t="s">
        <v>25</v>
      </c>
      <c r="B21" t="str">
        <v>Coke Classic</v>
      </c>
      <c r="C21" t="s">
        <v>26</v>
      </c>
    </row>
    <row r="22" spans="1:3" x14ac:dyDescent="0.25">
      <c r="A22" t="s">
        <v>35</v>
      </c>
      <c r="B22" t="str">
        <v>Sprite</v>
      </c>
      <c r="C22" t="s">
        <v>36</v>
      </c>
    </row>
    <row r="23" spans="1:3" x14ac:dyDescent="0.25">
      <c r="A23" t="s">
        <v>31</v>
      </c>
      <c r="B23" t="str">
        <v>Pepsi</v>
      </c>
      <c r="C23" t="s">
        <v>32</v>
      </c>
    </row>
    <row r="24" spans="1:3" x14ac:dyDescent="0.25">
      <c r="A24" t="s">
        <v>31</v>
      </c>
      <c r="B24" t="str">
        <v>Pepsi</v>
      </c>
      <c r="C24" t="s">
        <v>32</v>
      </c>
    </row>
    <row r="25" spans="1:3" x14ac:dyDescent="0.25">
      <c r="A25" t="s">
        <v>25</v>
      </c>
      <c r="B25" t="str">
        <v>Coke Classic</v>
      </c>
      <c r="C25" t="s">
        <v>26</v>
      </c>
    </row>
    <row r="26" spans="1:3" x14ac:dyDescent="0.25">
      <c r="A26" t="s">
        <v>25</v>
      </c>
      <c r="B26" t="str">
        <v>Coke Classic</v>
      </c>
      <c r="C26" t="s">
        <v>26</v>
      </c>
    </row>
    <row r="27" spans="1:3" x14ac:dyDescent="0.25">
      <c r="A27" t="s">
        <v>25</v>
      </c>
      <c r="B27" t="str">
        <v>Coke Classic</v>
      </c>
      <c r="C27" t="s">
        <v>26</v>
      </c>
    </row>
    <row r="28" spans="1:3" x14ac:dyDescent="0.25">
      <c r="A28" t="s">
        <v>31</v>
      </c>
      <c r="B28" t="str">
        <v>Pepsi</v>
      </c>
      <c r="C28" t="s">
        <v>32</v>
      </c>
    </row>
    <row r="29" spans="1:3" x14ac:dyDescent="0.25">
      <c r="A29" t="s">
        <v>33</v>
      </c>
      <c r="B29" t="str">
        <v>Dr. Pepper</v>
      </c>
      <c r="C29" t="s">
        <v>34</v>
      </c>
    </row>
    <row r="30" spans="1:3" x14ac:dyDescent="0.25">
      <c r="A30" t="s">
        <v>25</v>
      </c>
      <c r="B30" t="str">
        <v>Coke Classic</v>
      </c>
      <c r="C30" t="s">
        <v>26</v>
      </c>
    </row>
    <row r="31" spans="1:3" x14ac:dyDescent="0.25">
      <c r="A31" t="s">
        <v>27</v>
      </c>
      <c r="B31" t="str">
        <v>Diet Coke</v>
      </c>
      <c r="C31" t="s">
        <v>28</v>
      </c>
    </row>
    <row r="32" spans="1:3" x14ac:dyDescent="0.25">
      <c r="A32" t="s">
        <v>25</v>
      </c>
      <c r="B32" t="str">
        <v>Coke Classic</v>
      </c>
      <c r="C32" t="s">
        <v>26</v>
      </c>
    </row>
    <row r="33" spans="1:3" x14ac:dyDescent="0.25">
      <c r="A33" t="s">
        <v>25</v>
      </c>
      <c r="B33" t="str">
        <v>Coke Classic</v>
      </c>
      <c r="C33" t="s">
        <v>26</v>
      </c>
    </row>
    <row r="34" spans="1:3" x14ac:dyDescent="0.25">
      <c r="A34" t="s">
        <v>25</v>
      </c>
      <c r="B34" t="str">
        <v>Coke Classic</v>
      </c>
      <c r="C34" t="s">
        <v>26</v>
      </c>
    </row>
    <row r="35" spans="1:3" x14ac:dyDescent="0.25">
      <c r="A35" t="s">
        <v>31</v>
      </c>
      <c r="B35" t="str">
        <v>Pepsi</v>
      </c>
      <c r="C35" t="s">
        <v>32</v>
      </c>
    </row>
    <row r="36" spans="1:3" x14ac:dyDescent="0.25">
      <c r="A36" t="s">
        <v>25</v>
      </c>
      <c r="B36" t="str">
        <v>Coke Classic</v>
      </c>
      <c r="C36" t="s">
        <v>26</v>
      </c>
    </row>
    <row r="37" spans="1:3" x14ac:dyDescent="0.25">
      <c r="A37" t="s">
        <v>25</v>
      </c>
      <c r="B37" t="str">
        <v>Coke Classic</v>
      </c>
      <c r="C37" t="s">
        <v>26</v>
      </c>
    </row>
    <row r="38" spans="1:3" x14ac:dyDescent="0.25">
      <c r="A38" t="s">
        <v>27</v>
      </c>
      <c r="B38" t="str">
        <v>Diet Coke</v>
      </c>
      <c r="C38" t="s">
        <v>28</v>
      </c>
    </row>
    <row r="39" spans="1:3" x14ac:dyDescent="0.25">
      <c r="A39" t="s">
        <v>25</v>
      </c>
      <c r="B39" t="str">
        <v>Coke Classic</v>
      </c>
      <c r="C39" t="s">
        <v>26</v>
      </c>
    </row>
    <row r="40" spans="1:3" x14ac:dyDescent="0.25">
      <c r="A40" t="s">
        <v>25</v>
      </c>
      <c r="B40" t="str">
        <v>Coke Classic</v>
      </c>
      <c r="C40" t="s">
        <v>26</v>
      </c>
    </row>
    <row r="41" spans="1:3" x14ac:dyDescent="0.25">
      <c r="A41" t="s">
        <v>35</v>
      </c>
      <c r="B41" t="str">
        <v>Sprite</v>
      </c>
      <c r="C41" t="s">
        <v>36</v>
      </c>
    </row>
    <row r="42" spans="1:3" x14ac:dyDescent="0.25">
      <c r="A42" t="s">
        <v>33</v>
      </c>
      <c r="B42" t="str">
        <v>Dr. Pepper</v>
      </c>
      <c r="C42" t="s">
        <v>34</v>
      </c>
    </row>
    <row r="43" spans="1:3" x14ac:dyDescent="0.25">
      <c r="A43" t="s">
        <v>31</v>
      </c>
      <c r="B43" t="str">
        <v>Pepsi</v>
      </c>
      <c r="C43" t="s">
        <v>32</v>
      </c>
    </row>
    <row r="44" spans="1:3" x14ac:dyDescent="0.25">
      <c r="A44" t="s">
        <v>27</v>
      </c>
      <c r="B44" t="str">
        <v>Diet Coke</v>
      </c>
      <c r="C44" t="s">
        <v>28</v>
      </c>
    </row>
    <row r="45" spans="1:3" x14ac:dyDescent="0.25">
      <c r="A45" t="s">
        <v>31</v>
      </c>
      <c r="B45" t="str">
        <v>Pepsi</v>
      </c>
      <c r="C45" t="s">
        <v>32</v>
      </c>
    </row>
    <row r="46" spans="1:3" x14ac:dyDescent="0.25">
      <c r="A46" t="s">
        <v>31</v>
      </c>
      <c r="B46" t="str">
        <v>Pepsi</v>
      </c>
      <c r="C46" t="s">
        <v>32</v>
      </c>
    </row>
    <row r="47" spans="1:3" x14ac:dyDescent="0.25">
      <c r="A47" t="s">
        <v>31</v>
      </c>
      <c r="B47" t="str">
        <v>Pepsi</v>
      </c>
      <c r="C47" t="s">
        <v>32</v>
      </c>
    </row>
    <row r="48" spans="1:3" x14ac:dyDescent="0.25">
      <c r="A48" t="s">
        <v>31</v>
      </c>
      <c r="B48" t="str">
        <v>Pepsi</v>
      </c>
      <c r="C48" t="s">
        <v>32</v>
      </c>
    </row>
    <row r="49" spans="1:3" x14ac:dyDescent="0.25">
      <c r="A49" t="s">
        <v>25</v>
      </c>
      <c r="B49" t="str">
        <v>Coke Classic</v>
      </c>
      <c r="C49" t="s">
        <v>26</v>
      </c>
    </row>
    <row r="50" spans="1:3" x14ac:dyDescent="0.25">
      <c r="A50" t="s">
        <v>33</v>
      </c>
      <c r="B50" t="str">
        <v>Dr. Pepper</v>
      </c>
      <c r="C50" t="s">
        <v>34</v>
      </c>
    </row>
    <row r="51" spans="1:3" x14ac:dyDescent="0.25">
      <c r="A51" t="s">
        <v>31</v>
      </c>
      <c r="B51" t="str">
        <v>Pepsi</v>
      </c>
      <c r="C51" t="s">
        <v>32</v>
      </c>
    </row>
    <row r="52" spans="1:3" x14ac:dyDescent="0.25">
      <c r="A52" t="s">
        <v>36</v>
      </c>
      <c r="B52" t="str">
        <v>Sprite</v>
      </c>
      <c r="C52" t="s">
        <v>36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C34E4-2A50-4104-BBC1-5A20B738A4B2}">
  <dimension ref="A1:D51"/>
  <sheetViews>
    <sheetView workbookViewId="0">
      <selection activeCell="N12" sqref="N12"/>
    </sheetView>
  </sheetViews>
  <sheetFormatPr defaultRowHeight="15" x14ac:dyDescent="0.25"/>
  <cols>
    <col min="1" max="1" width="20.7109375" customWidth="1"/>
    <col min="2" max="2" width="15" customWidth="1"/>
    <col min="3" max="3" width="12.85546875" customWidth="1"/>
    <col min="4" max="4" width="10.140625" bestFit="1" customWidth="1"/>
  </cols>
  <sheetData>
    <row r="1" spans="1:4" ht="42" customHeight="1" x14ac:dyDescent="0.25">
      <c r="A1" s="5" t="s">
        <v>2</v>
      </c>
      <c r="C1" s="2" t="s">
        <v>37</v>
      </c>
      <c r="D1" s="8" t="s">
        <v>38</v>
      </c>
    </row>
    <row r="2" spans="1:4" x14ac:dyDescent="0.25">
      <c r="A2" t="s">
        <v>26</v>
      </c>
      <c r="C2" t="str" cm="1">
        <f t="array" ref="C2:C6">_xlfn.UNIQUE(A2:A51)</f>
        <v>Coke Classic</v>
      </c>
      <c r="D2">
        <f>COUNTIF($A$2:$A$51,C2)</f>
        <v>19</v>
      </c>
    </row>
    <row r="3" spans="1:4" x14ac:dyDescent="0.25">
      <c r="A3" t="s">
        <v>28</v>
      </c>
      <c r="C3" t="str">
        <v>Diet Coke</v>
      </c>
      <c r="D3">
        <f>COUNTIF($A$2:$A$51,C3)</f>
        <v>8</v>
      </c>
    </row>
    <row r="4" spans="1:4" x14ac:dyDescent="0.25">
      <c r="A4" t="s">
        <v>32</v>
      </c>
      <c r="C4" t="str">
        <v>Pepsi</v>
      </c>
      <c r="D4">
        <f>COUNTIF($A$2:$A$51,C4)</f>
        <v>13</v>
      </c>
    </row>
    <row r="5" spans="1:4" x14ac:dyDescent="0.25">
      <c r="A5" t="s">
        <v>28</v>
      </c>
      <c r="C5" t="str">
        <v>Dr. Pepper</v>
      </c>
      <c r="D5">
        <f>COUNTIF($A$2:$A$51,C5)</f>
        <v>5</v>
      </c>
    </row>
    <row r="6" spans="1:4" x14ac:dyDescent="0.25">
      <c r="A6" t="s">
        <v>26</v>
      </c>
      <c r="C6" t="str">
        <v>Sprite</v>
      </c>
      <c r="D6">
        <f>COUNTIF($A$2:$A$51,C6)</f>
        <v>5</v>
      </c>
    </row>
    <row r="7" spans="1:4" x14ac:dyDescent="0.25">
      <c r="A7" t="s">
        <v>26</v>
      </c>
    </row>
    <row r="8" spans="1:4" x14ac:dyDescent="0.25">
      <c r="A8" t="s">
        <v>34</v>
      </c>
    </row>
    <row r="9" spans="1:4" x14ac:dyDescent="0.25">
      <c r="A9" t="s">
        <v>28</v>
      </c>
    </row>
    <row r="10" spans="1:4" x14ac:dyDescent="0.25">
      <c r="A10" t="s">
        <v>32</v>
      </c>
    </row>
    <row r="11" spans="1:4" x14ac:dyDescent="0.25">
      <c r="A11" t="s">
        <v>32</v>
      </c>
    </row>
    <row r="12" spans="1:4" x14ac:dyDescent="0.25">
      <c r="A12" t="s">
        <v>26</v>
      </c>
    </row>
    <row r="13" spans="1:4" x14ac:dyDescent="0.25">
      <c r="A13" t="s">
        <v>34</v>
      </c>
    </row>
    <row r="14" spans="1:4" x14ac:dyDescent="0.25">
      <c r="A14" t="s">
        <v>36</v>
      </c>
    </row>
    <row r="15" spans="1:4" x14ac:dyDescent="0.25">
      <c r="A15" t="s">
        <v>36</v>
      </c>
    </row>
    <row r="16" spans="1:4" x14ac:dyDescent="0.25">
      <c r="A16" t="s">
        <v>26</v>
      </c>
    </row>
    <row r="17" spans="1:1" x14ac:dyDescent="0.25">
      <c r="A17" t="s">
        <v>28</v>
      </c>
    </row>
    <row r="18" spans="1:1" x14ac:dyDescent="0.25">
      <c r="A18" t="s">
        <v>26</v>
      </c>
    </row>
    <row r="19" spans="1:1" x14ac:dyDescent="0.25">
      <c r="A19" t="s">
        <v>28</v>
      </c>
    </row>
    <row r="20" spans="1:1" x14ac:dyDescent="0.25">
      <c r="A20" t="s">
        <v>26</v>
      </c>
    </row>
    <row r="21" spans="1:1" x14ac:dyDescent="0.25">
      <c r="A21" t="s">
        <v>36</v>
      </c>
    </row>
    <row r="22" spans="1:1" x14ac:dyDescent="0.25">
      <c r="A22" t="s">
        <v>32</v>
      </c>
    </row>
    <row r="23" spans="1:1" x14ac:dyDescent="0.25">
      <c r="A23" t="s">
        <v>32</v>
      </c>
    </row>
    <row r="24" spans="1:1" x14ac:dyDescent="0.25">
      <c r="A24" t="s">
        <v>26</v>
      </c>
    </row>
    <row r="25" spans="1:1" x14ac:dyDescent="0.25">
      <c r="A25" t="s">
        <v>26</v>
      </c>
    </row>
    <row r="26" spans="1:1" x14ac:dyDescent="0.25">
      <c r="A26" t="s">
        <v>26</v>
      </c>
    </row>
    <row r="27" spans="1:1" x14ac:dyDescent="0.25">
      <c r="A27" t="s">
        <v>32</v>
      </c>
    </row>
    <row r="28" spans="1:1" x14ac:dyDescent="0.25">
      <c r="A28" t="s">
        <v>34</v>
      </c>
    </row>
    <row r="29" spans="1:1" x14ac:dyDescent="0.25">
      <c r="A29" t="s">
        <v>26</v>
      </c>
    </row>
    <row r="30" spans="1:1" x14ac:dyDescent="0.25">
      <c r="A30" t="s">
        <v>28</v>
      </c>
    </row>
    <row r="31" spans="1:1" x14ac:dyDescent="0.25">
      <c r="A31" t="s">
        <v>26</v>
      </c>
    </row>
    <row r="32" spans="1:1" x14ac:dyDescent="0.25">
      <c r="A32" t="s">
        <v>26</v>
      </c>
    </row>
    <row r="33" spans="1:1" x14ac:dyDescent="0.25">
      <c r="A33" t="s">
        <v>26</v>
      </c>
    </row>
    <row r="34" spans="1:1" x14ac:dyDescent="0.25">
      <c r="A34" t="s">
        <v>32</v>
      </c>
    </row>
    <row r="35" spans="1:1" x14ac:dyDescent="0.25">
      <c r="A35" t="s">
        <v>26</v>
      </c>
    </row>
    <row r="36" spans="1:1" x14ac:dyDescent="0.25">
      <c r="A36" t="s">
        <v>26</v>
      </c>
    </row>
    <row r="37" spans="1:1" x14ac:dyDescent="0.25">
      <c r="A37" t="s">
        <v>28</v>
      </c>
    </row>
    <row r="38" spans="1:1" x14ac:dyDescent="0.25">
      <c r="A38" t="s">
        <v>26</v>
      </c>
    </row>
    <row r="39" spans="1:1" x14ac:dyDescent="0.25">
      <c r="A39" t="s">
        <v>26</v>
      </c>
    </row>
    <row r="40" spans="1:1" x14ac:dyDescent="0.25">
      <c r="A40" t="s">
        <v>36</v>
      </c>
    </row>
    <row r="41" spans="1:1" x14ac:dyDescent="0.25">
      <c r="A41" t="s">
        <v>34</v>
      </c>
    </row>
    <row r="42" spans="1:1" x14ac:dyDescent="0.25">
      <c r="A42" t="s">
        <v>32</v>
      </c>
    </row>
    <row r="43" spans="1:1" x14ac:dyDescent="0.25">
      <c r="A43" t="s">
        <v>28</v>
      </c>
    </row>
    <row r="44" spans="1:1" x14ac:dyDescent="0.25">
      <c r="A44" t="s">
        <v>32</v>
      </c>
    </row>
    <row r="45" spans="1:1" x14ac:dyDescent="0.25">
      <c r="A45" t="s">
        <v>32</v>
      </c>
    </row>
    <row r="46" spans="1:1" x14ac:dyDescent="0.25">
      <c r="A46" t="s">
        <v>32</v>
      </c>
    </row>
    <row r="47" spans="1:1" x14ac:dyDescent="0.25">
      <c r="A47" t="s">
        <v>32</v>
      </c>
    </row>
    <row r="48" spans="1:1" x14ac:dyDescent="0.25">
      <c r="A48" t="s">
        <v>26</v>
      </c>
    </row>
    <row r="49" spans="1:1" x14ac:dyDescent="0.25">
      <c r="A49" t="s">
        <v>34</v>
      </c>
    </row>
    <row r="50" spans="1:1" x14ac:dyDescent="0.25">
      <c r="A50" t="s">
        <v>32</v>
      </c>
    </row>
    <row r="51" spans="1:1" x14ac:dyDescent="0.25">
      <c r="A51" t="s">
        <v>36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79F6E-76C7-4C3C-BFD6-348619217267}">
  <dimension ref="A1:F51"/>
  <sheetViews>
    <sheetView workbookViewId="0">
      <selection activeCell="C1" sqref="C1:D7"/>
    </sheetView>
  </sheetViews>
  <sheetFormatPr defaultRowHeight="15" x14ac:dyDescent="0.25"/>
  <cols>
    <col min="1" max="1" width="20.7109375" customWidth="1"/>
    <col min="2" max="2" width="15" customWidth="1"/>
    <col min="3" max="3" width="12.85546875" customWidth="1"/>
    <col min="4" max="4" width="10.140625" bestFit="1" customWidth="1"/>
    <col min="5" max="5" width="11.85546875" customWidth="1"/>
    <col min="6" max="6" width="10.5703125" customWidth="1"/>
  </cols>
  <sheetData>
    <row r="1" spans="1:6" s="1" customFormat="1" ht="42" customHeight="1" x14ac:dyDescent="0.25">
      <c r="A1" s="5" t="s">
        <v>2</v>
      </c>
      <c r="C1" s="5" t="s">
        <v>37</v>
      </c>
      <c r="D1" s="9" t="s">
        <v>38</v>
      </c>
      <c r="E1" s="5" t="s">
        <v>39</v>
      </c>
      <c r="F1" s="5" t="s">
        <v>40</v>
      </c>
    </row>
    <row r="2" spans="1:6" x14ac:dyDescent="0.25">
      <c r="A2" t="s">
        <v>26</v>
      </c>
      <c r="C2" t="str" cm="1">
        <f t="array" ref="C2:C6">_xlfn.UNIQUE(A2:A51)</f>
        <v>Coke Classic</v>
      </c>
      <c r="D2">
        <f>COUNTIF($A$2:$A$51,C2)</f>
        <v>19</v>
      </c>
      <c r="E2">
        <f>D2/$D$7</f>
        <v>0.38</v>
      </c>
      <c r="F2" s="10">
        <f>E2</f>
        <v>0.38</v>
      </c>
    </row>
    <row r="3" spans="1:6" x14ac:dyDescent="0.25">
      <c r="A3" t="s">
        <v>28</v>
      </c>
      <c r="C3" t="str">
        <v>Diet Coke</v>
      </c>
      <c r="D3">
        <f>COUNTIF($A$2:$A$51,C3)</f>
        <v>8</v>
      </c>
      <c r="E3">
        <f>D3/$D$7</f>
        <v>0.16</v>
      </c>
      <c r="F3" s="10">
        <f>E3</f>
        <v>0.16</v>
      </c>
    </row>
    <row r="4" spans="1:6" x14ac:dyDescent="0.25">
      <c r="A4" t="s">
        <v>32</v>
      </c>
      <c r="C4" t="str">
        <v>Pepsi</v>
      </c>
      <c r="D4">
        <f>COUNTIF($A$2:$A$51,C4)</f>
        <v>13</v>
      </c>
      <c r="E4">
        <f>D4/$D$7</f>
        <v>0.26</v>
      </c>
      <c r="F4" s="10">
        <f>E4</f>
        <v>0.26</v>
      </c>
    </row>
    <row r="5" spans="1:6" x14ac:dyDescent="0.25">
      <c r="A5" t="s">
        <v>28</v>
      </c>
      <c r="C5" t="str">
        <v>Dr. Pepper</v>
      </c>
      <c r="D5">
        <f>COUNTIF($A$2:$A$51,C5)</f>
        <v>5</v>
      </c>
      <c r="E5">
        <f>D5/$D$7</f>
        <v>0.1</v>
      </c>
      <c r="F5" s="10">
        <f>E5</f>
        <v>0.1</v>
      </c>
    </row>
    <row r="6" spans="1:6" x14ac:dyDescent="0.25">
      <c r="A6" t="s">
        <v>26</v>
      </c>
      <c r="C6" t="str">
        <v>Sprite</v>
      </c>
      <c r="D6">
        <f>COUNTIF($A$2:$A$51,C6)</f>
        <v>5</v>
      </c>
      <c r="E6">
        <f>D6/$D$7</f>
        <v>0.1</v>
      </c>
      <c r="F6" s="10">
        <f>E6</f>
        <v>0.1</v>
      </c>
    </row>
    <row r="7" spans="1:6" x14ac:dyDescent="0.25">
      <c r="A7" t="s">
        <v>26</v>
      </c>
      <c r="C7" s="8" t="s">
        <v>41</v>
      </c>
      <c r="D7">
        <f>SUM(D2:D6)</f>
        <v>50</v>
      </c>
    </row>
    <row r="8" spans="1:6" x14ac:dyDescent="0.25">
      <c r="A8" t="s">
        <v>34</v>
      </c>
    </row>
    <row r="9" spans="1:6" x14ac:dyDescent="0.25">
      <c r="A9" t="s">
        <v>28</v>
      </c>
    </row>
    <row r="10" spans="1:6" x14ac:dyDescent="0.25">
      <c r="A10" t="s">
        <v>32</v>
      </c>
      <c r="C10" t="s">
        <v>26</v>
      </c>
      <c r="D10" s="10">
        <v>0.38</v>
      </c>
    </row>
    <row r="11" spans="1:6" x14ac:dyDescent="0.25">
      <c r="A11" t="s">
        <v>32</v>
      </c>
      <c r="C11" t="s">
        <v>28</v>
      </c>
      <c r="D11" s="10">
        <v>0.16</v>
      </c>
    </row>
    <row r="12" spans="1:6" x14ac:dyDescent="0.25">
      <c r="A12" t="s">
        <v>26</v>
      </c>
      <c r="C12" t="s">
        <v>32</v>
      </c>
      <c r="D12" s="10">
        <v>0.26</v>
      </c>
    </row>
    <row r="13" spans="1:6" x14ac:dyDescent="0.25">
      <c r="A13" t="s">
        <v>34</v>
      </c>
      <c r="C13" t="s">
        <v>34</v>
      </c>
      <c r="D13" s="10">
        <v>0.1</v>
      </c>
    </row>
    <row r="14" spans="1:6" x14ac:dyDescent="0.25">
      <c r="A14" t="s">
        <v>36</v>
      </c>
      <c r="C14" t="s">
        <v>36</v>
      </c>
      <c r="D14" s="10">
        <v>0.1</v>
      </c>
    </row>
    <row r="15" spans="1:6" x14ac:dyDescent="0.25">
      <c r="A15" t="s">
        <v>36</v>
      </c>
    </row>
    <row r="16" spans="1:6" x14ac:dyDescent="0.25">
      <c r="A16" t="s">
        <v>26</v>
      </c>
    </row>
    <row r="17" spans="1:1" x14ac:dyDescent="0.25">
      <c r="A17" t="s">
        <v>28</v>
      </c>
    </row>
    <row r="18" spans="1:1" x14ac:dyDescent="0.25">
      <c r="A18" t="s">
        <v>26</v>
      </c>
    </row>
    <row r="19" spans="1:1" x14ac:dyDescent="0.25">
      <c r="A19" t="s">
        <v>28</v>
      </c>
    </row>
    <row r="20" spans="1:1" x14ac:dyDescent="0.25">
      <c r="A20" t="s">
        <v>26</v>
      </c>
    </row>
    <row r="21" spans="1:1" x14ac:dyDescent="0.25">
      <c r="A21" t="s">
        <v>36</v>
      </c>
    </row>
    <row r="22" spans="1:1" x14ac:dyDescent="0.25">
      <c r="A22" t="s">
        <v>32</v>
      </c>
    </row>
    <row r="23" spans="1:1" x14ac:dyDescent="0.25">
      <c r="A23" t="s">
        <v>32</v>
      </c>
    </row>
    <row r="24" spans="1:1" x14ac:dyDescent="0.25">
      <c r="A24" t="s">
        <v>26</v>
      </c>
    </row>
    <row r="25" spans="1:1" x14ac:dyDescent="0.25">
      <c r="A25" t="s">
        <v>26</v>
      </c>
    </row>
    <row r="26" spans="1:1" x14ac:dyDescent="0.25">
      <c r="A26" t="s">
        <v>26</v>
      </c>
    </row>
    <row r="27" spans="1:1" x14ac:dyDescent="0.25">
      <c r="A27" t="s">
        <v>32</v>
      </c>
    </row>
    <row r="28" spans="1:1" x14ac:dyDescent="0.25">
      <c r="A28" t="s">
        <v>34</v>
      </c>
    </row>
    <row r="29" spans="1:1" x14ac:dyDescent="0.25">
      <c r="A29" t="s">
        <v>26</v>
      </c>
    </row>
    <row r="30" spans="1:1" x14ac:dyDescent="0.25">
      <c r="A30" t="s">
        <v>28</v>
      </c>
    </row>
    <row r="31" spans="1:1" x14ac:dyDescent="0.25">
      <c r="A31" t="s">
        <v>26</v>
      </c>
    </row>
    <row r="32" spans="1:1" x14ac:dyDescent="0.25">
      <c r="A32" t="s">
        <v>26</v>
      </c>
    </row>
    <row r="33" spans="1:1" x14ac:dyDescent="0.25">
      <c r="A33" t="s">
        <v>26</v>
      </c>
    </row>
    <row r="34" spans="1:1" x14ac:dyDescent="0.25">
      <c r="A34" t="s">
        <v>32</v>
      </c>
    </row>
    <row r="35" spans="1:1" x14ac:dyDescent="0.25">
      <c r="A35" t="s">
        <v>26</v>
      </c>
    </row>
    <row r="36" spans="1:1" x14ac:dyDescent="0.25">
      <c r="A36" t="s">
        <v>26</v>
      </c>
    </row>
    <row r="37" spans="1:1" x14ac:dyDescent="0.25">
      <c r="A37" t="s">
        <v>28</v>
      </c>
    </row>
    <row r="38" spans="1:1" x14ac:dyDescent="0.25">
      <c r="A38" t="s">
        <v>26</v>
      </c>
    </row>
    <row r="39" spans="1:1" x14ac:dyDescent="0.25">
      <c r="A39" t="s">
        <v>26</v>
      </c>
    </row>
    <row r="40" spans="1:1" x14ac:dyDescent="0.25">
      <c r="A40" t="s">
        <v>36</v>
      </c>
    </row>
    <row r="41" spans="1:1" x14ac:dyDescent="0.25">
      <c r="A41" t="s">
        <v>34</v>
      </c>
    </row>
    <row r="42" spans="1:1" x14ac:dyDescent="0.25">
      <c r="A42" t="s">
        <v>32</v>
      </c>
    </row>
    <row r="43" spans="1:1" x14ac:dyDescent="0.25">
      <c r="A43" t="s">
        <v>28</v>
      </c>
    </row>
    <row r="44" spans="1:1" x14ac:dyDescent="0.25">
      <c r="A44" t="s">
        <v>32</v>
      </c>
    </row>
    <row r="45" spans="1:1" x14ac:dyDescent="0.25">
      <c r="A45" t="s">
        <v>32</v>
      </c>
    </row>
    <row r="46" spans="1:1" x14ac:dyDescent="0.25">
      <c r="A46" t="s">
        <v>32</v>
      </c>
    </row>
    <row r="47" spans="1:1" x14ac:dyDescent="0.25">
      <c r="A47" t="s">
        <v>32</v>
      </c>
    </row>
    <row r="48" spans="1:1" x14ac:dyDescent="0.25">
      <c r="A48" t="s">
        <v>26</v>
      </c>
    </row>
    <row r="49" spans="1:1" x14ac:dyDescent="0.25">
      <c r="A49" t="s">
        <v>34</v>
      </c>
    </row>
    <row r="50" spans="1:1" x14ac:dyDescent="0.25">
      <c r="A50" t="s">
        <v>32</v>
      </c>
    </row>
    <row r="51" spans="1:1" x14ac:dyDescent="0.25">
      <c r="A51" t="s">
        <v>36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A1643-66B4-4C9C-A92C-DC391DAAA431}">
  <dimension ref="A1:D51"/>
  <sheetViews>
    <sheetView workbookViewId="0">
      <selection activeCell="D3" sqref="D3"/>
    </sheetView>
  </sheetViews>
  <sheetFormatPr defaultRowHeight="15" x14ac:dyDescent="0.25"/>
  <cols>
    <col min="1" max="1" width="20.7109375" customWidth="1"/>
    <col min="2" max="2" width="15" customWidth="1"/>
    <col min="3" max="3" width="12.85546875" customWidth="1"/>
    <col min="4" max="4" width="10.140625" bestFit="1" customWidth="1"/>
  </cols>
  <sheetData>
    <row r="1" spans="1:4" ht="42" customHeight="1" x14ac:dyDescent="0.25">
      <c r="A1" s="5" t="s">
        <v>2</v>
      </c>
      <c r="C1" s="2" t="s">
        <v>37</v>
      </c>
      <c r="D1" s="8" t="s">
        <v>38</v>
      </c>
    </row>
    <row r="2" spans="1:4" x14ac:dyDescent="0.25">
      <c r="A2" t="s">
        <v>26</v>
      </c>
      <c r="C2" t="str" cm="1">
        <f t="array" ref="C2:C6">_xlfn.UNIQUE(A2:A51)</f>
        <v>Coke Classic</v>
      </c>
      <c r="D2">
        <f>COUNTIF($A$2:$A$51,C2)</f>
        <v>19</v>
      </c>
    </row>
    <row r="3" spans="1:4" x14ac:dyDescent="0.25">
      <c r="A3" t="s">
        <v>28</v>
      </c>
      <c r="C3" t="str">
        <v>Diet Coke</v>
      </c>
      <c r="D3">
        <f>COUNTIF($A$2:$A$51,C3)</f>
        <v>8</v>
      </c>
    </row>
    <row r="4" spans="1:4" x14ac:dyDescent="0.25">
      <c r="A4" t="s">
        <v>32</v>
      </c>
      <c r="C4" t="str">
        <v>Pepsi</v>
      </c>
      <c r="D4">
        <f>COUNTIF($A$2:$A$51,C4)</f>
        <v>13</v>
      </c>
    </row>
    <row r="5" spans="1:4" x14ac:dyDescent="0.25">
      <c r="A5" t="s">
        <v>28</v>
      </c>
      <c r="C5" t="str">
        <v>Dr. Pepper</v>
      </c>
      <c r="D5">
        <f>COUNTIF($A$2:$A$51,C5)</f>
        <v>5</v>
      </c>
    </row>
    <row r="6" spans="1:4" x14ac:dyDescent="0.25">
      <c r="A6" t="s">
        <v>26</v>
      </c>
      <c r="C6" t="str">
        <v>Sprite</v>
      </c>
      <c r="D6">
        <f>COUNTIF($A$2:$A$51,C6)</f>
        <v>5</v>
      </c>
    </row>
    <row r="7" spans="1:4" x14ac:dyDescent="0.25">
      <c r="A7" t="s">
        <v>26</v>
      </c>
    </row>
    <row r="8" spans="1:4" x14ac:dyDescent="0.25">
      <c r="A8" t="s">
        <v>34</v>
      </c>
    </row>
    <row r="9" spans="1:4" x14ac:dyDescent="0.25">
      <c r="A9" t="s">
        <v>28</v>
      </c>
    </row>
    <row r="10" spans="1:4" x14ac:dyDescent="0.25">
      <c r="A10" t="s">
        <v>32</v>
      </c>
    </row>
    <row r="11" spans="1:4" x14ac:dyDescent="0.25">
      <c r="A11" t="s">
        <v>32</v>
      </c>
    </row>
    <row r="12" spans="1:4" x14ac:dyDescent="0.25">
      <c r="A12" t="s">
        <v>26</v>
      </c>
    </row>
    <row r="13" spans="1:4" x14ac:dyDescent="0.25">
      <c r="A13" t="s">
        <v>34</v>
      </c>
    </row>
    <row r="14" spans="1:4" x14ac:dyDescent="0.25">
      <c r="A14" t="s">
        <v>36</v>
      </c>
    </row>
    <row r="15" spans="1:4" x14ac:dyDescent="0.25">
      <c r="A15" t="s">
        <v>36</v>
      </c>
    </row>
    <row r="16" spans="1:4" x14ac:dyDescent="0.25">
      <c r="A16" t="s">
        <v>26</v>
      </c>
    </row>
    <row r="17" spans="1:1" x14ac:dyDescent="0.25">
      <c r="A17" t="s">
        <v>28</v>
      </c>
    </row>
    <row r="18" spans="1:1" x14ac:dyDescent="0.25">
      <c r="A18" t="s">
        <v>26</v>
      </c>
    </row>
    <row r="19" spans="1:1" x14ac:dyDescent="0.25">
      <c r="A19" t="s">
        <v>28</v>
      </c>
    </row>
    <row r="20" spans="1:1" x14ac:dyDescent="0.25">
      <c r="A20" t="s">
        <v>26</v>
      </c>
    </row>
    <row r="21" spans="1:1" x14ac:dyDescent="0.25">
      <c r="A21" t="s">
        <v>36</v>
      </c>
    </row>
    <row r="22" spans="1:1" x14ac:dyDescent="0.25">
      <c r="A22" t="s">
        <v>32</v>
      </c>
    </row>
    <row r="23" spans="1:1" x14ac:dyDescent="0.25">
      <c r="A23" t="s">
        <v>32</v>
      </c>
    </row>
    <row r="24" spans="1:1" x14ac:dyDescent="0.25">
      <c r="A24" t="s">
        <v>26</v>
      </c>
    </row>
    <row r="25" spans="1:1" x14ac:dyDescent="0.25">
      <c r="A25" t="s">
        <v>26</v>
      </c>
    </row>
    <row r="26" spans="1:1" x14ac:dyDescent="0.25">
      <c r="A26" t="s">
        <v>26</v>
      </c>
    </row>
    <row r="27" spans="1:1" x14ac:dyDescent="0.25">
      <c r="A27" t="s">
        <v>32</v>
      </c>
    </row>
    <row r="28" spans="1:1" x14ac:dyDescent="0.25">
      <c r="A28" t="s">
        <v>34</v>
      </c>
    </row>
    <row r="29" spans="1:1" x14ac:dyDescent="0.25">
      <c r="A29" t="s">
        <v>26</v>
      </c>
    </row>
    <row r="30" spans="1:1" x14ac:dyDescent="0.25">
      <c r="A30" t="s">
        <v>28</v>
      </c>
    </row>
    <row r="31" spans="1:1" x14ac:dyDescent="0.25">
      <c r="A31" t="s">
        <v>26</v>
      </c>
    </row>
    <row r="32" spans="1:1" x14ac:dyDescent="0.25">
      <c r="A32" t="s">
        <v>26</v>
      </c>
    </row>
    <row r="33" spans="1:1" x14ac:dyDescent="0.25">
      <c r="A33" t="s">
        <v>26</v>
      </c>
    </row>
    <row r="34" spans="1:1" x14ac:dyDescent="0.25">
      <c r="A34" t="s">
        <v>32</v>
      </c>
    </row>
    <row r="35" spans="1:1" x14ac:dyDescent="0.25">
      <c r="A35" t="s">
        <v>26</v>
      </c>
    </row>
    <row r="36" spans="1:1" x14ac:dyDescent="0.25">
      <c r="A36" t="s">
        <v>26</v>
      </c>
    </row>
    <row r="37" spans="1:1" x14ac:dyDescent="0.25">
      <c r="A37" t="s">
        <v>28</v>
      </c>
    </row>
    <row r="38" spans="1:1" x14ac:dyDescent="0.25">
      <c r="A38" t="s">
        <v>26</v>
      </c>
    </row>
    <row r="39" spans="1:1" x14ac:dyDescent="0.25">
      <c r="A39" t="s">
        <v>26</v>
      </c>
    </row>
    <row r="40" spans="1:1" x14ac:dyDescent="0.25">
      <c r="A40" t="s">
        <v>36</v>
      </c>
    </row>
    <row r="41" spans="1:1" x14ac:dyDescent="0.25">
      <c r="A41" t="s">
        <v>34</v>
      </c>
    </row>
    <row r="42" spans="1:1" x14ac:dyDescent="0.25">
      <c r="A42" t="s">
        <v>32</v>
      </c>
    </row>
    <row r="43" spans="1:1" x14ac:dyDescent="0.25">
      <c r="A43" t="s">
        <v>28</v>
      </c>
    </row>
    <row r="44" spans="1:1" x14ac:dyDescent="0.25">
      <c r="A44" t="s">
        <v>32</v>
      </c>
    </row>
    <row r="45" spans="1:1" x14ac:dyDescent="0.25">
      <c r="A45" t="s">
        <v>32</v>
      </c>
    </row>
    <row r="46" spans="1:1" x14ac:dyDescent="0.25">
      <c r="A46" t="s">
        <v>32</v>
      </c>
    </row>
    <row r="47" spans="1:1" x14ac:dyDescent="0.25">
      <c r="A47" t="s">
        <v>32</v>
      </c>
    </row>
    <row r="48" spans="1:1" x14ac:dyDescent="0.25">
      <c r="A48" t="s">
        <v>26</v>
      </c>
    </row>
    <row r="49" spans="1:1" x14ac:dyDescent="0.25">
      <c r="A49" t="s">
        <v>34</v>
      </c>
    </row>
    <row r="50" spans="1:1" x14ac:dyDescent="0.25">
      <c r="A50" t="s">
        <v>32</v>
      </c>
    </row>
    <row r="51" spans="1:1" x14ac:dyDescent="0.25">
      <c r="A51" t="s">
        <v>36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9D60B-D017-4058-8738-20A8B8925D61}">
  <dimension ref="A1:D21"/>
  <sheetViews>
    <sheetView tabSelected="1" workbookViewId="0">
      <selection activeCell="C1" sqref="C1:D7"/>
    </sheetView>
  </sheetViews>
  <sheetFormatPr defaultRowHeight="15" x14ac:dyDescent="0.25"/>
  <cols>
    <col min="1" max="1" width="15.140625" bestFit="1" customWidth="1"/>
    <col min="3" max="3" width="13.42578125" bestFit="1" customWidth="1"/>
    <col min="4" max="4" width="19.140625" bestFit="1" customWidth="1"/>
    <col min="5" max="18" width="3" bestFit="1" customWidth="1"/>
    <col min="19" max="19" width="11.28515625" bestFit="1" customWidth="1"/>
  </cols>
  <sheetData>
    <row r="1" spans="1:4" x14ac:dyDescent="0.25">
      <c r="A1" t="s">
        <v>42</v>
      </c>
      <c r="C1" s="12" t="s">
        <v>45</v>
      </c>
      <c r="D1" t="s">
        <v>46</v>
      </c>
    </row>
    <row r="2" spans="1:4" x14ac:dyDescent="0.25">
      <c r="A2">
        <v>12</v>
      </c>
      <c r="C2" s="13" t="s">
        <v>47</v>
      </c>
      <c r="D2" s="11">
        <v>4</v>
      </c>
    </row>
    <row r="3" spans="1:4" x14ac:dyDescent="0.25">
      <c r="A3">
        <v>15</v>
      </c>
      <c r="C3" s="13" t="s">
        <v>48</v>
      </c>
      <c r="D3" s="11">
        <v>8</v>
      </c>
    </row>
    <row r="4" spans="1:4" x14ac:dyDescent="0.25">
      <c r="A4">
        <v>20</v>
      </c>
      <c r="C4" s="13" t="s">
        <v>49</v>
      </c>
      <c r="D4" s="11">
        <v>5</v>
      </c>
    </row>
    <row r="5" spans="1:4" x14ac:dyDescent="0.25">
      <c r="A5">
        <v>22</v>
      </c>
      <c r="C5" s="13" t="s">
        <v>50</v>
      </c>
      <c r="D5" s="11">
        <v>2</v>
      </c>
    </row>
    <row r="6" spans="1:4" x14ac:dyDescent="0.25">
      <c r="A6">
        <v>14</v>
      </c>
      <c r="C6" s="13" t="s">
        <v>51</v>
      </c>
      <c r="D6" s="11">
        <v>1</v>
      </c>
    </row>
    <row r="7" spans="1:4" x14ac:dyDescent="0.25">
      <c r="A7">
        <v>14</v>
      </c>
      <c r="C7" s="13" t="s">
        <v>43</v>
      </c>
      <c r="D7" s="11">
        <v>20</v>
      </c>
    </row>
    <row r="8" spans="1:4" x14ac:dyDescent="0.25">
      <c r="A8">
        <v>15</v>
      </c>
    </row>
    <row r="9" spans="1:4" x14ac:dyDescent="0.25">
      <c r="A9">
        <v>27</v>
      </c>
    </row>
    <row r="10" spans="1:4" x14ac:dyDescent="0.25">
      <c r="A10">
        <v>21</v>
      </c>
    </row>
    <row r="11" spans="1:4" x14ac:dyDescent="0.25">
      <c r="A11">
        <v>18</v>
      </c>
    </row>
    <row r="12" spans="1:4" x14ac:dyDescent="0.25">
      <c r="A12">
        <v>19</v>
      </c>
    </row>
    <row r="13" spans="1:4" x14ac:dyDescent="0.25">
      <c r="A13">
        <v>18</v>
      </c>
    </row>
    <row r="14" spans="1:4" x14ac:dyDescent="0.25">
      <c r="A14">
        <v>22</v>
      </c>
    </row>
    <row r="15" spans="1:4" x14ac:dyDescent="0.25">
      <c r="A15">
        <v>33</v>
      </c>
    </row>
    <row r="16" spans="1:4" x14ac:dyDescent="0.25">
      <c r="A16">
        <v>16</v>
      </c>
    </row>
    <row r="17" spans="1:1" x14ac:dyDescent="0.25">
      <c r="A17">
        <v>18</v>
      </c>
    </row>
    <row r="18" spans="1:1" x14ac:dyDescent="0.25">
      <c r="A18">
        <v>17</v>
      </c>
    </row>
    <row r="19" spans="1:1" x14ac:dyDescent="0.25">
      <c r="A19">
        <v>23</v>
      </c>
    </row>
    <row r="20" spans="1:1" x14ac:dyDescent="0.25">
      <c r="A20">
        <v>28</v>
      </c>
    </row>
    <row r="21" spans="1:1" x14ac:dyDescent="0.25">
      <c r="A21">
        <v>13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workbookViewId="0">
      <selection activeCell="B2" sqref="B2"/>
    </sheetView>
  </sheetViews>
  <sheetFormatPr defaultRowHeight="15" x14ac:dyDescent="0.25"/>
  <cols>
    <col min="1" max="1" width="15.85546875" bestFit="1" customWidth="1"/>
    <col min="2" max="2" width="36.5703125" bestFit="1" customWidth="1"/>
  </cols>
  <sheetData>
    <row r="1" spans="1:2" x14ac:dyDescent="0.25">
      <c r="A1" t="s">
        <v>42</v>
      </c>
      <c r="B1" s="1" t="s">
        <v>44</v>
      </c>
    </row>
    <row r="2" spans="1:2" x14ac:dyDescent="0.25">
      <c r="A2">
        <v>12</v>
      </c>
      <c r="B2">
        <f>COUNTIF($A$2:$A2,A2)</f>
        <v>1</v>
      </c>
    </row>
    <row r="3" spans="1:2" x14ac:dyDescent="0.25">
      <c r="A3">
        <v>15</v>
      </c>
      <c r="B3">
        <f>COUNTIF($A$2:$A3,A3)</f>
        <v>1</v>
      </c>
    </row>
    <row r="4" spans="1:2" x14ac:dyDescent="0.25">
      <c r="A4">
        <v>20</v>
      </c>
      <c r="B4">
        <f>COUNTIF($A$2:$A4,A4)</f>
        <v>1</v>
      </c>
    </row>
    <row r="5" spans="1:2" x14ac:dyDescent="0.25">
      <c r="A5">
        <v>22</v>
      </c>
      <c r="B5">
        <f>COUNTIF($A$2:$A5,A5)</f>
        <v>1</v>
      </c>
    </row>
    <row r="6" spans="1:2" x14ac:dyDescent="0.25">
      <c r="A6">
        <v>14</v>
      </c>
      <c r="B6">
        <f>COUNTIF($A$2:$A6,A6)</f>
        <v>1</v>
      </c>
    </row>
    <row r="7" spans="1:2" x14ac:dyDescent="0.25">
      <c r="A7">
        <v>14</v>
      </c>
      <c r="B7">
        <f>COUNTIF($A$2:$A7,A7)</f>
        <v>2</v>
      </c>
    </row>
    <row r="8" spans="1:2" x14ac:dyDescent="0.25">
      <c r="A8">
        <v>15</v>
      </c>
      <c r="B8">
        <f>COUNTIF($A$2:$A8,A8)</f>
        <v>2</v>
      </c>
    </row>
    <row r="9" spans="1:2" x14ac:dyDescent="0.25">
      <c r="A9">
        <v>27</v>
      </c>
      <c r="B9">
        <f>COUNTIF($A$2:$A9,A9)</f>
        <v>1</v>
      </c>
    </row>
    <row r="10" spans="1:2" x14ac:dyDescent="0.25">
      <c r="A10">
        <v>21</v>
      </c>
      <c r="B10">
        <f>COUNTIF($A$2:$A10,A10)</f>
        <v>1</v>
      </c>
    </row>
    <row r="11" spans="1:2" x14ac:dyDescent="0.25">
      <c r="A11">
        <v>18</v>
      </c>
      <c r="B11">
        <f>COUNTIF($A$2:$A11,A11)</f>
        <v>1</v>
      </c>
    </row>
    <row r="12" spans="1:2" x14ac:dyDescent="0.25">
      <c r="A12">
        <v>19</v>
      </c>
      <c r="B12">
        <f>COUNTIF($A$2:$A12,A12)</f>
        <v>1</v>
      </c>
    </row>
    <row r="13" spans="1:2" x14ac:dyDescent="0.25">
      <c r="A13">
        <v>18</v>
      </c>
      <c r="B13">
        <f>COUNTIF($A$2:$A13,A13)</f>
        <v>2</v>
      </c>
    </row>
    <row r="14" spans="1:2" x14ac:dyDescent="0.25">
      <c r="A14">
        <v>22</v>
      </c>
      <c r="B14">
        <f>COUNTIF($A$2:$A14,A14)</f>
        <v>2</v>
      </c>
    </row>
    <row r="15" spans="1:2" x14ac:dyDescent="0.25">
      <c r="A15">
        <v>33</v>
      </c>
      <c r="B15">
        <f>COUNTIF($A$2:$A15,A15)</f>
        <v>1</v>
      </c>
    </row>
    <row r="16" spans="1:2" x14ac:dyDescent="0.25">
      <c r="A16">
        <v>16</v>
      </c>
      <c r="B16">
        <f>COUNTIF($A$2:$A16,A16)</f>
        <v>1</v>
      </c>
    </row>
    <row r="17" spans="1:2" x14ac:dyDescent="0.25">
      <c r="A17">
        <v>18</v>
      </c>
      <c r="B17">
        <f>COUNTIF($A$2:$A17,A17)</f>
        <v>3</v>
      </c>
    </row>
    <row r="18" spans="1:2" x14ac:dyDescent="0.25">
      <c r="A18">
        <v>17</v>
      </c>
      <c r="B18">
        <f>COUNTIF($A$2:$A18,A18)</f>
        <v>1</v>
      </c>
    </row>
    <row r="19" spans="1:2" x14ac:dyDescent="0.25">
      <c r="A19">
        <v>23</v>
      </c>
      <c r="B19">
        <f>COUNTIF($A$2:$A19,A19)</f>
        <v>1</v>
      </c>
    </row>
    <row r="20" spans="1:2" x14ac:dyDescent="0.25">
      <c r="A20">
        <v>28</v>
      </c>
      <c r="B20">
        <f>COUNTIF($A$2:$A20,A20)</f>
        <v>1</v>
      </c>
    </row>
    <row r="21" spans="1:2" x14ac:dyDescent="0.25">
      <c r="A21">
        <v>13</v>
      </c>
      <c r="B21">
        <f>COUNTIF($A$2:$A21,A21)</f>
        <v>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AA69C-BF92-4A69-BEA2-DF160A03821C}">
  <dimension ref="A1:F21"/>
  <sheetViews>
    <sheetView workbookViewId="0">
      <selection activeCell="C1" sqref="C1:D6"/>
    </sheetView>
  </sheetViews>
  <sheetFormatPr defaultRowHeight="15" x14ac:dyDescent="0.25"/>
  <cols>
    <col min="1" max="1" width="15.85546875" bestFit="1" customWidth="1"/>
    <col min="2" max="2" width="36.5703125" bestFit="1" customWidth="1"/>
    <col min="3" max="3" width="13.85546875" customWidth="1"/>
    <col min="4" max="4" width="18.5703125" customWidth="1"/>
    <col min="5" max="5" width="19.5703125" customWidth="1"/>
    <col min="6" max="6" width="17.42578125" customWidth="1"/>
  </cols>
  <sheetData>
    <row r="1" spans="1:6" ht="33.75" customHeight="1" x14ac:dyDescent="0.25">
      <c r="A1" t="s">
        <v>42</v>
      </c>
      <c r="B1" s="1"/>
      <c r="C1" s="1" t="s">
        <v>53</v>
      </c>
      <c r="D1" s="14" t="s">
        <v>52</v>
      </c>
      <c r="E1" s="1" t="s">
        <v>54</v>
      </c>
      <c r="F1" s="1" t="s">
        <v>55</v>
      </c>
    </row>
    <row r="2" spans="1:6" x14ac:dyDescent="0.25">
      <c r="A2">
        <v>12</v>
      </c>
      <c r="C2">
        <v>14</v>
      </c>
      <c r="D2">
        <f>COUNTIF($A$2:$A$21, "&lt;=" &amp; C2)</f>
        <v>4</v>
      </c>
      <c r="E2">
        <f>D2/COUNT($A$2:$A$21)</f>
        <v>0.2</v>
      </c>
      <c r="F2" s="15">
        <f>E2</f>
        <v>0.2</v>
      </c>
    </row>
    <row r="3" spans="1:6" x14ac:dyDescent="0.25">
      <c r="A3">
        <v>15</v>
      </c>
      <c r="C3">
        <v>19</v>
      </c>
      <c r="D3">
        <f t="shared" ref="D3:D6" si="0">COUNTIF($A$2:$A$21, "&lt;=" &amp; C3)</f>
        <v>12</v>
      </c>
      <c r="E3">
        <f t="shared" ref="E3:E6" si="1">D3/COUNT($A$2:$A$21)</f>
        <v>0.6</v>
      </c>
      <c r="F3" s="15">
        <f t="shared" ref="F3:F6" si="2">E3</f>
        <v>0.6</v>
      </c>
    </row>
    <row r="4" spans="1:6" x14ac:dyDescent="0.25">
      <c r="A4">
        <v>20</v>
      </c>
      <c r="C4">
        <v>24</v>
      </c>
      <c r="D4">
        <f t="shared" si="0"/>
        <v>17</v>
      </c>
      <c r="E4">
        <f t="shared" si="1"/>
        <v>0.85</v>
      </c>
      <c r="F4" s="15">
        <f t="shared" si="2"/>
        <v>0.85</v>
      </c>
    </row>
    <row r="5" spans="1:6" x14ac:dyDescent="0.25">
      <c r="A5">
        <v>22</v>
      </c>
      <c r="C5">
        <v>29</v>
      </c>
      <c r="D5">
        <f t="shared" si="0"/>
        <v>19</v>
      </c>
      <c r="E5">
        <f t="shared" si="1"/>
        <v>0.95</v>
      </c>
      <c r="F5" s="15">
        <f t="shared" si="2"/>
        <v>0.95</v>
      </c>
    </row>
    <row r="6" spans="1:6" x14ac:dyDescent="0.25">
      <c r="A6">
        <v>14</v>
      </c>
      <c r="C6">
        <v>34</v>
      </c>
      <c r="D6">
        <f t="shared" si="0"/>
        <v>20</v>
      </c>
      <c r="E6">
        <f t="shared" si="1"/>
        <v>1</v>
      </c>
      <c r="F6" s="15">
        <f t="shared" si="2"/>
        <v>1</v>
      </c>
    </row>
    <row r="7" spans="1:6" x14ac:dyDescent="0.25">
      <c r="A7">
        <v>14</v>
      </c>
      <c r="C7" t="s">
        <v>41</v>
      </c>
    </row>
    <row r="8" spans="1:6" x14ac:dyDescent="0.25">
      <c r="A8">
        <v>15</v>
      </c>
    </row>
    <row r="9" spans="1:6" x14ac:dyDescent="0.25">
      <c r="A9">
        <v>27</v>
      </c>
    </row>
    <row r="10" spans="1:6" x14ac:dyDescent="0.25">
      <c r="A10">
        <v>21</v>
      </c>
    </row>
    <row r="11" spans="1:6" x14ac:dyDescent="0.25">
      <c r="A11">
        <v>18</v>
      </c>
    </row>
    <row r="12" spans="1:6" x14ac:dyDescent="0.25">
      <c r="A12">
        <v>19</v>
      </c>
    </row>
    <row r="13" spans="1:6" x14ac:dyDescent="0.25">
      <c r="A13">
        <v>18</v>
      </c>
    </row>
    <row r="14" spans="1:6" x14ac:dyDescent="0.25">
      <c r="A14">
        <v>22</v>
      </c>
    </row>
    <row r="15" spans="1:6" x14ac:dyDescent="0.25">
      <c r="A15">
        <v>33</v>
      </c>
    </row>
    <row r="16" spans="1:6" x14ac:dyDescent="0.25">
      <c r="A16">
        <v>16</v>
      </c>
    </row>
    <row r="17" spans="1:1" x14ac:dyDescent="0.25">
      <c r="A17">
        <v>18</v>
      </c>
    </row>
    <row r="18" spans="1:1" x14ac:dyDescent="0.25">
      <c r="A18">
        <v>17</v>
      </c>
    </row>
    <row r="19" spans="1:1" x14ac:dyDescent="0.25">
      <c r="A19">
        <v>23</v>
      </c>
    </row>
    <row r="20" spans="1:1" x14ac:dyDescent="0.25">
      <c r="A20">
        <v>28</v>
      </c>
    </row>
    <row r="21" spans="1:1" x14ac:dyDescent="0.25">
      <c r="A21">
        <v>13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B06A7-5C7D-4513-9F1C-1CB9BA77D3B8}">
  <dimension ref="A1:D21"/>
  <sheetViews>
    <sheetView workbookViewId="0">
      <selection activeCell="S18" sqref="S18"/>
    </sheetView>
  </sheetViews>
  <sheetFormatPr defaultRowHeight="15" x14ac:dyDescent="0.25"/>
  <cols>
    <col min="1" max="1" width="15.140625" bestFit="1" customWidth="1"/>
    <col min="3" max="3" width="13.42578125" bestFit="1" customWidth="1"/>
    <col min="4" max="4" width="19.140625" bestFit="1" customWidth="1"/>
    <col min="5" max="18" width="3" bestFit="1" customWidth="1"/>
    <col min="19" max="19" width="11.28515625" bestFit="1" customWidth="1"/>
  </cols>
  <sheetData>
    <row r="1" spans="1:4" x14ac:dyDescent="0.25">
      <c r="A1" t="s">
        <v>42</v>
      </c>
    </row>
    <row r="2" spans="1:4" ht="30" x14ac:dyDescent="0.25">
      <c r="A2">
        <v>12</v>
      </c>
      <c r="C2" s="1" t="s">
        <v>53</v>
      </c>
      <c r="D2" s="14" t="s">
        <v>52</v>
      </c>
    </row>
    <row r="3" spans="1:4" x14ac:dyDescent="0.25">
      <c r="A3">
        <v>15</v>
      </c>
      <c r="C3">
        <v>9.5</v>
      </c>
      <c r="D3">
        <f>COUNTIF($A$2:$A$21, "&lt;=" &amp; C3)</f>
        <v>0</v>
      </c>
    </row>
    <row r="4" spans="1:4" x14ac:dyDescent="0.25">
      <c r="A4">
        <v>20</v>
      </c>
      <c r="C4">
        <v>14.5</v>
      </c>
      <c r="D4">
        <f>COUNTIF($A$2:$A$21, "&lt;=" &amp; C4)</f>
        <v>4</v>
      </c>
    </row>
    <row r="5" spans="1:4" x14ac:dyDescent="0.25">
      <c r="A5">
        <v>22</v>
      </c>
      <c r="C5">
        <v>19.5</v>
      </c>
      <c r="D5">
        <f t="shared" ref="D5:D8" si="0">COUNTIF($A$2:$A$21, "&lt;=" &amp; C5)</f>
        <v>12</v>
      </c>
    </row>
    <row r="6" spans="1:4" x14ac:dyDescent="0.25">
      <c r="A6">
        <v>14</v>
      </c>
      <c r="C6">
        <v>24.5</v>
      </c>
      <c r="D6">
        <f t="shared" si="0"/>
        <v>17</v>
      </c>
    </row>
    <row r="7" spans="1:4" x14ac:dyDescent="0.25">
      <c r="A7">
        <v>14</v>
      </c>
      <c r="C7">
        <v>29.5</v>
      </c>
      <c r="D7">
        <f t="shared" si="0"/>
        <v>19</v>
      </c>
    </row>
    <row r="8" spans="1:4" x14ac:dyDescent="0.25">
      <c r="A8">
        <v>15</v>
      </c>
      <c r="C8">
        <v>34.5</v>
      </c>
      <c r="D8">
        <f t="shared" si="0"/>
        <v>20</v>
      </c>
    </row>
    <row r="9" spans="1:4" x14ac:dyDescent="0.25">
      <c r="A9">
        <v>27</v>
      </c>
    </row>
    <row r="10" spans="1:4" x14ac:dyDescent="0.25">
      <c r="A10">
        <v>21</v>
      </c>
    </row>
    <row r="11" spans="1:4" x14ac:dyDescent="0.25">
      <c r="A11">
        <v>18</v>
      </c>
    </row>
    <row r="12" spans="1:4" x14ac:dyDescent="0.25">
      <c r="A12">
        <v>19</v>
      </c>
    </row>
    <row r="13" spans="1:4" x14ac:dyDescent="0.25">
      <c r="A13">
        <v>18</v>
      </c>
    </row>
    <row r="14" spans="1:4" x14ac:dyDescent="0.25">
      <c r="A14">
        <v>22</v>
      </c>
    </row>
    <row r="15" spans="1:4" x14ac:dyDescent="0.25">
      <c r="A15">
        <v>33</v>
      </c>
    </row>
    <row r="16" spans="1:4" x14ac:dyDescent="0.25">
      <c r="A16">
        <v>16</v>
      </c>
    </row>
    <row r="17" spans="1:1" x14ac:dyDescent="0.25">
      <c r="A17">
        <v>18</v>
      </c>
    </row>
    <row r="18" spans="1:1" x14ac:dyDescent="0.25">
      <c r="A18">
        <v>17</v>
      </c>
    </row>
    <row r="19" spans="1:1" x14ac:dyDescent="0.25">
      <c r="A19">
        <v>23</v>
      </c>
    </row>
    <row r="20" spans="1:1" x14ac:dyDescent="0.25">
      <c r="A20">
        <v>28</v>
      </c>
    </row>
    <row r="21" spans="1:1" x14ac:dyDescent="0.25">
      <c r="A21">
        <v>13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4C28A-0B07-4805-ADEB-F372E6DDE0B5}">
  <dimension ref="A1:L301"/>
  <sheetViews>
    <sheetView workbookViewId="0">
      <selection activeCell="AF7" sqref="AF7"/>
    </sheetView>
  </sheetViews>
  <sheetFormatPr defaultRowHeight="15" x14ac:dyDescent="0.25"/>
  <cols>
    <col min="6" max="6" width="21.5703125" bestFit="1" customWidth="1"/>
    <col min="7" max="7" width="16.85546875" bestFit="1" customWidth="1"/>
    <col min="8" max="10" width="5.7109375" bestFit="1" customWidth="1"/>
    <col min="11" max="11" width="4" bestFit="1" customWidth="1"/>
    <col min="12" max="12" width="11.28515625" bestFit="1" customWidth="1"/>
    <col min="13" max="53" width="3" bestFit="1" customWidth="1"/>
    <col min="54" max="54" width="11.28515625" bestFit="1" customWidth="1"/>
  </cols>
  <sheetData>
    <row r="1" spans="1:12" x14ac:dyDescent="0.25">
      <c r="A1" t="s">
        <v>56</v>
      </c>
      <c r="B1" t="s">
        <v>57</v>
      </c>
      <c r="C1" t="s">
        <v>58</v>
      </c>
      <c r="F1" s="12" t="s">
        <v>63</v>
      </c>
      <c r="G1" s="12" t="s">
        <v>62</v>
      </c>
    </row>
    <row r="2" spans="1:12" x14ac:dyDescent="0.25">
      <c r="A2">
        <v>1</v>
      </c>
      <c r="B2" t="s">
        <v>59</v>
      </c>
      <c r="C2">
        <v>18</v>
      </c>
      <c r="F2" s="12" t="s">
        <v>45</v>
      </c>
      <c r="G2" t="s">
        <v>64</v>
      </c>
      <c r="H2" t="s">
        <v>65</v>
      </c>
      <c r="I2" t="s">
        <v>66</v>
      </c>
      <c r="J2" t="s">
        <v>67</v>
      </c>
      <c r="K2" t="s">
        <v>68</v>
      </c>
      <c r="L2" s="2" t="s">
        <v>43</v>
      </c>
    </row>
    <row r="3" spans="1:12" x14ac:dyDescent="0.25">
      <c r="A3">
        <v>2</v>
      </c>
      <c r="B3" t="s">
        <v>60</v>
      </c>
      <c r="C3">
        <v>22</v>
      </c>
      <c r="F3" s="13" t="s">
        <v>59</v>
      </c>
      <c r="G3" s="11">
        <v>90</v>
      </c>
      <c r="H3" s="11">
        <v>45</v>
      </c>
      <c r="I3" s="11">
        <v>0</v>
      </c>
      <c r="J3" s="11">
        <v>0</v>
      </c>
      <c r="K3" s="11">
        <v>0</v>
      </c>
      <c r="L3" s="16">
        <v>135</v>
      </c>
    </row>
    <row r="4" spans="1:12" x14ac:dyDescent="0.25">
      <c r="A4">
        <v>3</v>
      </c>
      <c r="B4" t="s">
        <v>59</v>
      </c>
      <c r="C4">
        <v>28</v>
      </c>
      <c r="F4" s="13" t="s">
        <v>60</v>
      </c>
      <c r="G4" s="11">
        <v>10</v>
      </c>
      <c r="H4" s="11">
        <v>64</v>
      </c>
      <c r="I4" s="11">
        <v>39</v>
      </c>
      <c r="J4" s="11">
        <v>0</v>
      </c>
      <c r="K4" s="11">
        <v>0</v>
      </c>
      <c r="L4" s="16">
        <v>113</v>
      </c>
    </row>
    <row r="5" spans="1:12" x14ac:dyDescent="0.25">
      <c r="A5">
        <v>4</v>
      </c>
      <c r="B5" t="s">
        <v>61</v>
      </c>
      <c r="C5">
        <v>38</v>
      </c>
      <c r="F5" s="13" t="s">
        <v>61</v>
      </c>
      <c r="G5" s="11">
        <v>1</v>
      </c>
      <c r="H5" s="11">
        <v>0</v>
      </c>
      <c r="I5" s="11">
        <v>22</v>
      </c>
      <c r="J5" s="11">
        <v>13</v>
      </c>
      <c r="K5" s="11">
        <v>16</v>
      </c>
      <c r="L5" s="16">
        <v>52</v>
      </c>
    </row>
    <row r="6" spans="1:12" x14ac:dyDescent="0.25">
      <c r="A6">
        <v>5</v>
      </c>
      <c r="B6" t="s">
        <v>60</v>
      </c>
      <c r="C6">
        <v>33</v>
      </c>
      <c r="F6" s="13" t="s">
        <v>43</v>
      </c>
      <c r="G6" s="11">
        <v>101</v>
      </c>
      <c r="H6" s="11">
        <v>109</v>
      </c>
      <c r="I6" s="11">
        <v>61</v>
      </c>
      <c r="J6" s="11">
        <v>13</v>
      </c>
      <c r="K6" s="11">
        <v>16</v>
      </c>
      <c r="L6" s="16">
        <v>300</v>
      </c>
    </row>
    <row r="7" spans="1:12" x14ac:dyDescent="0.25">
      <c r="A7">
        <v>6</v>
      </c>
      <c r="B7" t="s">
        <v>59</v>
      </c>
      <c r="C7">
        <v>28</v>
      </c>
    </row>
    <row r="8" spans="1:12" x14ac:dyDescent="0.25">
      <c r="A8">
        <v>7</v>
      </c>
      <c r="B8" t="s">
        <v>60</v>
      </c>
      <c r="C8">
        <v>19</v>
      </c>
    </row>
    <row r="9" spans="1:12" x14ac:dyDescent="0.25">
      <c r="A9">
        <v>8</v>
      </c>
      <c r="B9" t="s">
        <v>60</v>
      </c>
      <c r="C9">
        <v>11</v>
      </c>
    </row>
    <row r="10" spans="1:12" x14ac:dyDescent="0.25">
      <c r="A10">
        <v>9</v>
      </c>
      <c r="B10" t="s">
        <v>60</v>
      </c>
      <c r="C10">
        <v>23</v>
      </c>
    </row>
    <row r="11" spans="1:12" x14ac:dyDescent="0.25">
      <c r="A11">
        <v>10</v>
      </c>
      <c r="B11" t="s">
        <v>59</v>
      </c>
      <c r="C11">
        <v>13</v>
      </c>
    </row>
    <row r="12" spans="1:12" x14ac:dyDescent="0.25">
      <c r="A12">
        <v>11</v>
      </c>
      <c r="B12" t="s">
        <v>59</v>
      </c>
      <c r="C12">
        <v>24</v>
      </c>
    </row>
    <row r="13" spans="1:12" x14ac:dyDescent="0.25">
      <c r="A13">
        <v>12</v>
      </c>
      <c r="B13" t="s">
        <v>60</v>
      </c>
      <c r="C13">
        <v>20</v>
      </c>
    </row>
    <row r="14" spans="1:12" x14ac:dyDescent="0.25">
      <c r="A14">
        <v>13</v>
      </c>
      <c r="B14" t="s">
        <v>60</v>
      </c>
      <c r="C14">
        <v>34</v>
      </c>
    </row>
    <row r="15" spans="1:12" x14ac:dyDescent="0.25">
      <c r="A15">
        <v>14</v>
      </c>
      <c r="B15" t="s">
        <v>60</v>
      </c>
      <c r="C15">
        <v>29</v>
      </c>
    </row>
    <row r="16" spans="1:12" x14ac:dyDescent="0.25">
      <c r="A16">
        <v>15</v>
      </c>
      <c r="B16" t="s">
        <v>60</v>
      </c>
      <c r="C16">
        <v>31</v>
      </c>
    </row>
    <row r="17" spans="1:3" x14ac:dyDescent="0.25">
      <c r="A17">
        <v>16</v>
      </c>
      <c r="B17" t="s">
        <v>60</v>
      </c>
      <c r="C17">
        <v>31</v>
      </c>
    </row>
    <row r="18" spans="1:3" x14ac:dyDescent="0.25">
      <c r="A18">
        <v>17</v>
      </c>
      <c r="B18" t="s">
        <v>61</v>
      </c>
      <c r="C18">
        <v>13</v>
      </c>
    </row>
    <row r="19" spans="1:3" x14ac:dyDescent="0.25">
      <c r="A19">
        <v>18</v>
      </c>
      <c r="B19" t="s">
        <v>60</v>
      </c>
      <c r="C19">
        <v>21</v>
      </c>
    </row>
    <row r="20" spans="1:3" x14ac:dyDescent="0.25">
      <c r="A20">
        <v>19</v>
      </c>
      <c r="B20" t="s">
        <v>59</v>
      </c>
      <c r="C20">
        <v>22</v>
      </c>
    </row>
    <row r="21" spans="1:3" x14ac:dyDescent="0.25">
      <c r="A21">
        <v>20</v>
      </c>
      <c r="B21" t="s">
        <v>61</v>
      </c>
      <c r="C21">
        <v>39</v>
      </c>
    </row>
    <row r="22" spans="1:3" x14ac:dyDescent="0.25">
      <c r="A22">
        <v>21</v>
      </c>
      <c r="B22" t="s">
        <v>60</v>
      </c>
      <c r="C22">
        <v>29</v>
      </c>
    </row>
    <row r="23" spans="1:3" x14ac:dyDescent="0.25">
      <c r="A23">
        <v>22</v>
      </c>
      <c r="B23" t="s">
        <v>60</v>
      </c>
      <c r="C23">
        <v>20</v>
      </c>
    </row>
    <row r="24" spans="1:3" x14ac:dyDescent="0.25">
      <c r="A24">
        <v>23</v>
      </c>
      <c r="B24" t="s">
        <v>60</v>
      </c>
      <c r="C24">
        <v>19</v>
      </c>
    </row>
    <row r="25" spans="1:3" x14ac:dyDescent="0.25">
      <c r="A25">
        <v>24</v>
      </c>
      <c r="B25" t="s">
        <v>60</v>
      </c>
      <c r="C25">
        <v>34</v>
      </c>
    </row>
    <row r="26" spans="1:3" x14ac:dyDescent="0.25">
      <c r="A26">
        <v>25</v>
      </c>
      <c r="B26" t="s">
        <v>59</v>
      </c>
      <c r="C26">
        <v>12</v>
      </c>
    </row>
    <row r="27" spans="1:3" x14ac:dyDescent="0.25">
      <c r="A27">
        <v>26</v>
      </c>
      <c r="B27" t="s">
        <v>59</v>
      </c>
      <c r="C27">
        <v>14</v>
      </c>
    </row>
    <row r="28" spans="1:3" x14ac:dyDescent="0.25">
      <c r="A28">
        <v>27</v>
      </c>
      <c r="B28" t="s">
        <v>61</v>
      </c>
      <c r="C28">
        <v>34</v>
      </c>
    </row>
    <row r="29" spans="1:3" x14ac:dyDescent="0.25">
      <c r="A29">
        <v>28</v>
      </c>
      <c r="B29" t="s">
        <v>59</v>
      </c>
      <c r="C29">
        <v>10</v>
      </c>
    </row>
    <row r="30" spans="1:3" x14ac:dyDescent="0.25">
      <c r="A30">
        <v>29</v>
      </c>
      <c r="B30" t="s">
        <v>61</v>
      </c>
      <c r="C30">
        <v>33</v>
      </c>
    </row>
    <row r="31" spans="1:3" x14ac:dyDescent="0.25">
      <c r="A31">
        <v>30</v>
      </c>
      <c r="B31" t="s">
        <v>59</v>
      </c>
      <c r="C31">
        <v>12</v>
      </c>
    </row>
    <row r="32" spans="1:3" x14ac:dyDescent="0.25">
      <c r="A32">
        <v>31</v>
      </c>
      <c r="B32" t="s">
        <v>60</v>
      </c>
      <c r="C32">
        <v>28</v>
      </c>
    </row>
    <row r="33" spans="1:3" x14ac:dyDescent="0.25">
      <c r="A33">
        <v>32</v>
      </c>
      <c r="B33" t="s">
        <v>59</v>
      </c>
      <c r="C33">
        <v>20</v>
      </c>
    </row>
    <row r="34" spans="1:3" x14ac:dyDescent="0.25">
      <c r="A34">
        <v>33</v>
      </c>
      <c r="B34" t="s">
        <v>61</v>
      </c>
      <c r="C34">
        <v>56</v>
      </c>
    </row>
    <row r="35" spans="1:3" x14ac:dyDescent="0.25">
      <c r="A35">
        <v>34</v>
      </c>
      <c r="B35" t="s">
        <v>59</v>
      </c>
      <c r="C35">
        <v>19</v>
      </c>
    </row>
    <row r="36" spans="1:3" x14ac:dyDescent="0.25">
      <c r="A36">
        <v>35</v>
      </c>
      <c r="B36" t="s">
        <v>60</v>
      </c>
      <c r="C36">
        <v>33</v>
      </c>
    </row>
    <row r="37" spans="1:3" x14ac:dyDescent="0.25">
      <c r="A37">
        <v>36</v>
      </c>
      <c r="B37" t="s">
        <v>60</v>
      </c>
      <c r="C37">
        <v>35</v>
      </c>
    </row>
    <row r="38" spans="1:3" x14ac:dyDescent="0.25">
      <c r="A38">
        <v>37</v>
      </c>
      <c r="B38" t="s">
        <v>59</v>
      </c>
      <c r="C38">
        <v>16</v>
      </c>
    </row>
    <row r="39" spans="1:3" x14ac:dyDescent="0.25">
      <c r="A39">
        <v>38</v>
      </c>
      <c r="B39" t="s">
        <v>59</v>
      </c>
      <c r="C39">
        <v>20</v>
      </c>
    </row>
    <row r="40" spans="1:3" x14ac:dyDescent="0.25">
      <c r="A40">
        <v>39</v>
      </c>
      <c r="B40" t="s">
        <v>60</v>
      </c>
      <c r="C40">
        <v>30</v>
      </c>
    </row>
    <row r="41" spans="1:3" x14ac:dyDescent="0.25">
      <c r="A41">
        <v>40</v>
      </c>
      <c r="B41" t="s">
        <v>59</v>
      </c>
      <c r="C41">
        <v>17</v>
      </c>
    </row>
    <row r="42" spans="1:3" x14ac:dyDescent="0.25">
      <c r="A42">
        <v>41</v>
      </c>
      <c r="B42" t="s">
        <v>61</v>
      </c>
      <c r="C42">
        <v>33</v>
      </c>
    </row>
    <row r="43" spans="1:3" x14ac:dyDescent="0.25">
      <c r="A43">
        <v>42</v>
      </c>
      <c r="B43" t="s">
        <v>60</v>
      </c>
      <c r="C43">
        <v>22</v>
      </c>
    </row>
    <row r="44" spans="1:3" x14ac:dyDescent="0.25">
      <c r="A44">
        <v>43</v>
      </c>
      <c r="B44" t="s">
        <v>61</v>
      </c>
      <c r="C44">
        <v>55</v>
      </c>
    </row>
    <row r="45" spans="1:3" x14ac:dyDescent="0.25">
      <c r="A45">
        <v>44</v>
      </c>
      <c r="B45" t="s">
        <v>60</v>
      </c>
      <c r="C45">
        <v>22</v>
      </c>
    </row>
    <row r="46" spans="1:3" x14ac:dyDescent="0.25">
      <c r="A46">
        <v>45</v>
      </c>
      <c r="B46" t="s">
        <v>61</v>
      </c>
      <c r="C46">
        <v>44</v>
      </c>
    </row>
    <row r="47" spans="1:3" x14ac:dyDescent="0.25">
      <c r="A47">
        <v>46</v>
      </c>
      <c r="B47" t="s">
        <v>60</v>
      </c>
      <c r="C47">
        <v>20</v>
      </c>
    </row>
    <row r="48" spans="1:3" x14ac:dyDescent="0.25">
      <c r="A48">
        <v>47</v>
      </c>
      <c r="B48" t="s">
        <v>60</v>
      </c>
      <c r="C48">
        <v>31</v>
      </c>
    </row>
    <row r="49" spans="1:3" x14ac:dyDescent="0.25">
      <c r="A49">
        <v>48</v>
      </c>
      <c r="B49" t="s">
        <v>59</v>
      </c>
      <c r="C49">
        <v>21</v>
      </c>
    </row>
    <row r="50" spans="1:3" x14ac:dyDescent="0.25">
      <c r="A50">
        <v>49</v>
      </c>
      <c r="B50" t="s">
        <v>60</v>
      </c>
      <c r="C50">
        <v>33</v>
      </c>
    </row>
    <row r="51" spans="1:3" x14ac:dyDescent="0.25">
      <c r="A51">
        <v>50</v>
      </c>
      <c r="B51" t="s">
        <v>60</v>
      </c>
      <c r="C51">
        <v>27</v>
      </c>
    </row>
    <row r="52" spans="1:3" x14ac:dyDescent="0.25">
      <c r="A52">
        <v>51</v>
      </c>
      <c r="B52" t="s">
        <v>59</v>
      </c>
      <c r="C52">
        <v>20</v>
      </c>
    </row>
    <row r="53" spans="1:3" x14ac:dyDescent="0.25">
      <c r="A53">
        <v>52</v>
      </c>
      <c r="B53" t="s">
        <v>59</v>
      </c>
      <c r="C53">
        <v>11</v>
      </c>
    </row>
    <row r="54" spans="1:3" x14ac:dyDescent="0.25">
      <c r="A54">
        <v>53</v>
      </c>
      <c r="B54" t="s">
        <v>59</v>
      </c>
      <c r="C54">
        <v>22</v>
      </c>
    </row>
    <row r="55" spans="1:3" x14ac:dyDescent="0.25">
      <c r="A55">
        <v>54</v>
      </c>
      <c r="B55" t="s">
        <v>59</v>
      </c>
      <c r="C55">
        <v>20</v>
      </c>
    </row>
    <row r="56" spans="1:3" x14ac:dyDescent="0.25">
      <c r="A56">
        <v>55</v>
      </c>
      <c r="B56" t="s">
        <v>59</v>
      </c>
      <c r="C56">
        <v>22</v>
      </c>
    </row>
    <row r="57" spans="1:3" x14ac:dyDescent="0.25">
      <c r="A57">
        <v>56</v>
      </c>
      <c r="B57" t="s">
        <v>59</v>
      </c>
      <c r="C57">
        <v>25</v>
      </c>
    </row>
    <row r="58" spans="1:3" x14ac:dyDescent="0.25">
      <c r="A58">
        <v>57</v>
      </c>
      <c r="B58" t="s">
        <v>59</v>
      </c>
      <c r="C58">
        <v>16</v>
      </c>
    </row>
    <row r="59" spans="1:3" x14ac:dyDescent="0.25">
      <c r="A59">
        <v>58</v>
      </c>
      <c r="B59" t="s">
        <v>59</v>
      </c>
      <c r="C59">
        <v>20</v>
      </c>
    </row>
    <row r="60" spans="1:3" x14ac:dyDescent="0.25">
      <c r="A60">
        <v>59</v>
      </c>
      <c r="B60" t="s">
        <v>60</v>
      </c>
      <c r="C60">
        <v>34</v>
      </c>
    </row>
    <row r="61" spans="1:3" x14ac:dyDescent="0.25">
      <c r="A61">
        <v>60</v>
      </c>
      <c r="B61" t="s">
        <v>60</v>
      </c>
      <c r="C61">
        <v>30</v>
      </c>
    </row>
    <row r="62" spans="1:3" x14ac:dyDescent="0.25">
      <c r="A62">
        <v>61</v>
      </c>
      <c r="B62" t="s">
        <v>59</v>
      </c>
      <c r="C62">
        <v>14</v>
      </c>
    </row>
    <row r="63" spans="1:3" x14ac:dyDescent="0.25">
      <c r="A63">
        <v>62</v>
      </c>
      <c r="B63" t="s">
        <v>60</v>
      </c>
      <c r="C63">
        <v>28</v>
      </c>
    </row>
    <row r="64" spans="1:3" x14ac:dyDescent="0.25">
      <c r="A64">
        <v>63</v>
      </c>
      <c r="B64" t="s">
        <v>59</v>
      </c>
      <c r="C64">
        <v>12</v>
      </c>
    </row>
    <row r="65" spans="1:3" x14ac:dyDescent="0.25">
      <c r="A65">
        <v>64</v>
      </c>
      <c r="B65" t="s">
        <v>60</v>
      </c>
      <c r="C65">
        <v>27</v>
      </c>
    </row>
    <row r="66" spans="1:3" x14ac:dyDescent="0.25">
      <c r="A66">
        <v>65</v>
      </c>
      <c r="B66" t="s">
        <v>61</v>
      </c>
      <c r="C66">
        <v>57</v>
      </c>
    </row>
    <row r="67" spans="1:3" x14ac:dyDescent="0.25">
      <c r="A67">
        <v>66</v>
      </c>
      <c r="B67" t="s">
        <v>61</v>
      </c>
      <c r="C67">
        <v>36</v>
      </c>
    </row>
    <row r="68" spans="1:3" x14ac:dyDescent="0.25">
      <c r="A68">
        <v>67</v>
      </c>
      <c r="B68" t="s">
        <v>59</v>
      </c>
      <c r="C68">
        <v>11</v>
      </c>
    </row>
    <row r="69" spans="1:3" x14ac:dyDescent="0.25">
      <c r="A69">
        <v>68</v>
      </c>
      <c r="B69" t="s">
        <v>61</v>
      </c>
      <c r="C69">
        <v>44</v>
      </c>
    </row>
    <row r="70" spans="1:3" x14ac:dyDescent="0.25">
      <c r="A70">
        <v>69</v>
      </c>
      <c r="B70" t="s">
        <v>59</v>
      </c>
      <c r="C70">
        <v>25</v>
      </c>
    </row>
    <row r="71" spans="1:3" x14ac:dyDescent="0.25">
      <c r="A71">
        <v>70</v>
      </c>
      <c r="B71" t="s">
        <v>61</v>
      </c>
      <c r="C71">
        <v>48</v>
      </c>
    </row>
    <row r="72" spans="1:3" x14ac:dyDescent="0.25">
      <c r="A72">
        <v>71</v>
      </c>
      <c r="B72" t="s">
        <v>60</v>
      </c>
      <c r="C72">
        <v>18</v>
      </c>
    </row>
    <row r="73" spans="1:3" x14ac:dyDescent="0.25">
      <c r="A73">
        <v>72</v>
      </c>
      <c r="B73" t="s">
        <v>60</v>
      </c>
      <c r="C73">
        <v>32</v>
      </c>
    </row>
    <row r="74" spans="1:3" x14ac:dyDescent="0.25">
      <c r="A74">
        <v>73</v>
      </c>
      <c r="B74" t="s">
        <v>59</v>
      </c>
      <c r="C74">
        <v>10</v>
      </c>
    </row>
    <row r="75" spans="1:3" x14ac:dyDescent="0.25">
      <c r="A75">
        <v>74</v>
      </c>
      <c r="B75" t="s">
        <v>59</v>
      </c>
      <c r="C75">
        <v>12</v>
      </c>
    </row>
    <row r="76" spans="1:3" x14ac:dyDescent="0.25">
      <c r="A76">
        <v>75</v>
      </c>
      <c r="B76" t="s">
        <v>59</v>
      </c>
      <c r="C76">
        <v>13</v>
      </c>
    </row>
    <row r="77" spans="1:3" x14ac:dyDescent="0.25">
      <c r="A77">
        <v>76</v>
      </c>
      <c r="B77" t="s">
        <v>61</v>
      </c>
      <c r="C77">
        <v>37</v>
      </c>
    </row>
    <row r="78" spans="1:3" x14ac:dyDescent="0.25">
      <c r="A78">
        <v>77</v>
      </c>
      <c r="B78" t="s">
        <v>59</v>
      </c>
      <c r="C78">
        <v>13</v>
      </c>
    </row>
    <row r="79" spans="1:3" x14ac:dyDescent="0.25">
      <c r="A79">
        <v>78</v>
      </c>
      <c r="B79" t="s">
        <v>60</v>
      </c>
      <c r="C79">
        <v>25</v>
      </c>
    </row>
    <row r="80" spans="1:3" x14ac:dyDescent="0.25">
      <c r="A80">
        <v>79</v>
      </c>
      <c r="B80" t="s">
        <v>60</v>
      </c>
      <c r="C80">
        <v>22</v>
      </c>
    </row>
    <row r="81" spans="1:3" x14ac:dyDescent="0.25">
      <c r="A81">
        <v>80</v>
      </c>
      <c r="B81" t="s">
        <v>60</v>
      </c>
      <c r="C81">
        <v>25</v>
      </c>
    </row>
    <row r="82" spans="1:3" x14ac:dyDescent="0.25">
      <c r="A82">
        <v>81</v>
      </c>
      <c r="B82" t="s">
        <v>60</v>
      </c>
      <c r="C82">
        <v>28</v>
      </c>
    </row>
    <row r="83" spans="1:3" x14ac:dyDescent="0.25">
      <c r="A83">
        <v>82</v>
      </c>
      <c r="B83" t="s">
        <v>60</v>
      </c>
      <c r="C83">
        <v>33</v>
      </c>
    </row>
    <row r="84" spans="1:3" x14ac:dyDescent="0.25">
      <c r="A84">
        <v>83</v>
      </c>
      <c r="B84" t="s">
        <v>59</v>
      </c>
      <c r="C84">
        <v>11</v>
      </c>
    </row>
    <row r="85" spans="1:3" x14ac:dyDescent="0.25">
      <c r="A85">
        <v>84</v>
      </c>
      <c r="B85" t="s">
        <v>61</v>
      </c>
      <c r="C85">
        <v>51</v>
      </c>
    </row>
    <row r="86" spans="1:3" x14ac:dyDescent="0.25">
      <c r="A86">
        <v>85</v>
      </c>
      <c r="B86" t="s">
        <v>59</v>
      </c>
      <c r="C86">
        <v>14</v>
      </c>
    </row>
    <row r="87" spans="1:3" x14ac:dyDescent="0.25">
      <c r="A87">
        <v>86</v>
      </c>
      <c r="B87" t="s">
        <v>60</v>
      </c>
      <c r="C87">
        <v>19</v>
      </c>
    </row>
    <row r="88" spans="1:3" x14ac:dyDescent="0.25">
      <c r="A88">
        <v>87</v>
      </c>
      <c r="B88" t="s">
        <v>59</v>
      </c>
      <c r="C88">
        <v>19</v>
      </c>
    </row>
    <row r="89" spans="1:3" x14ac:dyDescent="0.25">
      <c r="A89">
        <v>88</v>
      </c>
      <c r="B89" t="s">
        <v>60</v>
      </c>
      <c r="C89">
        <v>31</v>
      </c>
    </row>
    <row r="90" spans="1:3" x14ac:dyDescent="0.25">
      <c r="A90">
        <v>89</v>
      </c>
      <c r="B90" t="s">
        <v>59</v>
      </c>
      <c r="C90">
        <v>17</v>
      </c>
    </row>
    <row r="91" spans="1:3" x14ac:dyDescent="0.25">
      <c r="A91">
        <v>90</v>
      </c>
      <c r="B91" t="s">
        <v>60</v>
      </c>
      <c r="C91">
        <v>33</v>
      </c>
    </row>
    <row r="92" spans="1:3" x14ac:dyDescent="0.25">
      <c r="A92">
        <v>91</v>
      </c>
      <c r="B92" t="s">
        <v>60</v>
      </c>
      <c r="C92">
        <v>28</v>
      </c>
    </row>
    <row r="93" spans="1:3" x14ac:dyDescent="0.25">
      <c r="A93">
        <v>92</v>
      </c>
      <c r="B93" t="s">
        <v>59</v>
      </c>
      <c r="C93">
        <v>19</v>
      </c>
    </row>
    <row r="94" spans="1:3" x14ac:dyDescent="0.25">
      <c r="A94">
        <v>93</v>
      </c>
      <c r="B94" t="s">
        <v>59</v>
      </c>
      <c r="C94">
        <v>23</v>
      </c>
    </row>
    <row r="95" spans="1:3" x14ac:dyDescent="0.25">
      <c r="A95">
        <v>94</v>
      </c>
      <c r="B95" t="s">
        <v>60</v>
      </c>
      <c r="C95">
        <v>23</v>
      </c>
    </row>
    <row r="96" spans="1:3" x14ac:dyDescent="0.25">
      <c r="A96">
        <v>95</v>
      </c>
      <c r="B96" t="s">
        <v>59</v>
      </c>
      <c r="C96">
        <v>15</v>
      </c>
    </row>
    <row r="97" spans="1:3" x14ac:dyDescent="0.25">
      <c r="A97">
        <v>96</v>
      </c>
      <c r="B97" t="s">
        <v>60</v>
      </c>
      <c r="C97">
        <v>22</v>
      </c>
    </row>
    <row r="98" spans="1:3" x14ac:dyDescent="0.25">
      <c r="A98">
        <v>97</v>
      </c>
      <c r="B98" t="s">
        <v>60</v>
      </c>
      <c r="C98">
        <v>21</v>
      </c>
    </row>
    <row r="99" spans="1:3" x14ac:dyDescent="0.25">
      <c r="A99">
        <v>98</v>
      </c>
      <c r="B99" t="s">
        <v>61</v>
      </c>
      <c r="C99">
        <v>37</v>
      </c>
    </row>
    <row r="100" spans="1:3" x14ac:dyDescent="0.25">
      <c r="A100">
        <v>99</v>
      </c>
      <c r="B100" t="s">
        <v>59</v>
      </c>
      <c r="C100">
        <v>23</v>
      </c>
    </row>
    <row r="101" spans="1:3" x14ac:dyDescent="0.25">
      <c r="A101">
        <v>100</v>
      </c>
      <c r="B101" t="s">
        <v>60</v>
      </c>
      <c r="C101">
        <v>21</v>
      </c>
    </row>
    <row r="102" spans="1:3" x14ac:dyDescent="0.25">
      <c r="A102">
        <v>101</v>
      </c>
      <c r="B102" t="s">
        <v>60</v>
      </c>
      <c r="C102">
        <v>23</v>
      </c>
    </row>
    <row r="103" spans="1:3" x14ac:dyDescent="0.25">
      <c r="A103">
        <v>102</v>
      </c>
      <c r="B103" t="s">
        <v>59</v>
      </c>
      <c r="C103">
        <v>17</v>
      </c>
    </row>
    <row r="104" spans="1:3" x14ac:dyDescent="0.25">
      <c r="A104">
        <v>103</v>
      </c>
      <c r="B104" t="s">
        <v>61</v>
      </c>
      <c r="C104">
        <v>59</v>
      </c>
    </row>
    <row r="105" spans="1:3" x14ac:dyDescent="0.25">
      <c r="A105">
        <v>104</v>
      </c>
      <c r="B105" t="s">
        <v>61</v>
      </c>
      <c r="C105">
        <v>50</v>
      </c>
    </row>
    <row r="106" spans="1:3" x14ac:dyDescent="0.25">
      <c r="A106">
        <v>105</v>
      </c>
      <c r="B106" t="s">
        <v>61</v>
      </c>
      <c r="C106">
        <v>60</v>
      </c>
    </row>
    <row r="107" spans="1:3" x14ac:dyDescent="0.25">
      <c r="A107">
        <v>106</v>
      </c>
      <c r="B107" t="s">
        <v>61</v>
      </c>
      <c r="C107">
        <v>31</v>
      </c>
    </row>
    <row r="108" spans="1:3" x14ac:dyDescent="0.25">
      <c r="A108">
        <v>107</v>
      </c>
      <c r="B108" t="s">
        <v>59</v>
      </c>
      <c r="C108">
        <v>24</v>
      </c>
    </row>
    <row r="109" spans="1:3" x14ac:dyDescent="0.25">
      <c r="A109">
        <v>108</v>
      </c>
      <c r="B109" t="s">
        <v>61</v>
      </c>
      <c r="C109">
        <v>34</v>
      </c>
    </row>
    <row r="110" spans="1:3" x14ac:dyDescent="0.25">
      <c r="A110">
        <v>109</v>
      </c>
      <c r="B110" t="s">
        <v>59</v>
      </c>
      <c r="C110">
        <v>19</v>
      </c>
    </row>
    <row r="111" spans="1:3" x14ac:dyDescent="0.25">
      <c r="A111">
        <v>110</v>
      </c>
      <c r="B111" t="s">
        <v>59</v>
      </c>
      <c r="C111">
        <v>10</v>
      </c>
    </row>
    <row r="112" spans="1:3" x14ac:dyDescent="0.25">
      <c r="A112">
        <v>111</v>
      </c>
      <c r="B112" t="s">
        <v>60</v>
      </c>
      <c r="C112">
        <v>21</v>
      </c>
    </row>
    <row r="113" spans="1:3" x14ac:dyDescent="0.25">
      <c r="A113">
        <v>112</v>
      </c>
      <c r="B113" t="s">
        <v>59</v>
      </c>
      <c r="C113">
        <v>15</v>
      </c>
    </row>
    <row r="114" spans="1:3" x14ac:dyDescent="0.25">
      <c r="A114">
        <v>113</v>
      </c>
      <c r="B114" t="s">
        <v>59</v>
      </c>
      <c r="C114">
        <v>20</v>
      </c>
    </row>
    <row r="115" spans="1:3" x14ac:dyDescent="0.25">
      <c r="A115">
        <v>114</v>
      </c>
      <c r="B115" t="s">
        <v>61</v>
      </c>
      <c r="C115">
        <v>47</v>
      </c>
    </row>
    <row r="116" spans="1:3" x14ac:dyDescent="0.25">
      <c r="A116">
        <v>115</v>
      </c>
      <c r="B116" t="s">
        <v>60</v>
      </c>
      <c r="C116">
        <v>30</v>
      </c>
    </row>
    <row r="117" spans="1:3" x14ac:dyDescent="0.25">
      <c r="A117">
        <v>116</v>
      </c>
      <c r="B117" t="s">
        <v>59</v>
      </c>
      <c r="C117">
        <v>10</v>
      </c>
    </row>
    <row r="118" spans="1:3" x14ac:dyDescent="0.25">
      <c r="A118">
        <v>117</v>
      </c>
      <c r="B118" t="s">
        <v>60</v>
      </c>
      <c r="C118">
        <v>29</v>
      </c>
    </row>
    <row r="119" spans="1:3" x14ac:dyDescent="0.25">
      <c r="A119">
        <v>118</v>
      </c>
      <c r="B119" t="s">
        <v>60</v>
      </c>
      <c r="C119">
        <v>24</v>
      </c>
    </row>
    <row r="120" spans="1:3" x14ac:dyDescent="0.25">
      <c r="A120">
        <v>119</v>
      </c>
      <c r="B120" t="s">
        <v>59</v>
      </c>
      <c r="C120">
        <v>13</v>
      </c>
    </row>
    <row r="121" spans="1:3" x14ac:dyDescent="0.25">
      <c r="A121">
        <v>120</v>
      </c>
      <c r="B121" t="s">
        <v>61</v>
      </c>
      <c r="C121">
        <v>43</v>
      </c>
    </row>
    <row r="122" spans="1:3" x14ac:dyDescent="0.25">
      <c r="A122">
        <v>121</v>
      </c>
      <c r="B122" t="s">
        <v>60</v>
      </c>
      <c r="C122">
        <v>25</v>
      </c>
    </row>
    <row r="123" spans="1:3" x14ac:dyDescent="0.25">
      <c r="A123">
        <v>122</v>
      </c>
      <c r="B123" t="s">
        <v>59</v>
      </c>
      <c r="C123">
        <v>20</v>
      </c>
    </row>
    <row r="124" spans="1:3" x14ac:dyDescent="0.25">
      <c r="A124">
        <v>123</v>
      </c>
      <c r="B124" t="s">
        <v>59</v>
      </c>
      <c r="C124">
        <v>17</v>
      </c>
    </row>
    <row r="125" spans="1:3" x14ac:dyDescent="0.25">
      <c r="A125">
        <v>124</v>
      </c>
      <c r="B125" t="s">
        <v>59</v>
      </c>
      <c r="C125">
        <v>24</v>
      </c>
    </row>
    <row r="126" spans="1:3" x14ac:dyDescent="0.25">
      <c r="A126">
        <v>125</v>
      </c>
      <c r="B126" t="s">
        <v>61</v>
      </c>
      <c r="C126">
        <v>38</v>
      </c>
    </row>
    <row r="127" spans="1:3" x14ac:dyDescent="0.25">
      <c r="A127">
        <v>126</v>
      </c>
      <c r="B127" t="s">
        <v>60</v>
      </c>
      <c r="C127">
        <v>34</v>
      </c>
    </row>
    <row r="128" spans="1:3" x14ac:dyDescent="0.25">
      <c r="A128">
        <v>127</v>
      </c>
      <c r="B128" t="s">
        <v>59</v>
      </c>
      <c r="C128">
        <v>15</v>
      </c>
    </row>
    <row r="129" spans="1:3" x14ac:dyDescent="0.25">
      <c r="A129">
        <v>128</v>
      </c>
      <c r="B129" t="s">
        <v>59</v>
      </c>
      <c r="C129">
        <v>20</v>
      </c>
    </row>
    <row r="130" spans="1:3" x14ac:dyDescent="0.25">
      <c r="A130">
        <v>129</v>
      </c>
      <c r="B130" t="s">
        <v>61</v>
      </c>
      <c r="C130">
        <v>60</v>
      </c>
    </row>
    <row r="131" spans="1:3" x14ac:dyDescent="0.25">
      <c r="A131">
        <v>130</v>
      </c>
      <c r="B131" t="s">
        <v>59</v>
      </c>
      <c r="C131">
        <v>20</v>
      </c>
    </row>
    <row r="132" spans="1:3" x14ac:dyDescent="0.25">
      <c r="A132">
        <v>131</v>
      </c>
      <c r="B132" t="s">
        <v>61</v>
      </c>
      <c r="C132">
        <v>33</v>
      </c>
    </row>
    <row r="133" spans="1:3" x14ac:dyDescent="0.25">
      <c r="A133">
        <v>132</v>
      </c>
      <c r="B133" t="s">
        <v>60</v>
      </c>
      <c r="C133">
        <v>27</v>
      </c>
    </row>
    <row r="134" spans="1:3" x14ac:dyDescent="0.25">
      <c r="A134">
        <v>133</v>
      </c>
      <c r="B134" t="s">
        <v>59</v>
      </c>
      <c r="C134">
        <v>10</v>
      </c>
    </row>
    <row r="135" spans="1:3" x14ac:dyDescent="0.25">
      <c r="A135">
        <v>134</v>
      </c>
      <c r="B135" t="s">
        <v>59</v>
      </c>
      <c r="C135">
        <v>11</v>
      </c>
    </row>
    <row r="136" spans="1:3" x14ac:dyDescent="0.25">
      <c r="A136">
        <v>135</v>
      </c>
      <c r="B136" t="s">
        <v>61</v>
      </c>
      <c r="C136">
        <v>39</v>
      </c>
    </row>
    <row r="137" spans="1:3" x14ac:dyDescent="0.25">
      <c r="A137">
        <v>136</v>
      </c>
      <c r="B137" t="s">
        <v>61</v>
      </c>
      <c r="C137">
        <v>33</v>
      </c>
    </row>
    <row r="138" spans="1:3" x14ac:dyDescent="0.25">
      <c r="A138">
        <v>137</v>
      </c>
      <c r="B138" t="s">
        <v>59</v>
      </c>
      <c r="C138">
        <v>10</v>
      </c>
    </row>
    <row r="139" spans="1:3" x14ac:dyDescent="0.25">
      <c r="A139">
        <v>138</v>
      </c>
      <c r="B139" t="s">
        <v>60</v>
      </c>
      <c r="C139">
        <v>28</v>
      </c>
    </row>
    <row r="140" spans="1:3" x14ac:dyDescent="0.25">
      <c r="A140">
        <v>139</v>
      </c>
      <c r="B140" t="s">
        <v>60</v>
      </c>
      <c r="C140">
        <v>34</v>
      </c>
    </row>
    <row r="141" spans="1:3" x14ac:dyDescent="0.25">
      <c r="A141">
        <v>140</v>
      </c>
      <c r="B141" t="s">
        <v>60</v>
      </c>
      <c r="C141">
        <v>30</v>
      </c>
    </row>
    <row r="142" spans="1:3" x14ac:dyDescent="0.25">
      <c r="A142">
        <v>141</v>
      </c>
      <c r="B142" t="s">
        <v>60</v>
      </c>
      <c r="C142">
        <v>20</v>
      </c>
    </row>
    <row r="143" spans="1:3" x14ac:dyDescent="0.25">
      <c r="A143">
        <v>142</v>
      </c>
      <c r="B143" t="s">
        <v>60</v>
      </c>
      <c r="C143">
        <v>35</v>
      </c>
    </row>
    <row r="144" spans="1:3" x14ac:dyDescent="0.25">
      <c r="A144">
        <v>143</v>
      </c>
      <c r="B144" t="s">
        <v>59</v>
      </c>
      <c r="C144">
        <v>24</v>
      </c>
    </row>
    <row r="145" spans="1:3" x14ac:dyDescent="0.25">
      <c r="A145">
        <v>144</v>
      </c>
      <c r="B145" t="s">
        <v>60</v>
      </c>
      <c r="C145">
        <v>31</v>
      </c>
    </row>
    <row r="146" spans="1:3" x14ac:dyDescent="0.25">
      <c r="A146">
        <v>145</v>
      </c>
      <c r="B146" t="s">
        <v>60</v>
      </c>
      <c r="C146">
        <v>19</v>
      </c>
    </row>
    <row r="147" spans="1:3" x14ac:dyDescent="0.25">
      <c r="A147">
        <v>146</v>
      </c>
      <c r="B147" t="s">
        <v>61</v>
      </c>
      <c r="C147">
        <v>46</v>
      </c>
    </row>
    <row r="148" spans="1:3" x14ac:dyDescent="0.25">
      <c r="A148">
        <v>147</v>
      </c>
      <c r="B148" t="s">
        <v>59</v>
      </c>
      <c r="C148">
        <v>18</v>
      </c>
    </row>
    <row r="149" spans="1:3" x14ac:dyDescent="0.25">
      <c r="A149">
        <v>148</v>
      </c>
      <c r="B149" t="s">
        <v>59</v>
      </c>
      <c r="C149">
        <v>25</v>
      </c>
    </row>
    <row r="150" spans="1:3" x14ac:dyDescent="0.25">
      <c r="A150">
        <v>149</v>
      </c>
      <c r="B150" t="s">
        <v>59</v>
      </c>
      <c r="C150">
        <v>11</v>
      </c>
    </row>
    <row r="151" spans="1:3" x14ac:dyDescent="0.25">
      <c r="A151">
        <v>150</v>
      </c>
      <c r="B151" t="s">
        <v>59</v>
      </c>
      <c r="C151">
        <v>20</v>
      </c>
    </row>
    <row r="152" spans="1:3" x14ac:dyDescent="0.25">
      <c r="A152">
        <v>151</v>
      </c>
      <c r="B152" t="s">
        <v>61</v>
      </c>
      <c r="C152">
        <v>60</v>
      </c>
    </row>
    <row r="153" spans="1:3" x14ac:dyDescent="0.25">
      <c r="A153">
        <v>152</v>
      </c>
      <c r="B153" t="s">
        <v>60</v>
      </c>
      <c r="C153">
        <v>21</v>
      </c>
    </row>
    <row r="154" spans="1:3" x14ac:dyDescent="0.25">
      <c r="A154">
        <v>153</v>
      </c>
      <c r="B154" t="s">
        <v>59</v>
      </c>
      <c r="C154">
        <v>19</v>
      </c>
    </row>
    <row r="155" spans="1:3" x14ac:dyDescent="0.25">
      <c r="A155">
        <v>154</v>
      </c>
      <c r="B155" t="s">
        <v>61</v>
      </c>
      <c r="C155">
        <v>52</v>
      </c>
    </row>
    <row r="156" spans="1:3" x14ac:dyDescent="0.25">
      <c r="A156">
        <v>155</v>
      </c>
      <c r="B156" t="s">
        <v>60</v>
      </c>
      <c r="C156">
        <v>24</v>
      </c>
    </row>
    <row r="157" spans="1:3" x14ac:dyDescent="0.25">
      <c r="A157">
        <v>156</v>
      </c>
      <c r="B157" t="s">
        <v>59</v>
      </c>
      <c r="C157">
        <v>12</v>
      </c>
    </row>
    <row r="158" spans="1:3" x14ac:dyDescent="0.25">
      <c r="A158">
        <v>157</v>
      </c>
      <c r="B158" t="s">
        <v>60</v>
      </c>
      <c r="C158">
        <v>30</v>
      </c>
    </row>
    <row r="159" spans="1:3" x14ac:dyDescent="0.25">
      <c r="A159">
        <v>158</v>
      </c>
      <c r="B159" t="s">
        <v>60</v>
      </c>
      <c r="C159">
        <v>33</v>
      </c>
    </row>
    <row r="160" spans="1:3" x14ac:dyDescent="0.25">
      <c r="A160">
        <v>159</v>
      </c>
      <c r="B160" t="s">
        <v>59</v>
      </c>
      <c r="C160">
        <v>11</v>
      </c>
    </row>
    <row r="161" spans="1:3" x14ac:dyDescent="0.25">
      <c r="A161">
        <v>160</v>
      </c>
      <c r="B161" t="s">
        <v>59</v>
      </c>
      <c r="C161">
        <v>17</v>
      </c>
    </row>
    <row r="162" spans="1:3" x14ac:dyDescent="0.25">
      <c r="A162">
        <v>161</v>
      </c>
      <c r="B162" t="s">
        <v>59</v>
      </c>
      <c r="C162">
        <v>13</v>
      </c>
    </row>
    <row r="163" spans="1:3" x14ac:dyDescent="0.25">
      <c r="A163">
        <v>162</v>
      </c>
      <c r="B163" t="s">
        <v>60</v>
      </c>
      <c r="C163">
        <v>26</v>
      </c>
    </row>
    <row r="164" spans="1:3" x14ac:dyDescent="0.25">
      <c r="A164">
        <v>163</v>
      </c>
      <c r="B164" t="s">
        <v>61</v>
      </c>
      <c r="C164">
        <v>53</v>
      </c>
    </row>
    <row r="165" spans="1:3" x14ac:dyDescent="0.25">
      <c r="A165">
        <v>164</v>
      </c>
      <c r="B165" t="s">
        <v>59</v>
      </c>
      <c r="C165">
        <v>19</v>
      </c>
    </row>
    <row r="166" spans="1:3" x14ac:dyDescent="0.25">
      <c r="A166">
        <v>165</v>
      </c>
      <c r="B166" t="s">
        <v>59</v>
      </c>
      <c r="C166">
        <v>18</v>
      </c>
    </row>
    <row r="167" spans="1:3" x14ac:dyDescent="0.25">
      <c r="A167">
        <v>166</v>
      </c>
      <c r="B167" t="s">
        <v>59</v>
      </c>
      <c r="C167">
        <v>15</v>
      </c>
    </row>
    <row r="168" spans="1:3" x14ac:dyDescent="0.25">
      <c r="A168">
        <v>167</v>
      </c>
      <c r="B168" t="s">
        <v>59</v>
      </c>
      <c r="C168">
        <v>13</v>
      </c>
    </row>
    <row r="169" spans="1:3" x14ac:dyDescent="0.25">
      <c r="A169">
        <v>168</v>
      </c>
      <c r="B169" t="s">
        <v>60</v>
      </c>
      <c r="C169">
        <v>29</v>
      </c>
    </row>
    <row r="170" spans="1:3" x14ac:dyDescent="0.25">
      <c r="A170">
        <v>169</v>
      </c>
      <c r="B170" t="s">
        <v>60</v>
      </c>
      <c r="C170">
        <v>19</v>
      </c>
    </row>
    <row r="171" spans="1:3" x14ac:dyDescent="0.25">
      <c r="A171">
        <v>170</v>
      </c>
      <c r="B171" t="s">
        <v>60</v>
      </c>
      <c r="C171">
        <v>34</v>
      </c>
    </row>
    <row r="172" spans="1:3" x14ac:dyDescent="0.25">
      <c r="A172">
        <v>171</v>
      </c>
      <c r="B172" t="s">
        <v>59</v>
      </c>
      <c r="C172">
        <v>16</v>
      </c>
    </row>
    <row r="173" spans="1:3" x14ac:dyDescent="0.25">
      <c r="A173">
        <v>172</v>
      </c>
      <c r="B173" t="s">
        <v>59</v>
      </c>
      <c r="C173">
        <v>21</v>
      </c>
    </row>
    <row r="174" spans="1:3" x14ac:dyDescent="0.25">
      <c r="A174">
        <v>173</v>
      </c>
      <c r="B174" t="s">
        <v>59</v>
      </c>
      <c r="C174">
        <v>21</v>
      </c>
    </row>
    <row r="175" spans="1:3" x14ac:dyDescent="0.25">
      <c r="A175">
        <v>174</v>
      </c>
      <c r="B175" t="s">
        <v>59</v>
      </c>
      <c r="C175">
        <v>19</v>
      </c>
    </row>
    <row r="176" spans="1:3" x14ac:dyDescent="0.25">
      <c r="A176">
        <v>175</v>
      </c>
      <c r="B176" t="s">
        <v>59</v>
      </c>
      <c r="C176">
        <v>10</v>
      </c>
    </row>
    <row r="177" spans="1:3" x14ac:dyDescent="0.25">
      <c r="A177">
        <v>176</v>
      </c>
      <c r="B177" t="s">
        <v>59</v>
      </c>
      <c r="C177">
        <v>14</v>
      </c>
    </row>
    <row r="178" spans="1:3" x14ac:dyDescent="0.25">
      <c r="A178">
        <v>177</v>
      </c>
      <c r="B178" t="s">
        <v>60</v>
      </c>
      <c r="C178">
        <v>18</v>
      </c>
    </row>
    <row r="179" spans="1:3" x14ac:dyDescent="0.25">
      <c r="A179">
        <v>178</v>
      </c>
      <c r="B179" t="s">
        <v>59</v>
      </c>
      <c r="C179">
        <v>22</v>
      </c>
    </row>
    <row r="180" spans="1:3" x14ac:dyDescent="0.25">
      <c r="A180">
        <v>179</v>
      </c>
      <c r="B180" t="s">
        <v>59</v>
      </c>
      <c r="C180">
        <v>19</v>
      </c>
    </row>
    <row r="181" spans="1:3" x14ac:dyDescent="0.25">
      <c r="A181">
        <v>180</v>
      </c>
      <c r="B181" t="s">
        <v>60</v>
      </c>
      <c r="C181">
        <v>28</v>
      </c>
    </row>
    <row r="182" spans="1:3" x14ac:dyDescent="0.25">
      <c r="A182">
        <v>181</v>
      </c>
      <c r="B182" t="s">
        <v>59</v>
      </c>
      <c r="C182">
        <v>15</v>
      </c>
    </row>
    <row r="183" spans="1:3" x14ac:dyDescent="0.25">
      <c r="A183">
        <v>182</v>
      </c>
      <c r="B183" t="s">
        <v>60</v>
      </c>
      <c r="C183">
        <v>24</v>
      </c>
    </row>
    <row r="184" spans="1:3" x14ac:dyDescent="0.25">
      <c r="A184">
        <v>183</v>
      </c>
      <c r="B184" t="s">
        <v>59</v>
      </c>
      <c r="C184">
        <v>20</v>
      </c>
    </row>
    <row r="185" spans="1:3" x14ac:dyDescent="0.25">
      <c r="A185">
        <v>184</v>
      </c>
      <c r="B185" t="s">
        <v>59</v>
      </c>
      <c r="C185">
        <v>19</v>
      </c>
    </row>
    <row r="186" spans="1:3" x14ac:dyDescent="0.25">
      <c r="A186">
        <v>185</v>
      </c>
      <c r="B186" t="s">
        <v>60</v>
      </c>
      <c r="C186">
        <v>23</v>
      </c>
    </row>
    <row r="187" spans="1:3" x14ac:dyDescent="0.25">
      <c r="A187">
        <v>186</v>
      </c>
      <c r="B187" t="s">
        <v>60</v>
      </c>
      <c r="C187">
        <v>27</v>
      </c>
    </row>
    <row r="188" spans="1:3" x14ac:dyDescent="0.25">
      <c r="A188">
        <v>187</v>
      </c>
      <c r="B188" t="s">
        <v>59</v>
      </c>
      <c r="C188">
        <v>12</v>
      </c>
    </row>
    <row r="189" spans="1:3" x14ac:dyDescent="0.25">
      <c r="A189">
        <v>188</v>
      </c>
      <c r="B189" t="s">
        <v>60</v>
      </c>
      <c r="C189">
        <v>29</v>
      </c>
    </row>
    <row r="190" spans="1:3" x14ac:dyDescent="0.25">
      <c r="A190">
        <v>189</v>
      </c>
      <c r="B190" t="s">
        <v>59</v>
      </c>
      <c r="C190">
        <v>10</v>
      </c>
    </row>
    <row r="191" spans="1:3" x14ac:dyDescent="0.25">
      <c r="A191">
        <v>190</v>
      </c>
      <c r="B191" t="s">
        <v>61</v>
      </c>
      <c r="C191">
        <v>52</v>
      </c>
    </row>
    <row r="192" spans="1:3" x14ac:dyDescent="0.25">
      <c r="A192">
        <v>191</v>
      </c>
      <c r="B192" t="s">
        <v>61</v>
      </c>
      <c r="C192">
        <v>30</v>
      </c>
    </row>
    <row r="193" spans="1:3" x14ac:dyDescent="0.25">
      <c r="A193">
        <v>192</v>
      </c>
      <c r="B193" t="s">
        <v>59</v>
      </c>
      <c r="C193">
        <v>25</v>
      </c>
    </row>
    <row r="194" spans="1:3" x14ac:dyDescent="0.25">
      <c r="A194">
        <v>193</v>
      </c>
      <c r="B194" t="s">
        <v>60</v>
      </c>
      <c r="C194">
        <v>34</v>
      </c>
    </row>
    <row r="195" spans="1:3" x14ac:dyDescent="0.25">
      <c r="A195">
        <v>194</v>
      </c>
      <c r="B195" t="s">
        <v>60</v>
      </c>
      <c r="C195">
        <v>21</v>
      </c>
    </row>
    <row r="196" spans="1:3" x14ac:dyDescent="0.25">
      <c r="A196">
        <v>195</v>
      </c>
      <c r="B196" t="s">
        <v>59</v>
      </c>
      <c r="C196">
        <v>23</v>
      </c>
    </row>
    <row r="197" spans="1:3" x14ac:dyDescent="0.25">
      <c r="A197">
        <v>196</v>
      </c>
      <c r="B197" t="s">
        <v>60</v>
      </c>
      <c r="C197">
        <v>21</v>
      </c>
    </row>
    <row r="198" spans="1:3" x14ac:dyDescent="0.25">
      <c r="A198">
        <v>197</v>
      </c>
      <c r="B198" t="s">
        <v>61</v>
      </c>
      <c r="C198">
        <v>41</v>
      </c>
    </row>
    <row r="199" spans="1:3" x14ac:dyDescent="0.25">
      <c r="A199">
        <v>198</v>
      </c>
      <c r="B199" t="s">
        <v>61</v>
      </c>
      <c r="C199">
        <v>42</v>
      </c>
    </row>
    <row r="200" spans="1:3" x14ac:dyDescent="0.25">
      <c r="A200">
        <v>199</v>
      </c>
      <c r="B200" t="s">
        <v>60</v>
      </c>
      <c r="C200">
        <v>28</v>
      </c>
    </row>
    <row r="201" spans="1:3" x14ac:dyDescent="0.25">
      <c r="A201">
        <v>200</v>
      </c>
      <c r="B201" t="s">
        <v>60</v>
      </c>
      <c r="C201">
        <v>26</v>
      </c>
    </row>
    <row r="202" spans="1:3" x14ac:dyDescent="0.25">
      <c r="A202">
        <v>201</v>
      </c>
      <c r="B202" t="s">
        <v>61</v>
      </c>
      <c r="C202">
        <v>33</v>
      </c>
    </row>
    <row r="203" spans="1:3" x14ac:dyDescent="0.25">
      <c r="A203">
        <v>202</v>
      </c>
      <c r="B203" t="s">
        <v>59</v>
      </c>
      <c r="C203">
        <v>15</v>
      </c>
    </row>
    <row r="204" spans="1:3" x14ac:dyDescent="0.25">
      <c r="A204">
        <v>203</v>
      </c>
      <c r="B204" t="s">
        <v>59</v>
      </c>
      <c r="C204">
        <v>20</v>
      </c>
    </row>
    <row r="205" spans="1:3" x14ac:dyDescent="0.25">
      <c r="A205">
        <v>204</v>
      </c>
      <c r="B205" t="s">
        <v>59</v>
      </c>
      <c r="C205">
        <v>10</v>
      </c>
    </row>
    <row r="206" spans="1:3" x14ac:dyDescent="0.25">
      <c r="A206">
        <v>205</v>
      </c>
      <c r="B206" t="s">
        <v>60</v>
      </c>
      <c r="C206">
        <v>21</v>
      </c>
    </row>
    <row r="207" spans="1:3" x14ac:dyDescent="0.25">
      <c r="A207">
        <v>206</v>
      </c>
      <c r="B207" t="s">
        <v>59</v>
      </c>
      <c r="C207">
        <v>15</v>
      </c>
    </row>
    <row r="208" spans="1:3" x14ac:dyDescent="0.25">
      <c r="A208">
        <v>207</v>
      </c>
      <c r="B208" t="s">
        <v>60</v>
      </c>
      <c r="C208">
        <v>28</v>
      </c>
    </row>
    <row r="209" spans="1:3" x14ac:dyDescent="0.25">
      <c r="A209">
        <v>208</v>
      </c>
      <c r="B209" t="s">
        <v>59</v>
      </c>
      <c r="C209">
        <v>20</v>
      </c>
    </row>
    <row r="210" spans="1:3" x14ac:dyDescent="0.25">
      <c r="A210">
        <v>209</v>
      </c>
      <c r="B210" t="s">
        <v>60</v>
      </c>
      <c r="C210">
        <v>30</v>
      </c>
    </row>
    <row r="211" spans="1:3" x14ac:dyDescent="0.25">
      <c r="A211">
        <v>210</v>
      </c>
      <c r="B211" t="s">
        <v>59</v>
      </c>
      <c r="C211">
        <v>23</v>
      </c>
    </row>
    <row r="212" spans="1:3" x14ac:dyDescent="0.25">
      <c r="A212">
        <v>211</v>
      </c>
      <c r="B212" t="s">
        <v>59</v>
      </c>
      <c r="C212">
        <v>15</v>
      </c>
    </row>
    <row r="213" spans="1:3" x14ac:dyDescent="0.25">
      <c r="A213">
        <v>212</v>
      </c>
      <c r="B213" t="s">
        <v>59</v>
      </c>
      <c r="C213">
        <v>10</v>
      </c>
    </row>
    <row r="214" spans="1:3" x14ac:dyDescent="0.25">
      <c r="A214">
        <v>213</v>
      </c>
      <c r="B214" t="s">
        <v>59</v>
      </c>
      <c r="C214">
        <v>14</v>
      </c>
    </row>
    <row r="215" spans="1:3" x14ac:dyDescent="0.25">
      <c r="A215">
        <v>214</v>
      </c>
      <c r="B215" t="s">
        <v>59</v>
      </c>
      <c r="C215">
        <v>20</v>
      </c>
    </row>
    <row r="216" spans="1:3" x14ac:dyDescent="0.25">
      <c r="A216">
        <v>215</v>
      </c>
      <c r="B216" t="s">
        <v>61</v>
      </c>
      <c r="C216">
        <v>34</v>
      </c>
    </row>
    <row r="217" spans="1:3" x14ac:dyDescent="0.25">
      <c r="A217">
        <v>216</v>
      </c>
      <c r="B217" t="s">
        <v>61</v>
      </c>
      <c r="C217">
        <v>46</v>
      </c>
    </row>
    <row r="218" spans="1:3" x14ac:dyDescent="0.25">
      <c r="A218">
        <v>217</v>
      </c>
      <c r="B218" t="s">
        <v>59</v>
      </c>
      <c r="C218">
        <v>15</v>
      </c>
    </row>
    <row r="219" spans="1:3" x14ac:dyDescent="0.25">
      <c r="A219">
        <v>218</v>
      </c>
      <c r="B219" t="s">
        <v>61</v>
      </c>
      <c r="C219">
        <v>51</v>
      </c>
    </row>
    <row r="220" spans="1:3" x14ac:dyDescent="0.25">
      <c r="A220">
        <v>219</v>
      </c>
      <c r="B220" t="s">
        <v>59</v>
      </c>
      <c r="C220">
        <v>11</v>
      </c>
    </row>
    <row r="221" spans="1:3" x14ac:dyDescent="0.25">
      <c r="A221">
        <v>220</v>
      </c>
      <c r="B221" t="s">
        <v>59</v>
      </c>
      <c r="C221">
        <v>25</v>
      </c>
    </row>
    <row r="222" spans="1:3" x14ac:dyDescent="0.25">
      <c r="A222">
        <v>221</v>
      </c>
      <c r="B222" t="s">
        <v>59</v>
      </c>
      <c r="C222">
        <v>22</v>
      </c>
    </row>
    <row r="223" spans="1:3" x14ac:dyDescent="0.25">
      <c r="A223">
        <v>222</v>
      </c>
      <c r="B223" t="s">
        <v>60</v>
      </c>
      <c r="C223">
        <v>35</v>
      </c>
    </row>
    <row r="224" spans="1:3" x14ac:dyDescent="0.25">
      <c r="A224">
        <v>223</v>
      </c>
      <c r="B224" t="s">
        <v>60</v>
      </c>
      <c r="C224">
        <v>33</v>
      </c>
    </row>
    <row r="225" spans="1:3" x14ac:dyDescent="0.25">
      <c r="A225">
        <v>224</v>
      </c>
      <c r="B225" t="s">
        <v>59</v>
      </c>
      <c r="C225">
        <v>11</v>
      </c>
    </row>
    <row r="226" spans="1:3" x14ac:dyDescent="0.25">
      <c r="A226">
        <v>225</v>
      </c>
      <c r="B226" t="s">
        <v>60</v>
      </c>
      <c r="C226">
        <v>30</v>
      </c>
    </row>
    <row r="227" spans="1:3" x14ac:dyDescent="0.25">
      <c r="A227">
        <v>226</v>
      </c>
      <c r="B227" t="s">
        <v>61</v>
      </c>
      <c r="C227">
        <v>39</v>
      </c>
    </row>
    <row r="228" spans="1:3" x14ac:dyDescent="0.25">
      <c r="A228">
        <v>227</v>
      </c>
      <c r="B228" t="s">
        <v>59</v>
      </c>
      <c r="C228">
        <v>25</v>
      </c>
    </row>
    <row r="229" spans="1:3" x14ac:dyDescent="0.25">
      <c r="A229">
        <v>228</v>
      </c>
      <c r="B229" t="s">
        <v>59</v>
      </c>
      <c r="C229">
        <v>11</v>
      </c>
    </row>
    <row r="230" spans="1:3" x14ac:dyDescent="0.25">
      <c r="A230">
        <v>229</v>
      </c>
      <c r="B230" t="s">
        <v>59</v>
      </c>
      <c r="C230">
        <v>21</v>
      </c>
    </row>
    <row r="231" spans="1:3" x14ac:dyDescent="0.25">
      <c r="A231">
        <v>230</v>
      </c>
      <c r="B231" t="s">
        <v>60</v>
      </c>
      <c r="C231">
        <v>30</v>
      </c>
    </row>
    <row r="232" spans="1:3" x14ac:dyDescent="0.25">
      <c r="A232">
        <v>231</v>
      </c>
      <c r="B232" t="s">
        <v>59</v>
      </c>
      <c r="C232">
        <v>10</v>
      </c>
    </row>
    <row r="233" spans="1:3" x14ac:dyDescent="0.25">
      <c r="A233">
        <v>232</v>
      </c>
      <c r="B233" t="s">
        <v>60</v>
      </c>
      <c r="C233">
        <v>32</v>
      </c>
    </row>
    <row r="234" spans="1:3" x14ac:dyDescent="0.25">
      <c r="A234">
        <v>233</v>
      </c>
      <c r="B234" t="s">
        <v>59</v>
      </c>
      <c r="C234">
        <v>23</v>
      </c>
    </row>
    <row r="235" spans="1:3" x14ac:dyDescent="0.25">
      <c r="A235">
        <v>234</v>
      </c>
      <c r="B235" t="s">
        <v>60</v>
      </c>
      <c r="C235">
        <v>25</v>
      </c>
    </row>
    <row r="236" spans="1:3" x14ac:dyDescent="0.25">
      <c r="A236">
        <v>235</v>
      </c>
      <c r="B236" t="s">
        <v>59</v>
      </c>
      <c r="C236">
        <v>22</v>
      </c>
    </row>
    <row r="237" spans="1:3" x14ac:dyDescent="0.25">
      <c r="A237">
        <v>236</v>
      </c>
      <c r="B237" t="s">
        <v>60</v>
      </c>
      <c r="C237">
        <v>19</v>
      </c>
    </row>
    <row r="238" spans="1:3" x14ac:dyDescent="0.25">
      <c r="A238">
        <v>237</v>
      </c>
      <c r="B238" t="s">
        <v>59</v>
      </c>
      <c r="C238">
        <v>13</v>
      </c>
    </row>
    <row r="239" spans="1:3" x14ac:dyDescent="0.25">
      <c r="A239">
        <v>238</v>
      </c>
      <c r="B239" t="s">
        <v>60</v>
      </c>
      <c r="C239">
        <v>18</v>
      </c>
    </row>
    <row r="240" spans="1:3" x14ac:dyDescent="0.25">
      <c r="A240">
        <v>239</v>
      </c>
      <c r="B240" t="s">
        <v>61</v>
      </c>
      <c r="C240">
        <v>33</v>
      </c>
    </row>
    <row r="241" spans="1:3" x14ac:dyDescent="0.25">
      <c r="A241">
        <v>240</v>
      </c>
      <c r="B241" t="s">
        <v>60</v>
      </c>
      <c r="C241">
        <v>27</v>
      </c>
    </row>
    <row r="242" spans="1:3" x14ac:dyDescent="0.25">
      <c r="A242">
        <v>241</v>
      </c>
      <c r="B242" t="s">
        <v>59</v>
      </c>
      <c r="C242">
        <v>16</v>
      </c>
    </row>
    <row r="243" spans="1:3" x14ac:dyDescent="0.25">
      <c r="A243">
        <v>242</v>
      </c>
      <c r="B243" t="s">
        <v>59</v>
      </c>
      <c r="C243">
        <v>18</v>
      </c>
    </row>
    <row r="244" spans="1:3" x14ac:dyDescent="0.25">
      <c r="A244">
        <v>243</v>
      </c>
      <c r="B244" t="s">
        <v>60</v>
      </c>
      <c r="C244">
        <v>20</v>
      </c>
    </row>
    <row r="245" spans="1:3" x14ac:dyDescent="0.25">
      <c r="A245">
        <v>244</v>
      </c>
      <c r="B245" t="s">
        <v>59</v>
      </c>
      <c r="C245">
        <v>10</v>
      </c>
    </row>
    <row r="246" spans="1:3" x14ac:dyDescent="0.25">
      <c r="A246">
        <v>245</v>
      </c>
      <c r="B246" t="s">
        <v>59</v>
      </c>
      <c r="C246">
        <v>14</v>
      </c>
    </row>
    <row r="247" spans="1:3" x14ac:dyDescent="0.25">
      <c r="A247">
        <v>246</v>
      </c>
      <c r="B247" t="s">
        <v>61</v>
      </c>
      <c r="C247">
        <v>44</v>
      </c>
    </row>
    <row r="248" spans="1:3" x14ac:dyDescent="0.25">
      <c r="A248">
        <v>247</v>
      </c>
      <c r="B248" t="s">
        <v>59</v>
      </c>
      <c r="C248">
        <v>25</v>
      </c>
    </row>
    <row r="249" spans="1:3" x14ac:dyDescent="0.25">
      <c r="A249">
        <v>248</v>
      </c>
      <c r="B249" t="s">
        <v>60</v>
      </c>
      <c r="C249">
        <v>31</v>
      </c>
    </row>
    <row r="250" spans="1:3" x14ac:dyDescent="0.25">
      <c r="A250">
        <v>249</v>
      </c>
      <c r="B250" t="s">
        <v>60</v>
      </c>
      <c r="C250">
        <v>28</v>
      </c>
    </row>
    <row r="251" spans="1:3" x14ac:dyDescent="0.25">
      <c r="A251">
        <v>250</v>
      </c>
      <c r="B251" t="s">
        <v>59</v>
      </c>
      <c r="C251">
        <v>11</v>
      </c>
    </row>
    <row r="252" spans="1:3" x14ac:dyDescent="0.25">
      <c r="A252">
        <v>251</v>
      </c>
      <c r="B252" t="s">
        <v>60</v>
      </c>
      <c r="C252">
        <v>26</v>
      </c>
    </row>
    <row r="253" spans="1:3" x14ac:dyDescent="0.25">
      <c r="A253">
        <v>252</v>
      </c>
      <c r="B253" t="s">
        <v>60</v>
      </c>
      <c r="C253">
        <v>26</v>
      </c>
    </row>
    <row r="254" spans="1:3" x14ac:dyDescent="0.25">
      <c r="A254">
        <v>253</v>
      </c>
      <c r="B254" t="s">
        <v>59</v>
      </c>
      <c r="C254">
        <v>14</v>
      </c>
    </row>
    <row r="255" spans="1:3" x14ac:dyDescent="0.25">
      <c r="A255">
        <v>254</v>
      </c>
      <c r="B255" t="s">
        <v>59</v>
      </c>
      <c r="C255">
        <v>17</v>
      </c>
    </row>
    <row r="256" spans="1:3" x14ac:dyDescent="0.25">
      <c r="A256">
        <v>255</v>
      </c>
      <c r="B256" t="s">
        <v>61</v>
      </c>
      <c r="C256">
        <v>54</v>
      </c>
    </row>
    <row r="257" spans="1:3" x14ac:dyDescent="0.25">
      <c r="A257">
        <v>256</v>
      </c>
      <c r="B257" t="s">
        <v>60</v>
      </c>
      <c r="C257">
        <v>33</v>
      </c>
    </row>
    <row r="258" spans="1:3" x14ac:dyDescent="0.25">
      <c r="A258">
        <v>257</v>
      </c>
      <c r="B258" t="s">
        <v>60</v>
      </c>
      <c r="C258">
        <v>20</v>
      </c>
    </row>
    <row r="259" spans="1:3" x14ac:dyDescent="0.25">
      <c r="A259">
        <v>258</v>
      </c>
      <c r="B259" t="s">
        <v>60</v>
      </c>
      <c r="C259">
        <v>27</v>
      </c>
    </row>
    <row r="260" spans="1:3" x14ac:dyDescent="0.25">
      <c r="A260">
        <v>259</v>
      </c>
      <c r="B260" t="s">
        <v>60</v>
      </c>
      <c r="C260">
        <v>28</v>
      </c>
    </row>
    <row r="261" spans="1:3" x14ac:dyDescent="0.25">
      <c r="A261">
        <v>260</v>
      </c>
      <c r="B261" t="s">
        <v>61</v>
      </c>
      <c r="C261">
        <v>51</v>
      </c>
    </row>
    <row r="262" spans="1:3" x14ac:dyDescent="0.25">
      <c r="A262">
        <v>261</v>
      </c>
      <c r="B262" t="s">
        <v>59</v>
      </c>
      <c r="C262">
        <v>19</v>
      </c>
    </row>
    <row r="263" spans="1:3" x14ac:dyDescent="0.25">
      <c r="A263">
        <v>262</v>
      </c>
      <c r="B263" t="s">
        <v>59</v>
      </c>
      <c r="C263">
        <v>16</v>
      </c>
    </row>
    <row r="264" spans="1:3" x14ac:dyDescent="0.25">
      <c r="A264">
        <v>263</v>
      </c>
      <c r="B264" t="s">
        <v>59</v>
      </c>
      <c r="C264">
        <v>25</v>
      </c>
    </row>
    <row r="265" spans="1:3" x14ac:dyDescent="0.25">
      <c r="A265">
        <v>264</v>
      </c>
      <c r="B265" t="s">
        <v>61</v>
      </c>
      <c r="C265">
        <v>50</v>
      </c>
    </row>
    <row r="266" spans="1:3" x14ac:dyDescent="0.25">
      <c r="A266">
        <v>265</v>
      </c>
      <c r="B266" t="s">
        <v>59</v>
      </c>
      <c r="C266">
        <v>14</v>
      </c>
    </row>
    <row r="267" spans="1:3" x14ac:dyDescent="0.25">
      <c r="A267">
        <v>266</v>
      </c>
      <c r="B267" t="s">
        <v>59</v>
      </c>
      <c r="C267">
        <v>14</v>
      </c>
    </row>
    <row r="268" spans="1:3" x14ac:dyDescent="0.25">
      <c r="A268">
        <v>267</v>
      </c>
      <c r="B268" t="s">
        <v>61</v>
      </c>
      <c r="C268">
        <v>47</v>
      </c>
    </row>
    <row r="269" spans="1:3" x14ac:dyDescent="0.25">
      <c r="A269">
        <v>268</v>
      </c>
      <c r="B269" t="s">
        <v>61</v>
      </c>
      <c r="C269">
        <v>39</v>
      </c>
    </row>
    <row r="270" spans="1:3" x14ac:dyDescent="0.25">
      <c r="A270">
        <v>269</v>
      </c>
      <c r="B270" t="s">
        <v>60</v>
      </c>
      <c r="C270">
        <v>20</v>
      </c>
    </row>
    <row r="271" spans="1:3" x14ac:dyDescent="0.25">
      <c r="A271">
        <v>270</v>
      </c>
      <c r="B271" t="s">
        <v>59</v>
      </c>
      <c r="C271">
        <v>19</v>
      </c>
    </row>
    <row r="272" spans="1:3" x14ac:dyDescent="0.25">
      <c r="A272">
        <v>271</v>
      </c>
      <c r="B272" t="s">
        <v>59</v>
      </c>
      <c r="C272">
        <v>19</v>
      </c>
    </row>
    <row r="273" spans="1:3" x14ac:dyDescent="0.25">
      <c r="A273">
        <v>272</v>
      </c>
      <c r="B273" t="s">
        <v>60</v>
      </c>
      <c r="C273">
        <v>23</v>
      </c>
    </row>
    <row r="274" spans="1:3" x14ac:dyDescent="0.25">
      <c r="A274">
        <v>273</v>
      </c>
      <c r="B274" t="s">
        <v>59</v>
      </c>
      <c r="C274">
        <v>14</v>
      </c>
    </row>
    <row r="275" spans="1:3" x14ac:dyDescent="0.25">
      <c r="A275">
        <v>274</v>
      </c>
      <c r="B275" t="s">
        <v>59</v>
      </c>
      <c r="C275">
        <v>22</v>
      </c>
    </row>
    <row r="276" spans="1:3" x14ac:dyDescent="0.25">
      <c r="A276">
        <v>275</v>
      </c>
      <c r="B276" t="s">
        <v>60</v>
      </c>
      <c r="C276">
        <v>23</v>
      </c>
    </row>
    <row r="277" spans="1:3" x14ac:dyDescent="0.25">
      <c r="A277">
        <v>276</v>
      </c>
      <c r="B277" t="s">
        <v>59</v>
      </c>
      <c r="C277">
        <v>16</v>
      </c>
    </row>
    <row r="278" spans="1:3" x14ac:dyDescent="0.25">
      <c r="A278">
        <v>277</v>
      </c>
      <c r="B278" t="s">
        <v>60</v>
      </c>
      <c r="C278">
        <v>28</v>
      </c>
    </row>
    <row r="279" spans="1:3" x14ac:dyDescent="0.25">
      <c r="A279">
        <v>278</v>
      </c>
      <c r="B279" t="s">
        <v>59</v>
      </c>
      <c r="C279">
        <v>17</v>
      </c>
    </row>
    <row r="280" spans="1:3" x14ac:dyDescent="0.25">
      <c r="A280">
        <v>279</v>
      </c>
      <c r="B280" t="s">
        <v>60</v>
      </c>
      <c r="C280">
        <v>22</v>
      </c>
    </row>
    <row r="281" spans="1:3" x14ac:dyDescent="0.25">
      <c r="A281">
        <v>280</v>
      </c>
      <c r="B281" t="s">
        <v>59</v>
      </c>
      <c r="C281">
        <v>18</v>
      </c>
    </row>
    <row r="282" spans="1:3" x14ac:dyDescent="0.25">
      <c r="A282">
        <v>281</v>
      </c>
      <c r="B282" t="s">
        <v>60</v>
      </c>
      <c r="C282">
        <v>35</v>
      </c>
    </row>
    <row r="283" spans="1:3" x14ac:dyDescent="0.25">
      <c r="A283">
        <v>282</v>
      </c>
      <c r="B283" t="s">
        <v>59</v>
      </c>
      <c r="C283">
        <v>16</v>
      </c>
    </row>
    <row r="284" spans="1:3" x14ac:dyDescent="0.25">
      <c r="A284">
        <v>283</v>
      </c>
      <c r="B284" t="s">
        <v>61</v>
      </c>
      <c r="C284">
        <v>43</v>
      </c>
    </row>
    <row r="285" spans="1:3" x14ac:dyDescent="0.25">
      <c r="A285">
        <v>284</v>
      </c>
      <c r="B285" t="s">
        <v>61</v>
      </c>
      <c r="C285">
        <v>35</v>
      </c>
    </row>
    <row r="286" spans="1:3" x14ac:dyDescent="0.25">
      <c r="A286">
        <v>285</v>
      </c>
      <c r="B286" t="s">
        <v>60</v>
      </c>
      <c r="C286">
        <v>28</v>
      </c>
    </row>
    <row r="287" spans="1:3" x14ac:dyDescent="0.25">
      <c r="A287">
        <v>286</v>
      </c>
      <c r="B287" t="s">
        <v>60</v>
      </c>
      <c r="C287">
        <v>33</v>
      </c>
    </row>
    <row r="288" spans="1:3" x14ac:dyDescent="0.25">
      <c r="A288">
        <v>287</v>
      </c>
      <c r="B288" t="s">
        <v>59</v>
      </c>
      <c r="C288">
        <v>13</v>
      </c>
    </row>
    <row r="289" spans="1:3" x14ac:dyDescent="0.25">
      <c r="A289">
        <v>288</v>
      </c>
      <c r="B289" t="s">
        <v>59</v>
      </c>
      <c r="C289">
        <v>16</v>
      </c>
    </row>
    <row r="290" spans="1:3" x14ac:dyDescent="0.25">
      <c r="A290">
        <v>289</v>
      </c>
      <c r="B290" t="s">
        <v>60</v>
      </c>
      <c r="C290">
        <v>30</v>
      </c>
    </row>
    <row r="291" spans="1:3" x14ac:dyDescent="0.25">
      <c r="A291">
        <v>290</v>
      </c>
      <c r="B291" t="s">
        <v>59</v>
      </c>
      <c r="C291">
        <v>10</v>
      </c>
    </row>
    <row r="292" spans="1:3" x14ac:dyDescent="0.25">
      <c r="A292">
        <v>291</v>
      </c>
      <c r="B292" t="s">
        <v>60</v>
      </c>
      <c r="C292">
        <v>35</v>
      </c>
    </row>
    <row r="293" spans="1:3" x14ac:dyDescent="0.25">
      <c r="A293">
        <v>292</v>
      </c>
      <c r="B293" t="s">
        <v>61</v>
      </c>
      <c r="C293">
        <v>48</v>
      </c>
    </row>
    <row r="294" spans="1:3" x14ac:dyDescent="0.25">
      <c r="A294">
        <v>293</v>
      </c>
      <c r="B294" t="s">
        <v>59</v>
      </c>
      <c r="C294">
        <v>23</v>
      </c>
    </row>
    <row r="295" spans="1:3" x14ac:dyDescent="0.25">
      <c r="A295">
        <v>294</v>
      </c>
      <c r="B295" t="s">
        <v>61</v>
      </c>
      <c r="C295">
        <v>31</v>
      </c>
    </row>
    <row r="296" spans="1:3" x14ac:dyDescent="0.25">
      <c r="A296">
        <v>295</v>
      </c>
      <c r="B296" t="s">
        <v>60</v>
      </c>
      <c r="C296">
        <v>21</v>
      </c>
    </row>
    <row r="297" spans="1:3" x14ac:dyDescent="0.25">
      <c r="A297">
        <v>296</v>
      </c>
      <c r="B297" t="s">
        <v>59</v>
      </c>
      <c r="C297">
        <v>18</v>
      </c>
    </row>
    <row r="298" spans="1:3" x14ac:dyDescent="0.25">
      <c r="A298">
        <v>297</v>
      </c>
      <c r="B298" t="s">
        <v>60</v>
      </c>
      <c r="C298">
        <v>25</v>
      </c>
    </row>
    <row r="299" spans="1:3" x14ac:dyDescent="0.25">
      <c r="A299">
        <v>298</v>
      </c>
      <c r="B299" t="s">
        <v>60</v>
      </c>
      <c r="C299">
        <v>35</v>
      </c>
    </row>
    <row r="300" spans="1:3" x14ac:dyDescent="0.25">
      <c r="A300">
        <v>299</v>
      </c>
      <c r="B300" t="s">
        <v>59</v>
      </c>
      <c r="C300">
        <v>19</v>
      </c>
    </row>
    <row r="301" spans="1:3" x14ac:dyDescent="0.25">
      <c r="A301">
        <v>300</v>
      </c>
      <c r="B301" t="s">
        <v>60</v>
      </c>
      <c r="C301">
        <v>23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31AAE-6521-4E74-82E2-58DD0880D372}">
  <dimension ref="A1:L301"/>
  <sheetViews>
    <sheetView topLeftCell="A13" workbookViewId="0">
      <selection activeCell="I8" sqref="I8"/>
    </sheetView>
  </sheetViews>
  <sheetFormatPr defaultRowHeight="15" x14ac:dyDescent="0.25"/>
  <cols>
    <col min="6" max="6" width="21.5703125" bestFit="1" customWidth="1"/>
    <col min="7" max="7" width="16.85546875" bestFit="1" customWidth="1"/>
    <col min="8" max="11" width="7.140625" bestFit="1" customWidth="1"/>
    <col min="12" max="12" width="11.28515625" bestFit="1" customWidth="1"/>
    <col min="13" max="53" width="3" bestFit="1" customWidth="1"/>
    <col min="54" max="54" width="11.28515625" bestFit="1" customWidth="1"/>
  </cols>
  <sheetData>
    <row r="1" spans="1:12" x14ac:dyDescent="0.25">
      <c r="A1" t="s">
        <v>56</v>
      </c>
      <c r="B1" t="s">
        <v>57</v>
      </c>
      <c r="C1" t="s">
        <v>58</v>
      </c>
      <c r="F1" s="12" t="s">
        <v>63</v>
      </c>
      <c r="G1" s="12" t="s">
        <v>62</v>
      </c>
    </row>
    <row r="2" spans="1:12" x14ac:dyDescent="0.25">
      <c r="A2">
        <v>1</v>
      </c>
      <c r="B2" t="s">
        <v>59</v>
      </c>
      <c r="C2">
        <v>18</v>
      </c>
      <c r="F2" s="12" t="s">
        <v>45</v>
      </c>
      <c r="G2" t="s">
        <v>64</v>
      </c>
      <c r="H2" t="s">
        <v>65</v>
      </c>
      <c r="I2" t="s">
        <v>66</v>
      </c>
      <c r="J2" t="s">
        <v>67</v>
      </c>
      <c r="K2" t="s">
        <v>68</v>
      </c>
      <c r="L2" s="2" t="s">
        <v>43</v>
      </c>
    </row>
    <row r="3" spans="1:12" x14ac:dyDescent="0.25">
      <c r="A3">
        <v>2</v>
      </c>
      <c r="B3" t="s">
        <v>60</v>
      </c>
      <c r="C3">
        <v>22</v>
      </c>
      <c r="F3" s="13" t="s">
        <v>59</v>
      </c>
      <c r="G3" s="15">
        <v>0.66666666666666663</v>
      </c>
      <c r="H3" s="15">
        <v>0.33333333333333331</v>
      </c>
      <c r="I3" s="15">
        <v>0</v>
      </c>
      <c r="J3" s="15">
        <v>0</v>
      </c>
      <c r="K3" s="15">
        <v>0</v>
      </c>
      <c r="L3" s="17">
        <v>1</v>
      </c>
    </row>
    <row r="4" spans="1:12" x14ac:dyDescent="0.25">
      <c r="A4">
        <v>3</v>
      </c>
      <c r="B4" t="s">
        <v>59</v>
      </c>
      <c r="C4">
        <v>28</v>
      </c>
      <c r="F4" s="13" t="s">
        <v>60</v>
      </c>
      <c r="G4" s="15">
        <v>8.8495575221238937E-2</v>
      </c>
      <c r="H4" s="15">
        <v>0.5663716814159292</v>
      </c>
      <c r="I4" s="15">
        <v>0.34513274336283184</v>
      </c>
      <c r="J4" s="15">
        <v>0</v>
      </c>
      <c r="K4" s="15">
        <v>0</v>
      </c>
      <c r="L4" s="17">
        <v>1</v>
      </c>
    </row>
    <row r="5" spans="1:12" x14ac:dyDescent="0.25">
      <c r="A5">
        <v>4</v>
      </c>
      <c r="B5" t="s">
        <v>61</v>
      </c>
      <c r="C5">
        <v>38</v>
      </c>
      <c r="F5" s="13" t="s">
        <v>61</v>
      </c>
      <c r="G5" s="15">
        <v>1.9230769230769232E-2</v>
      </c>
      <c r="H5" s="15">
        <v>0</v>
      </c>
      <c r="I5" s="15">
        <v>0.42307692307692307</v>
      </c>
      <c r="J5" s="15">
        <v>0.25</v>
      </c>
      <c r="K5" s="15">
        <v>0.30769230769230771</v>
      </c>
      <c r="L5" s="17">
        <v>1</v>
      </c>
    </row>
    <row r="6" spans="1:12" x14ac:dyDescent="0.25">
      <c r="A6">
        <v>5</v>
      </c>
      <c r="B6" t="s">
        <v>60</v>
      </c>
      <c r="C6">
        <v>33</v>
      </c>
    </row>
    <row r="7" spans="1:12" x14ac:dyDescent="0.25">
      <c r="A7">
        <v>6</v>
      </c>
      <c r="B7" t="s">
        <v>59</v>
      </c>
      <c r="C7">
        <v>28</v>
      </c>
    </row>
    <row r="8" spans="1:12" x14ac:dyDescent="0.25">
      <c r="A8">
        <v>7</v>
      </c>
      <c r="B8" t="s">
        <v>60</v>
      </c>
      <c r="C8">
        <v>19</v>
      </c>
    </row>
    <row r="9" spans="1:12" x14ac:dyDescent="0.25">
      <c r="A9">
        <v>8</v>
      </c>
      <c r="B9" t="s">
        <v>60</v>
      </c>
      <c r="C9">
        <v>11</v>
      </c>
    </row>
    <row r="10" spans="1:12" x14ac:dyDescent="0.25">
      <c r="A10">
        <v>9</v>
      </c>
      <c r="B10" t="s">
        <v>60</v>
      </c>
      <c r="C10">
        <v>23</v>
      </c>
    </row>
    <row r="11" spans="1:12" x14ac:dyDescent="0.25">
      <c r="A11">
        <v>10</v>
      </c>
      <c r="B11" t="s">
        <v>59</v>
      </c>
      <c r="C11">
        <v>13</v>
      </c>
    </row>
    <row r="12" spans="1:12" x14ac:dyDescent="0.25">
      <c r="A12">
        <v>11</v>
      </c>
      <c r="B12" t="s">
        <v>59</v>
      </c>
      <c r="C12">
        <v>24</v>
      </c>
    </row>
    <row r="13" spans="1:12" x14ac:dyDescent="0.25">
      <c r="A13">
        <v>12</v>
      </c>
      <c r="B13" t="s">
        <v>60</v>
      </c>
      <c r="C13">
        <v>20</v>
      </c>
    </row>
    <row r="14" spans="1:12" x14ac:dyDescent="0.25">
      <c r="A14">
        <v>13</v>
      </c>
      <c r="B14" t="s">
        <v>60</v>
      </c>
      <c r="C14">
        <v>34</v>
      </c>
    </row>
    <row r="15" spans="1:12" x14ac:dyDescent="0.25">
      <c r="A15">
        <v>14</v>
      </c>
      <c r="B15" t="s">
        <v>60</v>
      </c>
      <c r="C15">
        <v>29</v>
      </c>
    </row>
    <row r="16" spans="1:12" x14ac:dyDescent="0.25">
      <c r="A16">
        <v>15</v>
      </c>
      <c r="B16" t="s">
        <v>60</v>
      </c>
      <c r="C16">
        <v>31</v>
      </c>
    </row>
    <row r="17" spans="1:3" x14ac:dyDescent="0.25">
      <c r="A17">
        <v>16</v>
      </c>
      <c r="B17" t="s">
        <v>60</v>
      </c>
      <c r="C17">
        <v>31</v>
      </c>
    </row>
    <row r="18" spans="1:3" x14ac:dyDescent="0.25">
      <c r="A18">
        <v>17</v>
      </c>
      <c r="B18" t="s">
        <v>61</v>
      </c>
      <c r="C18">
        <v>13</v>
      </c>
    </row>
    <row r="19" spans="1:3" x14ac:dyDescent="0.25">
      <c r="A19">
        <v>18</v>
      </c>
      <c r="B19" t="s">
        <v>60</v>
      </c>
      <c r="C19">
        <v>21</v>
      </c>
    </row>
    <row r="20" spans="1:3" x14ac:dyDescent="0.25">
      <c r="A20">
        <v>19</v>
      </c>
      <c r="B20" t="s">
        <v>59</v>
      </c>
      <c r="C20">
        <v>22</v>
      </c>
    </row>
    <row r="21" spans="1:3" x14ac:dyDescent="0.25">
      <c r="A21">
        <v>20</v>
      </c>
      <c r="B21" t="s">
        <v>61</v>
      </c>
      <c r="C21">
        <v>39</v>
      </c>
    </row>
    <row r="22" spans="1:3" x14ac:dyDescent="0.25">
      <c r="A22">
        <v>21</v>
      </c>
      <c r="B22" t="s">
        <v>60</v>
      </c>
      <c r="C22">
        <v>29</v>
      </c>
    </row>
    <row r="23" spans="1:3" x14ac:dyDescent="0.25">
      <c r="A23">
        <v>22</v>
      </c>
      <c r="B23" t="s">
        <v>60</v>
      </c>
      <c r="C23">
        <v>20</v>
      </c>
    </row>
    <row r="24" spans="1:3" x14ac:dyDescent="0.25">
      <c r="A24">
        <v>23</v>
      </c>
      <c r="B24" t="s">
        <v>60</v>
      </c>
      <c r="C24">
        <v>19</v>
      </c>
    </row>
    <row r="25" spans="1:3" x14ac:dyDescent="0.25">
      <c r="A25">
        <v>24</v>
      </c>
      <c r="B25" t="s">
        <v>60</v>
      </c>
      <c r="C25">
        <v>34</v>
      </c>
    </row>
    <row r="26" spans="1:3" x14ac:dyDescent="0.25">
      <c r="A26">
        <v>25</v>
      </c>
      <c r="B26" t="s">
        <v>59</v>
      </c>
      <c r="C26">
        <v>12</v>
      </c>
    </row>
    <row r="27" spans="1:3" x14ac:dyDescent="0.25">
      <c r="A27">
        <v>26</v>
      </c>
      <c r="B27" t="s">
        <v>59</v>
      </c>
      <c r="C27">
        <v>14</v>
      </c>
    </row>
    <row r="28" spans="1:3" x14ac:dyDescent="0.25">
      <c r="A28">
        <v>27</v>
      </c>
      <c r="B28" t="s">
        <v>61</v>
      </c>
      <c r="C28">
        <v>34</v>
      </c>
    </row>
    <row r="29" spans="1:3" x14ac:dyDescent="0.25">
      <c r="A29">
        <v>28</v>
      </c>
      <c r="B29" t="s">
        <v>59</v>
      </c>
      <c r="C29">
        <v>10</v>
      </c>
    </row>
    <row r="30" spans="1:3" x14ac:dyDescent="0.25">
      <c r="A30">
        <v>29</v>
      </c>
      <c r="B30" t="s">
        <v>61</v>
      </c>
      <c r="C30">
        <v>33</v>
      </c>
    </row>
    <row r="31" spans="1:3" x14ac:dyDescent="0.25">
      <c r="A31">
        <v>30</v>
      </c>
      <c r="B31" t="s">
        <v>59</v>
      </c>
      <c r="C31">
        <v>12</v>
      </c>
    </row>
    <row r="32" spans="1:3" x14ac:dyDescent="0.25">
      <c r="A32">
        <v>31</v>
      </c>
      <c r="B32" t="s">
        <v>60</v>
      </c>
      <c r="C32">
        <v>28</v>
      </c>
    </row>
    <row r="33" spans="1:3" x14ac:dyDescent="0.25">
      <c r="A33">
        <v>32</v>
      </c>
      <c r="B33" t="s">
        <v>59</v>
      </c>
      <c r="C33">
        <v>20</v>
      </c>
    </row>
    <row r="34" spans="1:3" x14ac:dyDescent="0.25">
      <c r="A34">
        <v>33</v>
      </c>
      <c r="B34" t="s">
        <v>61</v>
      </c>
      <c r="C34">
        <v>56</v>
      </c>
    </row>
    <row r="35" spans="1:3" x14ac:dyDescent="0.25">
      <c r="A35">
        <v>34</v>
      </c>
      <c r="B35" t="s">
        <v>59</v>
      </c>
      <c r="C35">
        <v>19</v>
      </c>
    </row>
    <row r="36" spans="1:3" x14ac:dyDescent="0.25">
      <c r="A36">
        <v>35</v>
      </c>
      <c r="B36" t="s">
        <v>60</v>
      </c>
      <c r="C36">
        <v>33</v>
      </c>
    </row>
    <row r="37" spans="1:3" x14ac:dyDescent="0.25">
      <c r="A37">
        <v>36</v>
      </c>
      <c r="B37" t="s">
        <v>60</v>
      </c>
      <c r="C37">
        <v>35</v>
      </c>
    </row>
    <row r="38" spans="1:3" x14ac:dyDescent="0.25">
      <c r="A38">
        <v>37</v>
      </c>
      <c r="B38" t="s">
        <v>59</v>
      </c>
      <c r="C38">
        <v>16</v>
      </c>
    </row>
    <row r="39" spans="1:3" x14ac:dyDescent="0.25">
      <c r="A39">
        <v>38</v>
      </c>
      <c r="B39" t="s">
        <v>59</v>
      </c>
      <c r="C39">
        <v>20</v>
      </c>
    </row>
    <row r="40" spans="1:3" x14ac:dyDescent="0.25">
      <c r="A40">
        <v>39</v>
      </c>
      <c r="B40" t="s">
        <v>60</v>
      </c>
      <c r="C40">
        <v>30</v>
      </c>
    </row>
    <row r="41" spans="1:3" x14ac:dyDescent="0.25">
      <c r="A41">
        <v>40</v>
      </c>
      <c r="B41" t="s">
        <v>59</v>
      </c>
      <c r="C41">
        <v>17</v>
      </c>
    </row>
    <row r="42" spans="1:3" x14ac:dyDescent="0.25">
      <c r="A42">
        <v>41</v>
      </c>
      <c r="B42" t="s">
        <v>61</v>
      </c>
      <c r="C42">
        <v>33</v>
      </c>
    </row>
    <row r="43" spans="1:3" x14ac:dyDescent="0.25">
      <c r="A43">
        <v>42</v>
      </c>
      <c r="B43" t="s">
        <v>60</v>
      </c>
      <c r="C43">
        <v>22</v>
      </c>
    </row>
    <row r="44" spans="1:3" x14ac:dyDescent="0.25">
      <c r="A44">
        <v>43</v>
      </c>
      <c r="B44" t="s">
        <v>61</v>
      </c>
      <c r="C44">
        <v>55</v>
      </c>
    </row>
    <row r="45" spans="1:3" x14ac:dyDescent="0.25">
      <c r="A45">
        <v>44</v>
      </c>
      <c r="B45" t="s">
        <v>60</v>
      </c>
      <c r="C45">
        <v>22</v>
      </c>
    </row>
    <row r="46" spans="1:3" x14ac:dyDescent="0.25">
      <c r="A46">
        <v>45</v>
      </c>
      <c r="B46" t="s">
        <v>61</v>
      </c>
      <c r="C46">
        <v>44</v>
      </c>
    </row>
    <row r="47" spans="1:3" x14ac:dyDescent="0.25">
      <c r="A47">
        <v>46</v>
      </c>
      <c r="B47" t="s">
        <v>60</v>
      </c>
      <c r="C47">
        <v>20</v>
      </c>
    </row>
    <row r="48" spans="1:3" x14ac:dyDescent="0.25">
      <c r="A48">
        <v>47</v>
      </c>
      <c r="B48" t="s">
        <v>60</v>
      </c>
      <c r="C48">
        <v>31</v>
      </c>
    </row>
    <row r="49" spans="1:3" x14ac:dyDescent="0.25">
      <c r="A49">
        <v>48</v>
      </c>
      <c r="B49" t="s">
        <v>59</v>
      </c>
      <c r="C49">
        <v>21</v>
      </c>
    </row>
    <row r="50" spans="1:3" x14ac:dyDescent="0.25">
      <c r="A50">
        <v>49</v>
      </c>
      <c r="B50" t="s">
        <v>60</v>
      </c>
      <c r="C50">
        <v>33</v>
      </c>
    </row>
    <row r="51" spans="1:3" x14ac:dyDescent="0.25">
      <c r="A51">
        <v>50</v>
      </c>
      <c r="B51" t="s">
        <v>60</v>
      </c>
      <c r="C51">
        <v>27</v>
      </c>
    </row>
    <row r="52" spans="1:3" x14ac:dyDescent="0.25">
      <c r="A52">
        <v>51</v>
      </c>
      <c r="B52" t="s">
        <v>59</v>
      </c>
      <c r="C52">
        <v>20</v>
      </c>
    </row>
    <row r="53" spans="1:3" x14ac:dyDescent="0.25">
      <c r="A53">
        <v>52</v>
      </c>
      <c r="B53" t="s">
        <v>59</v>
      </c>
      <c r="C53">
        <v>11</v>
      </c>
    </row>
    <row r="54" spans="1:3" x14ac:dyDescent="0.25">
      <c r="A54">
        <v>53</v>
      </c>
      <c r="B54" t="s">
        <v>59</v>
      </c>
      <c r="C54">
        <v>22</v>
      </c>
    </row>
    <row r="55" spans="1:3" x14ac:dyDescent="0.25">
      <c r="A55">
        <v>54</v>
      </c>
      <c r="B55" t="s">
        <v>59</v>
      </c>
      <c r="C55">
        <v>20</v>
      </c>
    </row>
    <row r="56" spans="1:3" x14ac:dyDescent="0.25">
      <c r="A56">
        <v>55</v>
      </c>
      <c r="B56" t="s">
        <v>59</v>
      </c>
      <c r="C56">
        <v>22</v>
      </c>
    </row>
    <row r="57" spans="1:3" x14ac:dyDescent="0.25">
      <c r="A57">
        <v>56</v>
      </c>
      <c r="B57" t="s">
        <v>59</v>
      </c>
      <c r="C57">
        <v>25</v>
      </c>
    </row>
    <row r="58" spans="1:3" x14ac:dyDescent="0.25">
      <c r="A58">
        <v>57</v>
      </c>
      <c r="B58" t="s">
        <v>59</v>
      </c>
      <c r="C58">
        <v>16</v>
      </c>
    </row>
    <row r="59" spans="1:3" x14ac:dyDescent="0.25">
      <c r="A59">
        <v>58</v>
      </c>
      <c r="B59" t="s">
        <v>59</v>
      </c>
      <c r="C59">
        <v>20</v>
      </c>
    </row>
    <row r="60" spans="1:3" x14ac:dyDescent="0.25">
      <c r="A60">
        <v>59</v>
      </c>
      <c r="B60" t="s">
        <v>60</v>
      </c>
      <c r="C60">
        <v>34</v>
      </c>
    </row>
    <row r="61" spans="1:3" x14ac:dyDescent="0.25">
      <c r="A61">
        <v>60</v>
      </c>
      <c r="B61" t="s">
        <v>60</v>
      </c>
      <c r="C61">
        <v>30</v>
      </c>
    </row>
    <row r="62" spans="1:3" x14ac:dyDescent="0.25">
      <c r="A62">
        <v>61</v>
      </c>
      <c r="B62" t="s">
        <v>59</v>
      </c>
      <c r="C62">
        <v>14</v>
      </c>
    </row>
    <row r="63" spans="1:3" x14ac:dyDescent="0.25">
      <c r="A63">
        <v>62</v>
      </c>
      <c r="B63" t="s">
        <v>60</v>
      </c>
      <c r="C63">
        <v>28</v>
      </c>
    </row>
    <row r="64" spans="1:3" x14ac:dyDescent="0.25">
      <c r="A64">
        <v>63</v>
      </c>
      <c r="B64" t="s">
        <v>59</v>
      </c>
      <c r="C64">
        <v>12</v>
      </c>
    </row>
    <row r="65" spans="1:3" x14ac:dyDescent="0.25">
      <c r="A65">
        <v>64</v>
      </c>
      <c r="B65" t="s">
        <v>60</v>
      </c>
      <c r="C65">
        <v>27</v>
      </c>
    </row>
    <row r="66" spans="1:3" x14ac:dyDescent="0.25">
      <c r="A66">
        <v>65</v>
      </c>
      <c r="B66" t="s">
        <v>61</v>
      </c>
      <c r="C66">
        <v>57</v>
      </c>
    </row>
    <row r="67" spans="1:3" x14ac:dyDescent="0.25">
      <c r="A67">
        <v>66</v>
      </c>
      <c r="B67" t="s">
        <v>61</v>
      </c>
      <c r="C67">
        <v>36</v>
      </c>
    </row>
    <row r="68" spans="1:3" x14ac:dyDescent="0.25">
      <c r="A68">
        <v>67</v>
      </c>
      <c r="B68" t="s">
        <v>59</v>
      </c>
      <c r="C68">
        <v>11</v>
      </c>
    </row>
    <row r="69" spans="1:3" x14ac:dyDescent="0.25">
      <c r="A69">
        <v>68</v>
      </c>
      <c r="B69" t="s">
        <v>61</v>
      </c>
      <c r="C69">
        <v>44</v>
      </c>
    </row>
    <row r="70" spans="1:3" x14ac:dyDescent="0.25">
      <c r="A70">
        <v>69</v>
      </c>
      <c r="B70" t="s">
        <v>59</v>
      </c>
      <c r="C70">
        <v>25</v>
      </c>
    </row>
    <row r="71" spans="1:3" x14ac:dyDescent="0.25">
      <c r="A71">
        <v>70</v>
      </c>
      <c r="B71" t="s">
        <v>61</v>
      </c>
      <c r="C71">
        <v>48</v>
      </c>
    </row>
    <row r="72" spans="1:3" x14ac:dyDescent="0.25">
      <c r="A72">
        <v>71</v>
      </c>
      <c r="B72" t="s">
        <v>60</v>
      </c>
      <c r="C72">
        <v>18</v>
      </c>
    </row>
    <row r="73" spans="1:3" x14ac:dyDescent="0.25">
      <c r="A73">
        <v>72</v>
      </c>
      <c r="B73" t="s">
        <v>60</v>
      </c>
      <c r="C73">
        <v>32</v>
      </c>
    </row>
    <row r="74" spans="1:3" x14ac:dyDescent="0.25">
      <c r="A74">
        <v>73</v>
      </c>
      <c r="B74" t="s">
        <v>59</v>
      </c>
      <c r="C74">
        <v>10</v>
      </c>
    </row>
    <row r="75" spans="1:3" x14ac:dyDescent="0.25">
      <c r="A75">
        <v>74</v>
      </c>
      <c r="B75" t="s">
        <v>59</v>
      </c>
      <c r="C75">
        <v>12</v>
      </c>
    </row>
    <row r="76" spans="1:3" x14ac:dyDescent="0.25">
      <c r="A76">
        <v>75</v>
      </c>
      <c r="B76" t="s">
        <v>59</v>
      </c>
      <c r="C76">
        <v>13</v>
      </c>
    </row>
    <row r="77" spans="1:3" x14ac:dyDescent="0.25">
      <c r="A77">
        <v>76</v>
      </c>
      <c r="B77" t="s">
        <v>61</v>
      </c>
      <c r="C77">
        <v>37</v>
      </c>
    </row>
    <row r="78" spans="1:3" x14ac:dyDescent="0.25">
      <c r="A78">
        <v>77</v>
      </c>
      <c r="B78" t="s">
        <v>59</v>
      </c>
      <c r="C78">
        <v>13</v>
      </c>
    </row>
    <row r="79" spans="1:3" x14ac:dyDescent="0.25">
      <c r="A79">
        <v>78</v>
      </c>
      <c r="B79" t="s">
        <v>60</v>
      </c>
      <c r="C79">
        <v>25</v>
      </c>
    </row>
    <row r="80" spans="1:3" x14ac:dyDescent="0.25">
      <c r="A80">
        <v>79</v>
      </c>
      <c r="B80" t="s">
        <v>60</v>
      </c>
      <c r="C80">
        <v>22</v>
      </c>
    </row>
    <row r="81" spans="1:3" x14ac:dyDescent="0.25">
      <c r="A81">
        <v>80</v>
      </c>
      <c r="B81" t="s">
        <v>60</v>
      </c>
      <c r="C81">
        <v>25</v>
      </c>
    </row>
    <row r="82" spans="1:3" x14ac:dyDescent="0.25">
      <c r="A82">
        <v>81</v>
      </c>
      <c r="B82" t="s">
        <v>60</v>
      </c>
      <c r="C82">
        <v>28</v>
      </c>
    </row>
    <row r="83" spans="1:3" x14ac:dyDescent="0.25">
      <c r="A83">
        <v>82</v>
      </c>
      <c r="B83" t="s">
        <v>60</v>
      </c>
      <c r="C83">
        <v>33</v>
      </c>
    </row>
    <row r="84" spans="1:3" x14ac:dyDescent="0.25">
      <c r="A84">
        <v>83</v>
      </c>
      <c r="B84" t="s">
        <v>59</v>
      </c>
      <c r="C84">
        <v>11</v>
      </c>
    </row>
    <row r="85" spans="1:3" x14ac:dyDescent="0.25">
      <c r="A85">
        <v>84</v>
      </c>
      <c r="B85" t="s">
        <v>61</v>
      </c>
      <c r="C85">
        <v>51</v>
      </c>
    </row>
    <row r="86" spans="1:3" x14ac:dyDescent="0.25">
      <c r="A86">
        <v>85</v>
      </c>
      <c r="B86" t="s">
        <v>59</v>
      </c>
      <c r="C86">
        <v>14</v>
      </c>
    </row>
    <row r="87" spans="1:3" x14ac:dyDescent="0.25">
      <c r="A87">
        <v>86</v>
      </c>
      <c r="B87" t="s">
        <v>60</v>
      </c>
      <c r="C87">
        <v>19</v>
      </c>
    </row>
    <row r="88" spans="1:3" x14ac:dyDescent="0.25">
      <c r="A88">
        <v>87</v>
      </c>
      <c r="B88" t="s">
        <v>59</v>
      </c>
      <c r="C88">
        <v>19</v>
      </c>
    </row>
    <row r="89" spans="1:3" x14ac:dyDescent="0.25">
      <c r="A89">
        <v>88</v>
      </c>
      <c r="B89" t="s">
        <v>60</v>
      </c>
      <c r="C89">
        <v>31</v>
      </c>
    </row>
    <row r="90" spans="1:3" x14ac:dyDescent="0.25">
      <c r="A90">
        <v>89</v>
      </c>
      <c r="B90" t="s">
        <v>59</v>
      </c>
      <c r="C90">
        <v>17</v>
      </c>
    </row>
    <row r="91" spans="1:3" x14ac:dyDescent="0.25">
      <c r="A91">
        <v>90</v>
      </c>
      <c r="B91" t="s">
        <v>60</v>
      </c>
      <c r="C91">
        <v>33</v>
      </c>
    </row>
    <row r="92" spans="1:3" x14ac:dyDescent="0.25">
      <c r="A92">
        <v>91</v>
      </c>
      <c r="B92" t="s">
        <v>60</v>
      </c>
      <c r="C92">
        <v>28</v>
      </c>
    </row>
    <row r="93" spans="1:3" x14ac:dyDescent="0.25">
      <c r="A93">
        <v>92</v>
      </c>
      <c r="B93" t="s">
        <v>59</v>
      </c>
      <c r="C93">
        <v>19</v>
      </c>
    </row>
    <row r="94" spans="1:3" x14ac:dyDescent="0.25">
      <c r="A94">
        <v>93</v>
      </c>
      <c r="B94" t="s">
        <v>59</v>
      </c>
      <c r="C94">
        <v>23</v>
      </c>
    </row>
    <row r="95" spans="1:3" x14ac:dyDescent="0.25">
      <c r="A95">
        <v>94</v>
      </c>
      <c r="B95" t="s">
        <v>60</v>
      </c>
      <c r="C95">
        <v>23</v>
      </c>
    </row>
    <row r="96" spans="1:3" x14ac:dyDescent="0.25">
      <c r="A96">
        <v>95</v>
      </c>
      <c r="B96" t="s">
        <v>59</v>
      </c>
      <c r="C96">
        <v>15</v>
      </c>
    </row>
    <row r="97" spans="1:3" x14ac:dyDescent="0.25">
      <c r="A97">
        <v>96</v>
      </c>
      <c r="B97" t="s">
        <v>60</v>
      </c>
      <c r="C97">
        <v>22</v>
      </c>
    </row>
    <row r="98" spans="1:3" x14ac:dyDescent="0.25">
      <c r="A98">
        <v>97</v>
      </c>
      <c r="B98" t="s">
        <v>60</v>
      </c>
      <c r="C98">
        <v>21</v>
      </c>
    </row>
    <row r="99" spans="1:3" x14ac:dyDescent="0.25">
      <c r="A99">
        <v>98</v>
      </c>
      <c r="B99" t="s">
        <v>61</v>
      </c>
      <c r="C99">
        <v>37</v>
      </c>
    </row>
    <row r="100" spans="1:3" x14ac:dyDescent="0.25">
      <c r="A100">
        <v>99</v>
      </c>
      <c r="B100" t="s">
        <v>59</v>
      </c>
      <c r="C100">
        <v>23</v>
      </c>
    </row>
    <row r="101" spans="1:3" x14ac:dyDescent="0.25">
      <c r="A101">
        <v>100</v>
      </c>
      <c r="B101" t="s">
        <v>60</v>
      </c>
      <c r="C101">
        <v>21</v>
      </c>
    </row>
    <row r="102" spans="1:3" x14ac:dyDescent="0.25">
      <c r="A102">
        <v>101</v>
      </c>
      <c r="B102" t="s">
        <v>60</v>
      </c>
      <c r="C102">
        <v>23</v>
      </c>
    </row>
    <row r="103" spans="1:3" x14ac:dyDescent="0.25">
      <c r="A103">
        <v>102</v>
      </c>
      <c r="B103" t="s">
        <v>59</v>
      </c>
      <c r="C103">
        <v>17</v>
      </c>
    </row>
    <row r="104" spans="1:3" x14ac:dyDescent="0.25">
      <c r="A104">
        <v>103</v>
      </c>
      <c r="B104" t="s">
        <v>61</v>
      </c>
      <c r="C104">
        <v>59</v>
      </c>
    </row>
    <row r="105" spans="1:3" x14ac:dyDescent="0.25">
      <c r="A105">
        <v>104</v>
      </c>
      <c r="B105" t="s">
        <v>61</v>
      </c>
      <c r="C105">
        <v>50</v>
      </c>
    </row>
    <row r="106" spans="1:3" x14ac:dyDescent="0.25">
      <c r="A106">
        <v>105</v>
      </c>
      <c r="B106" t="s">
        <v>61</v>
      </c>
      <c r="C106">
        <v>60</v>
      </c>
    </row>
    <row r="107" spans="1:3" x14ac:dyDescent="0.25">
      <c r="A107">
        <v>106</v>
      </c>
      <c r="B107" t="s">
        <v>61</v>
      </c>
      <c r="C107">
        <v>31</v>
      </c>
    </row>
    <row r="108" spans="1:3" x14ac:dyDescent="0.25">
      <c r="A108">
        <v>107</v>
      </c>
      <c r="B108" t="s">
        <v>59</v>
      </c>
      <c r="C108">
        <v>24</v>
      </c>
    </row>
    <row r="109" spans="1:3" x14ac:dyDescent="0.25">
      <c r="A109">
        <v>108</v>
      </c>
      <c r="B109" t="s">
        <v>61</v>
      </c>
      <c r="C109">
        <v>34</v>
      </c>
    </row>
    <row r="110" spans="1:3" x14ac:dyDescent="0.25">
      <c r="A110">
        <v>109</v>
      </c>
      <c r="B110" t="s">
        <v>59</v>
      </c>
      <c r="C110">
        <v>19</v>
      </c>
    </row>
    <row r="111" spans="1:3" x14ac:dyDescent="0.25">
      <c r="A111">
        <v>110</v>
      </c>
      <c r="B111" t="s">
        <v>59</v>
      </c>
      <c r="C111">
        <v>10</v>
      </c>
    </row>
    <row r="112" spans="1:3" x14ac:dyDescent="0.25">
      <c r="A112">
        <v>111</v>
      </c>
      <c r="B112" t="s">
        <v>60</v>
      </c>
      <c r="C112">
        <v>21</v>
      </c>
    </row>
    <row r="113" spans="1:3" x14ac:dyDescent="0.25">
      <c r="A113">
        <v>112</v>
      </c>
      <c r="B113" t="s">
        <v>59</v>
      </c>
      <c r="C113">
        <v>15</v>
      </c>
    </row>
    <row r="114" spans="1:3" x14ac:dyDescent="0.25">
      <c r="A114">
        <v>113</v>
      </c>
      <c r="B114" t="s">
        <v>59</v>
      </c>
      <c r="C114">
        <v>20</v>
      </c>
    </row>
    <row r="115" spans="1:3" x14ac:dyDescent="0.25">
      <c r="A115">
        <v>114</v>
      </c>
      <c r="B115" t="s">
        <v>61</v>
      </c>
      <c r="C115">
        <v>47</v>
      </c>
    </row>
    <row r="116" spans="1:3" x14ac:dyDescent="0.25">
      <c r="A116">
        <v>115</v>
      </c>
      <c r="B116" t="s">
        <v>60</v>
      </c>
      <c r="C116">
        <v>30</v>
      </c>
    </row>
    <row r="117" spans="1:3" x14ac:dyDescent="0.25">
      <c r="A117">
        <v>116</v>
      </c>
      <c r="B117" t="s">
        <v>59</v>
      </c>
      <c r="C117">
        <v>10</v>
      </c>
    </row>
    <row r="118" spans="1:3" x14ac:dyDescent="0.25">
      <c r="A118">
        <v>117</v>
      </c>
      <c r="B118" t="s">
        <v>60</v>
      </c>
      <c r="C118">
        <v>29</v>
      </c>
    </row>
    <row r="119" spans="1:3" x14ac:dyDescent="0.25">
      <c r="A119">
        <v>118</v>
      </c>
      <c r="B119" t="s">
        <v>60</v>
      </c>
      <c r="C119">
        <v>24</v>
      </c>
    </row>
    <row r="120" spans="1:3" x14ac:dyDescent="0.25">
      <c r="A120">
        <v>119</v>
      </c>
      <c r="B120" t="s">
        <v>59</v>
      </c>
      <c r="C120">
        <v>13</v>
      </c>
    </row>
    <row r="121" spans="1:3" x14ac:dyDescent="0.25">
      <c r="A121">
        <v>120</v>
      </c>
      <c r="B121" t="s">
        <v>61</v>
      </c>
      <c r="C121">
        <v>43</v>
      </c>
    </row>
    <row r="122" spans="1:3" x14ac:dyDescent="0.25">
      <c r="A122">
        <v>121</v>
      </c>
      <c r="B122" t="s">
        <v>60</v>
      </c>
      <c r="C122">
        <v>25</v>
      </c>
    </row>
    <row r="123" spans="1:3" x14ac:dyDescent="0.25">
      <c r="A123">
        <v>122</v>
      </c>
      <c r="B123" t="s">
        <v>59</v>
      </c>
      <c r="C123">
        <v>20</v>
      </c>
    </row>
    <row r="124" spans="1:3" x14ac:dyDescent="0.25">
      <c r="A124">
        <v>123</v>
      </c>
      <c r="B124" t="s">
        <v>59</v>
      </c>
      <c r="C124">
        <v>17</v>
      </c>
    </row>
    <row r="125" spans="1:3" x14ac:dyDescent="0.25">
      <c r="A125">
        <v>124</v>
      </c>
      <c r="B125" t="s">
        <v>59</v>
      </c>
      <c r="C125">
        <v>24</v>
      </c>
    </row>
    <row r="126" spans="1:3" x14ac:dyDescent="0.25">
      <c r="A126">
        <v>125</v>
      </c>
      <c r="B126" t="s">
        <v>61</v>
      </c>
      <c r="C126">
        <v>38</v>
      </c>
    </row>
    <row r="127" spans="1:3" x14ac:dyDescent="0.25">
      <c r="A127">
        <v>126</v>
      </c>
      <c r="B127" t="s">
        <v>60</v>
      </c>
      <c r="C127">
        <v>34</v>
      </c>
    </row>
    <row r="128" spans="1:3" x14ac:dyDescent="0.25">
      <c r="A128">
        <v>127</v>
      </c>
      <c r="B128" t="s">
        <v>59</v>
      </c>
      <c r="C128">
        <v>15</v>
      </c>
    </row>
    <row r="129" spans="1:3" x14ac:dyDescent="0.25">
      <c r="A129">
        <v>128</v>
      </c>
      <c r="B129" t="s">
        <v>59</v>
      </c>
      <c r="C129">
        <v>20</v>
      </c>
    </row>
    <row r="130" spans="1:3" x14ac:dyDescent="0.25">
      <c r="A130">
        <v>129</v>
      </c>
      <c r="B130" t="s">
        <v>61</v>
      </c>
      <c r="C130">
        <v>60</v>
      </c>
    </row>
    <row r="131" spans="1:3" x14ac:dyDescent="0.25">
      <c r="A131">
        <v>130</v>
      </c>
      <c r="B131" t="s">
        <v>59</v>
      </c>
      <c r="C131">
        <v>20</v>
      </c>
    </row>
    <row r="132" spans="1:3" x14ac:dyDescent="0.25">
      <c r="A132">
        <v>131</v>
      </c>
      <c r="B132" t="s">
        <v>61</v>
      </c>
      <c r="C132">
        <v>33</v>
      </c>
    </row>
    <row r="133" spans="1:3" x14ac:dyDescent="0.25">
      <c r="A133">
        <v>132</v>
      </c>
      <c r="B133" t="s">
        <v>60</v>
      </c>
      <c r="C133">
        <v>27</v>
      </c>
    </row>
    <row r="134" spans="1:3" x14ac:dyDescent="0.25">
      <c r="A134">
        <v>133</v>
      </c>
      <c r="B134" t="s">
        <v>59</v>
      </c>
      <c r="C134">
        <v>10</v>
      </c>
    </row>
    <row r="135" spans="1:3" x14ac:dyDescent="0.25">
      <c r="A135">
        <v>134</v>
      </c>
      <c r="B135" t="s">
        <v>59</v>
      </c>
      <c r="C135">
        <v>11</v>
      </c>
    </row>
    <row r="136" spans="1:3" x14ac:dyDescent="0.25">
      <c r="A136">
        <v>135</v>
      </c>
      <c r="B136" t="s">
        <v>61</v>
      </c>
      <c r="C136">
        <v>39</v>
      </c>
    </row>
    <row r="137" spans="1:3" x14ac:dyDescent="0.25">
      <c r="A137">
        <v>136</v>
      </c>
      <c r="B137" t="s">
        <v>61</v>
      </c>
      <c r="C137">
        <v>33</v>
      </c>
    </row>
    <row r="138" spans="1:3" x14ac:dyDescent="0.25">
      <c r="A138">
        <v>137</v>
      </c>
      <c r="B138" t="s">
        <v>59</v>
      </c>
      <c r="C138">
        <v>10</v>
      </c>
    </row>
    <row r="139" spans="1:3" x14ac:dyDescent="0.25">
      <c r="A139">
        <v>138</v>
      </c>
      <c r="B139" t="s">
        <v>60</v>
      </c>
      <c r="C139">
        <v>28</v>
      </c>
    </row>
    <row r="140" spans="1:3" x14ac:dyDescent="0.25">
      <c r="A140">
        <v>139</v>
      </c>
      <c r="B140" t="s">
        <v>60</v>
      </c>
      <c r="C140">
        <v>34</v>
      </c>
    </row>
    <row r="141" spans="1:3" x14ac:dyDescent="0.25">
      <c r="A141">
        <v>140</v>
      </c>
      <c r="B141" t="s">
        <v>60</v>
      </c>
      <c r="C141">
        <v>30</v>
      </c>
    </row>
    <row r="142" spans="1:3" x14ac:dyDescent="0.25">
      <c r="A142">
        <v>141</v>
      </c>
      <c r="B142" t="s">
        <v>60</v>
      </c>
      <c r="C142">
        <v>20</v>
      </c>
    </row>
    <row r="143" spans="1:3" x14ac:dyDescent="0.25">
      <c r="A143">
        <v>142</v>
      </c>
      <c r="B143" t="s">
        <v>60</v>
      </c>
      <c r="C143">
        <v>35</v>
      </c>
    </row>
    <row r="144" spans="1:3" x14ac:dyDescent="0.25">
      <c r="A144">
        <v>143</v>
      </c>
      <c r="B144" t="s">
        <v>59</v>
      </c>
      <c r="C144">
        <v>24</v>
      </c>
    </row>
    <row r="145" spans="1:3" x14ac:dyDescent="0.25">
      <c r="A145">
        <v>144</v>
      </c>
      <c r="B145" t="s">
        <v>60</v>
      </c>
      <c r="C145">
        <v>31</v>
      </c>
    </row>
    <row r="146" spans="1:3" x14ac:dyDescent="0.25">
      <c r="A146">
        <v>145</v>
      </c>
      <c r="B146" t="s">
        <v>60</v>
      </c>
      <c r="C146">
        <v>19</v>
      </c>
    </row>
    <row r="147" spans="1:3" x14ac:dyDescent="0.25">
      <c r="A147">
        <v>146</v>
      </c>
      <c r="B147" t="s">
        <v>61</v>
      </c>
      <c r="C147">
        <v>46</v>
      </c>
    </row>
    <row r="148" spans="1:3" x14ac:dyDescent="0.25">
      <c r="A148">
        <v>147</v>
      </c>
      <c r="B148" t="s">
        <v>59</v>
      </c>
      <c r="C148">
        <v>18</v>
      </c>
    </row>
    <row r="149" spans="1:3" x14ac:dyDescent="0.25">
      <c r="A149">
        <v>148</v>
      </c>
      <c r="B149" t="s">
        <v>59</v>
      </c>
      <c r="C149">
        <v>25</v>
      </c>
    </row>
    <row r="150" spans="1:3" x14ac:dyDescent="0.25">
      <c r="A150">
        <v>149</v>
      </c>
      <c r="B150" t="s">
        <v>59</v>
      </c>
      <c r="C150">
        <v>11</v>
      </c>
    </row>
    <row r="151" spans="1:3" x14ac:dyDescent="0.25">
      <c r="A151">
        <v>150</v>
      </c>
      <c r="B151" t="s">
        <v>59</v>
      </c>
      <c r="C151">
        <v>20</v>
      </c>
    </row>
    <row r="152" spans="1:3" x14ac:dyDescent="0.25">
      <c r="A152">
        <v>151</v>
      </c>
      <c r="B152" t="s">
        <v>61</v>
      </c>
      <c r="C152">
        <v>60</v>
      </c>
    </row>
    <row r="153" spans="1:3" x14ac:dyDescent="0.25">
      <c r="A153">
        <v>152</v>
      </c>
      <c r="B153" t="s">
        <v>60</v>
      </c>
      <c r="C153">
        <v>21</v>
      </c>
    </row>
    <row r="154" spans="1:3" x14ac:dyDescent="0.25">
      <c r="A154">
        <v>153</v>
      </c>
      <c r="B154" t="s">
        <v>59</v>
      </c>
      <c r="C154">
        <v>19</v>
      </c>
    </row>
    <row r="155" spans="1:3" x14ac:dyDescent="0.25">
      <c r="A155">
        <v>154</v>
      </c>
      <c r="B155" t="s">
        <v>61</v>
      </c>
      <c r="C155">
        <v>52</v>
      </c>
    </row>
    <row r="156" spans="1:3" x14ac:dyDescent="0.25">
      <c r="A156">
        <v>155</v>
      </c>
      <c r="B156" t="s">
        <v>60</v>
      </c>
      <c r="C156">
        <v>24</v>
      </c>
    </row>
    <row r="157" spans="1:3" x14ac:dyDescent="0.25">
      <c r="A157">
        <v>156</v>
      </c>
      <c r="B157" t="s">
        <v>59</v>
      </c>
      <c r="C157">
        <v>12</v>
      </c>
    </row>
    <row r="158" spans="1:3" x14ac:dyDescent="0.25">
      <c r="A158">
        <v>157</v>
      </c>
      <c r="B158" t="s">
        <v>60</v>
      </c>
      <c r="C158">
        <v>30</v>
      </c>
    </row>
    <row r="159" spans="1:3" x14ac:dyDescent="0.25">
      <c r="A159">
        <v>158</v>
      </c>
      <c r="B159" t="s">
        <v>60</v>
      </c>
      <c r="C159">
        <v>33</v>
      </c>
    </row>
    <row r="160" spans="1:3" x14ac:dyDescent="0.25">
      <c r="A160">
        <v>159</v>
      </c>
      <c r="B160" t="s">
        <v>59</v>
      </c>
      <c r="C160">
        <v>11</v>
      </c>
    </row>
    <row r="161" spans="1:3" x14ac:dyDescent="0.25">
      <c r="A161">
        <v>160</v>
      </c>
      <c r="B161" t="s">
        <v>59</v>
      </c>
      <c r="C161">
        <v>17</v>
      </c>
    </row>
    <row r="162" spans="1:3" x14ac:dyDescent="0.25">
      <c r="A162">
        <v>161</v>
      </c>
      <c r="B162" t="s">
        <v>59</v>
      </c>
      <c r="C162">
        <v>13</v>
      </c>
    </row>
    <row r="163" spans="1:3" x14ac:dyDescent="0.25">
      <c r="A163">
        <v>162</v>
      </c>
      <c r="B163" t="s">
        <v>60</v>
      </c>
      <c r="C163">
        <v>26</v>
      </c>
    </row>
    <row r="164" spans="1:3" x14ac:dyDescent="0.25">
      <c r="A164">
        <v>163</v>
      </c>
      <c r="B164" t="s">
        <v>61</v>
      </c>
      <c r="C164">
        <v>53</v>
      </c>
    </row>
    <row r="165" spans="1:3" x14ac:dyDescent="0.25">
      <c r="A165">
        <v>164</v>
      </c>
      <c r="B165" t="s">
        <v>59</v>
      </c>
      <c r="C165">
        <v>19</v>
      </c>
    </row>
    <row r="166" spans="1:3" x14ac:dyDescent="0.25">
      <c r="A166">
        <v>165</v>
      </c>
      <c r="B166" t="s">
        <v>59</v>
      </c>
      <c r="C166">
        <v>18</v>
      </c>
    </row>
    <row r="167" spans="1:3" x14ac:dyDescent="0.25">
      <c r="A167">
        <v>166</v>
      </c>
      <c r="B167" t="s">
        <v>59</v>
      </c>
      <c r="C167">
        <v>15</v>
      </c>
    </row>
    <row r="168" spans="1:3" x14ac:dyDescent="0.25">
      <c r="A168">
        <v>167</v>
      </c>
      <c r="B168" t="s">
        <v>59</v>
      </c>
      <c r="C168">
        <v>13</v>
      </c>
    </row>
    <row r="169" spans="1:3" x14ac:dyDescent="0.25">
      <c r="A169">
        <v>168</v>
      </c>
      <c r="B169" t="s">
        <v>60</v>
      </c>
      <c r="C169">
        <v>29</v>
      </c>
    </row>
    <row r="170" spans="1:3" x14ac:dyDescent="0.25">
      <c r="A170">
        <v>169</v>
      </c>
      <c r="B170" t="s">
        <v>60</v>
      </c>
      <c r="C170">
        <v>19</v>
      </c>
    </row>
    <row r="171" spans="1:3" x14ac:dyDescent="0.25">
      <c r="A171">
        <v>170</v>
      </c>
      <c r="B171" t="s">
        <v>60</v>
      </c>
      <c r="C171">
        <v>34</v>
      </c>
    </row>
    <row r="172" spans="1:3" x14ac:dyDescent="0.25">
      <c r="A172">
        <v>171</v>
      </c>
      <c r="B172" t="s">
        <v>59</v>
      </c>
      <c r="C172">
        <v>16</v>
      </c>
    </row>
    <row r="173" spans="1:3" x14ac:dyDescent="0.25">
      <c r="A173">
        <v>172</v>
      </c>
      <c r="B173" t="s">
        <v>59</v>
      </c>
      <c r="C173">
        <v>21</v>
      </c>
    </row>
    <row r="174" spans="1:3" x14ac:dyDescent="0.25">
      <c r="A174">
        <v>173</v>
      </c>
      <c r="B174" t="s">
        <v>59</v>
      </c>
      <c r="C174">
        <v>21</v>
      </c>
    </row>
    <row r="175" spans="1:3" x14ac:dyDescent="0.25">
      <c r="A175">
        <v>174</v>
      </c>
      <c r="B175" t="s">
        <v>59</v>
      </c>
      <c r="C175">
        <v>19</v>
      </c>
    </row>
    <row r="176" spans="1:3" x14ac:dyDescent="0.25">
      <c r="A176">
        <v>175</v>
      </c>
      <c r="B176" t="s">
        <v>59</v>
      </c>
      <c r="C176">
        <v>10</v>
      </c>
    </row>
    <row r="177" spans="1:3" x14ac:dyDescent="0.25">
      <c r="A177">
        <v>176</v>
      </c>
      <c r="B177" t="s">
        <v>59</v>
      </c>
      <c r="C177">
        <v>14</v>
      </c>
    </row>
    <row r="178" spans="1:3" x14ac:dyDescent="0.25">
      <c r="A178">
        <v>177</v>
      </c>
      <c r="B178" t="s">
        <v>60</v>
      </c>
      <c r="C178">
        <v>18</v>
      </c>
    </row>
    <row r="179" spans="1:3" x14ac:dyDescent="0.25">
      <c r="A179">
        <v>178</v>
      </c>
      <c r="B179" t="s">
        <v>59</v>
      </c>
      <c r="C179">
        <v>22</v>
      </c>
    </row>
    <row r="180" spans="1:3" x14ac:dyDescent="0.25">
      <c r="A180">
        <v>179</v>
      </c>
      <c r="B180" t="s">
        <v>59</v>
      </c>
      <c r="C180">
        <v>19</v>
      </c>
    </row>
    <row r="181" spans="1:3" x14ac:dyDescent="0.25">
      <c r="A181">
        <v>180</v>
      </c>
      <c r="B181" t="s">
        <v>60</v>
      </c>
      <c r="C181">
        <v>28</v>
      </c>
    </row>
    <row r="182" spans="1:3" x14ac:dyDescent="0.25">
      <c r="A182">
        <v>181</v>
      </c>
      <c r="B182" t="s">
        <v>59</v>
      </c>
      <c r="C182">
        <v>15</v>
      </c>
    </row>
    <row r="183" spans="1:3" x14ac:dyDescent="0.25">
      <c r="A183">
        <v>182</v>
      </c>
      <c r="B183" t="s">
        <v>60</v>
      </c>
      <c r="C183">
        <v>24</v>
      </c>
    </row>
    <row r="184" spans="1:3" x14ac:dyDescent="0.25">
      <c r="A184">
        <v>183</v>
      </c>
      <c r="B184" t="s">
        <v>59</v>
      </c>
      <c r="C184">
        <v>20</v>
      </c>
    </row>
    <row r="185" spans="1:3" x14ac:dyDescent="0.25">
      <c r="A185">
        <v>184</v>
      </c>
      <c r="B185" t="s">
        <v>59</v>
      </c>
      <c r="C185">
        <v>19</v>
      </c>
    </row>
    <row r="186" spans="1:3" x14ac:dyDescent="0.25">
      <c r="A186">
        <v>185</v>
      </c>
      <c r="B186" t="s">
        <v>60</v>
      </c>
      <c r="C186">
        <v>23</v>
      </c>
    </row>
    <row r="187" spans="1:3" x14ac:dyDescent="0.25">
      <c r="A187">
        <v>186</v>
      </c>
      <c r="B187" t="s">
        <v>60</v>
      </c>
      <c r="C187">
        <v>27</v>
      </c>
    </row>
    <row r="188" spans="1:3" x14ac:dyDescent="0.25">
      <c r="A188">
        <v>187</v>
      </c>
      <c r="B188" t="s">
        <v>59</v>
      </c>
      <c r="C188">
        <v>12</v>
      </c>
    </row>
    <row r="189" spans="1:3" x14ac:dyDescent="0.25">
      <c r="A189">
        <v>188</v>
      </c>
      <c r="B189" t="s">
        <v>60</v>
      </c>
      <c r="C189">
        <v>29</v>
      </c>
    </row>
    <row r="190" spans="1:3" x14ac:dyDescent="0.25">
      <c r="A190">
        <v>189</v>
      </c>
      <c r="B190" t="s">
        <v>59</v>
      </c>
      <c r="C190">
        <v>10</v>
      </c>
    </row>
    <row r="191" spans="1:3" x14ac:dyDescent="0.25">
      <c r="A191">
        <v>190</v>
      </c>
      <c r="B191" t="s">
        <v>61</v>
      </c>
      <c r="C191">
        <v>52</v>
      </c>
    </row>
    <row r="192" spans="1:3" x14ac:dyDescent="0.25">
      <c r="A192">
        <v>191</v>
      </c>
      <c r="B192" t="s">
        <v>61</v>
      </c>
      <c r="C192">
        <v>30</v>
      </c>
    </row>
    <row r="193" spans="1:3" x14ac:dyDescent="0.25">
      <c r="A193">
        <v>192</v>
      </c>
      <c r="B193" t="s">
        <v>59</v>
      </c>
      <c r="C193">
        <v>25</v>
      </c>
    </row>
    <row r="194" spans="1:3" x14ac:dyDescent="0.25">
      <c r="A194">
        <v>193</v>
      </c>
      <c r="B194" t="s">
        <v>60</v>
      </c>
      <c r="C194">
        <v>34</v>
      </c>
    </row>
    <row r="195" spans="1:3" x14ac:dyDescent="0.25">
      <c r="A195">
        <v>194</v>
      </c>
      <c r="B195" t="s">
        <v>60</v>
      </c>
      <c r="C195">
        <v>21</v>
      </c>
    </row>
    <row r="196" spans="1:3" x14ac:dyDescent="0.25">
      <c r="A196">
        <v>195</v>
      </c>
      <c r="B196" t="s">
        <v>59</v>
      </c>
      <c r="C196">
        <v>23</v>
      </c>
    </row>
    <row r="197" spans="1:3" x14ac:dyDescent="0.25">
      <c r="A197">
        <v>196</v>
      </c>
      <c r="B197" t="s">
        <v>60</v>
      </c>
      <c r="C197">
        <v>21</v>
      </c>
    </row>
    <row r="198" spans="1:3" x14ac:dyDescent="0.25">
      <c r="A198">
        <v>197</v>
      </c>
      <c r="B198" t="s">
        <v>61</v>
      </c>
      <c r="C198">
        <v>41</v>
      </c>
    </row>
    <row r="199" spans="1:3" x14ac:dyDescent="0.25">
      <c r="A199">
        <v>198</v>
      </c>
      <c r="B199" t="s">
        <v>61</v>
      </c>
      <c r="C199">
        <v>42</v>
      </c>
    </row>
    <row r="200" spans="1:3" x14ac:dyDescent="0.25">
      <c r="A200">
        <v>199</v>
      </c>
      <c r="B200" t="s">
        <v>60</v>
      </c>
      <c r="C200">
        <v>28</v>
      </c>
    </row>
    <row r="201" spans="1:3" x14ac:dyDescent="0.25">
      <c r="A201">
        <v>200</v>
      </c>
      <c r="B201" t="s">
        <v>60</v>
      </c>
      <c r="C201">
        <v>26</v>
      </c>
    </row>
    <row r="202" spans="1:3" x14ac:dyDescent="0.25">
      <c r="A202">
        <v>201</v>
      </c>
      <c r="B202" t="s">
        <v>61</v>
      </c>
      <c r="C202">
        <v>33</v>
      </c>
    </row>
    <row r="203" spans="1:3" x14ac:dyDescent="0.25">
      <c r="A203">
        <v>202</v>
      </c>
      <c r="B203" t="s">
        <v>59</v>
      </c>
      <c r="C203">
        <v>15</v>
      </c>
    </row>
    <row r="204" spans="1:3" x14ac:dyDescent="0.25">
      <c r="A204">
        <v>203</v>
      </c>
      <c r="B204" t="s">
        <v>59</v>
      </c>
      <c r="C204">
        <v>20</v>
      </c>
    </row>
    <row r="205" spans="1:3" x14ac:dyDescent="0.25">
      <c r="A205">
        <v>204</v>
      </c>
      <c r="B205" t="s">
        <v>59</v>
      </c>
      <c r="C205">
        <v>10</v>
      </c>
    </row>
    <row r="206" spans="1:3" x14ac:dyDescent="0.25">
      <c r="A206">
        <v>205</v>
      </c>
      <c r="B206" t="s">
        <v>60</v>
      </c>
      <c r="C206">
        <v>21</v>
      </c>
    </row>
    <row r="207" spans="1:3" x14ac:dyDescent="0.25">
      <c r="A207">
        <v>206</v>
      </c>
      <c r="B207" t="s">
        <v>59</v>
      </c>
      <c r="C207">
        <v>15</v>
      </c>
    </row>
    <row r="208" spans="1:3" x14ac:dyDescent="0.25">
      <c r="A208">
        <v>207</v>
      </c>
      <c r="B208" t="s">
        <v>60</v>
      </c>
      <c r="C208">
        <v>28</v>
      </c>
    </row>
    <row r="209" spans="1:3" x14ac:dyDescent="0.25">
      <c r="A209">
        <v>208</v>
      </c>
      <c r="B209" t="s">
        <v>59</v>
      </c>
      <c r="C209">
        <v>20</v>
      </c>
    </row>
    <row r="210" spans="1:3" x14ac:dyDescent="0.25">
      <c r="A210">
        <v>209</v>
      </c>
      <c r="B210" t="s">
        <v>60</v>
      </c>
      <c r="C210">
        <v>30</v>
      </c>
    </row>
    <row r="211" spans="1:3" x14ac:dyDescent="0.25">
      <c r="A211">
        <v>210</v>
      </c>
      <c r="B211" t="s">
        <v>59</v>
      </c>
      <c r="C211">
        <v>23</v>
      </c>
    </row>
    <row r="212" spans="1:3" x14ac:dyDescent="0.25">
      <c r="A212">
        <v>211</v>
      </c>
      <c r="B212" t="s">
        <v>59</v>
      </c>
      <c r="C212">
        <v>15</v>
      </c>
    </row>
    <row r="213" spans="1:3" x14ac:dyDescent="0.25">
      <c r="A213">
        <v>212</v>
      </c>
      <c r="B213" t="s">
        <v>59</v>
      </c>
      <c r="C213">
        <v>10</v>
      </c>
    </row>
    <row r="214" spans="1:3" x14ac:dyDescent="0.25">
      <c r="A214">
        <v>213</v>
      </c>
      <c r="B214" t="s">
        <v>59</v>
      </c>
      <c r="C214">
        <v>14</v>
      </c>
    </row>
    <row r="215" spans="1:3" x14ac:dyDescent="0.25">
      <c r="A215">
        <v>214</v>
      </c>
      <c r="B215" t="s">
        <v>59</v>
      </c>
      <c r="C215">
        <v>20</v>
      </c>
    </row>
    <row r="216" spans="1:3" x14ac:dyDescent="0.25">
      <c r="A216">
        <v>215</v>
      </c>
      <c r="B216" t="s">
        <v>61</v>
      </c>
      <c r="C216">
        <v>34</v>
      </c>
    </row>
    <row r="217" spans="1:3" x14ac:dyDescent="0.25">
      <c r="A217">
        <v>216</v>
      </c>
      <c r="B217" t="s">
        <v>61</v>
      </c>
      <c r="C217">
        <v>46</v>
      </c>
    </row>
    <row r="218" spans="1:3" x14ac:dyDescent="0.25">
      <c r="A218">
        <v>217</v>
      </c>
      <c r="B218" t="s">
        <v>59</v>
      </c>
      <c r="C218">
        <v>15</v>
      </c>
    </row>
    <row r="219" spans="1:3" x14ac:dyDescent="0.25">
      <c r="A219">
        <v>218</v>
      </c>
      <c r="B219" t="s">
        <v>61</v>
      </c>
      <c r="C219">
        <v>51</v>
      </c>
    </row>
    <row r="220" spans="1:3" x14ac:dyDescent="0.25">
      <c r="A220">
        <v>219</v>
      </c>
      <c r="B220" t="s">
        <v>59</v>
      </c>
      <c r="C220">
        <v>11</v>
      </c>
    </row>
    <row r="221" spans="1:3" x14ac:dyDescent="0.25">
      <c r="A221">
        <v>220</v>
      </c>
      <c r="B221" t="s">
        <v>59</v>
      </c>
      <c r="C221">
        <v>25</v>
      </c>
    </row>
    <row r="222" spans="1:3" x14ac:dyDescent="0.25">
      <c r="A222">
        <v>221</v>
      </c>
      <c r="B222" t="s">
        <v>59</v>
      </c>
      <c r="C222">
        <v>22</v>
      </c>
    </row>
    <row r="223" spans="1:3" x14ac:dyDescent="0.25">
      <c r="A223">
        <v>222</v>
      </c>
      <c r="B223" t="s">
        <v>60</v>
      </c>
      <c r="C223">
        <v>35</v>
      </c>
    </row>
    <row r="224" spans="1:3" x14ac:dyDescent="0.25">
      <c r="A224">
        <v>223</v>
      </c>
      <c r="B224" t="s">
        <v>60</v>
      </c>
      <c r="C224">
        <v>33</v>
      </c>
    </row>
    <row r="225" spans="1:3" x14ac:dyDescent="0.25">
      <c r="A225">
        <v>224</v>
      </c>
      <c r="B225" t="s">
        <v>59</v>
      </c>
      <c r="C225">
        <v>11</v>
      </c>
    </row>
    <row r="226" spans="1:3" x14ac:dyDescent="0.25">
      <c r="A226">
        <v>225</v>
      </c>
      <c r="B226" t="s">
        <v>60</v>
      </c>
      <c r="C226">
        <v>30</v>
      </c>
    </row>
    <row r="227" spans="1:3" x14ac:dyDescent="0.25">
      <c r="A227">
        <v>226</v>
      </c>
      <c r="B227" t="s">
        <v>61</v>
      </c>
      <c r="C227">
        <v>39</v>
      </c>
    </row>
    <row r="228" spans="1:3" x14ac:dyDescent="0.25">
      <c r="A228">
        <v>227</v>
      </c>
      <c r="B228" t="s">
        <v>59</v>
      </c>
      <c r="C228">
        <v>25</v>
      </c>
    </row>
    <row r="229" spans="1:3" x14ac:dyDescent="0.25">
      <c r="A229">
        <v>228</v>
      </c>
      <c r="B229" t="s">
        <v>59</v>
      </c>
      <c r="C229">
        <v>11</v>
      </c>
    </row>
    <row r="230" spans="1:3" x14ac:dyDescent="0.25">
      <c r="A230">
        <v>229</v>
      </c>
      <c r="B230" t="s">
        <v>59</v>
      </c>
      <c r="C230">
        <v>21</v>
      </c>
    </row>
    <row r="231" spans="1:3" x14ac:dyDescent="0.25">
      <c r="A231">
        <v>230</v>
      </c>
      <c r="B231" t="s">
        <v>60</v>
      </c>
      <c r="C231">
        <v>30</v>
      </c>
    </row>
    <row r="232" spans="1:3" x14ac:dyDescent="0.25">
      <c r="A232">
        <v>231</v>
      </c>
      <c r="B232" t="s">
        <v>59</v>
      </c>
      <c r="C232">
        <v>10</v>
      </c>
    </row>
    <row r="233" spans="1:3" x14ac:dyDescent="0.25">
      <c r="A233">
        <v>232</v>
      </c>
      <c r="B233" t="s">
        <v>60</v>
      </c>
      <c r="C233">
        <v>32</v>
      </c>
    </row>
    <row r="234" spans="1:3" x14ac:dyDescent="0.25">
      <c r="A234">
        <v>233</v>
      </c>
      <c r="B234" t="s">
        <v>59</v>
      </c>
      <c r="C234">
        <v>23</v>
      </c>
    </row>
    <row r="235" spans="1:3" x14ac:dyDescent="0.25">
      <c r="A235">
        <v>234</v>
      </c>
      <c r="B235" t="s">
        <v>60</v>
      </c>
      <c r="C235">
        <v>25</v>
      </c>
    </row>
    <row r="236" spans="1:3" x14ac:dyDescent="0.25">
      <c r="A236">
        <v>235</v>
      </c>
      <c r="B236" t="s">
        <v>59</v>
      </c>
      <c r="C236">
        <v>22</v>
      </c>
    </row>
    <row r="237" spans="1:3" x14ac:dyDescent="0.25">
      <c r="A237">
        <v>236</v>
      </c>
      <c r="B237" t="s">
        <v>60</v>
      </c>
      <c r="C237">
        <v>19</v>
      </c>
    </row>
    <row r="238" spans="1:3" x14ac:dyDescent="0.25">
      <c r="A238">
        <v>237</v>
      </c>
      <c r="B238" t="s">
        <v>59</v>
      </c>
      <c r="C238">
        <v>13</v>
      </c>
    </row>
    <row r="239" spans="1:3" x14ac:dyDescent="0.25">
      <c r="A239">
        <v>238</v>
      </c>
      <c r="B239" t="s">
        <v>60</v>
      </c>
      <c r="C239">
        <v>18</v>
      </c>
    </row>
    <row r="240" spans="1:3" x14ac:dyDescent="0.25">
      <c r="A240">
        <v>239</v>
      </c>
      <c r="B240" t="s">
        <v>61</v>
      </c>
      <c r="C240">
        <v>33</v>
      </c>
    </row>
    <row r="241" spans="1:3" x14ac:dyDescent="0.25">
      <c r="A241">
        <v>240</v>
      </c>
      <c r="B241" t="s">
        <v>60</v>
      </c>
      <c r="C241">
        <v>27</v>
      </c>
    </row>
    <row r="242" spans="1:3" x14ac:dyDescent="0.25">
      <c r="A242">
        <v>241</v>
      </c>
      <c r="B242" t="s">
        <v>59</v>
      </c>
      <c r="C242">
        <v>16</v>
      </c>
    </row>
    <row r="243" spans="1:3" x14ac:dyDescent="0.25">
      <c r="A243">
        <v>242</v>
      </c>
      <c r="B243" t="s">
        <v>59</v>
      </c>
      <c r="C243">
        <v>18</v>
      </c>
    </row>
    <row r="244" spans="1:3" x14ac:dyDescent="0.25">
      <c r="A244">
        <v>243</v>
      </c>
      <c r="B244" t="s">
        <v>60</v>
      </c>
      <c r="C244">
        <v>20</v>
      </c>
    </row>
    <row r="245" spans="1:3" x14ac:dyDescent="0.25">
      <c r="A245">
        <v>244</v>
      </c>
      <c r="B245" t="s">
        <v>59</v>
      </c>
      <c r="C245">
        <v>10</v>
      </c>
    </row>
    <row r="246" spans="1:3" x14ac:dyDescent="0.25">
      <c r="A246">
        <v>245</v>
      </c>
      <c r="B246" t="s">
        <v>59</v>
      </c>
      <c r="C246">
        <v>14</v>
      </c>
    </row>
    <row r="247" spans="1:3" x14ac:dyDescent="0.25">
      <c r="A247">
        <v>246</v>
      </c>
      <c r="B247" t="s">
        <v>61</v>
      </c>
      <c r="C247">
        <v>44</v>
      </c>
    </row>
    <row r="248" spans="1:3" x14ac:dyDescent="0.25">
      <c r="A248">
        <v>247</v>
      </c>
      <c r="B248" t="s">
        <v>59</v>
      </c>
      <c r="C248">
        <v>25</v>
      </c>
    </row>
    <row r="249" spans="1:3" x14ac:dyDescent="0.25">
      <c r="A249">
        <v>248</v>
      </c>
      <c r="B249" t="s">
        <v>60</v>
      </c>
      <c r="C249">
        <v>31</v>
      </c>
    </row>
    <row r="250" spans="1:3" x14ac:dyDescent="0.25">
      <c r="A250">
        <v>249</v>
      </c>
      <c r="B250" t="s">
        <v>60</v>
      </c>
      <c r="C250">
        <v>28</v>
      </c>
    </row>
    <row r="251" spans="1:3" x14ac:dyDescent="0.25">
      <c r="A251">
        <v>250</v>
      </c>
      <c r="B251" t="s">
        <v>59</v>
      </c>
      <c r="C251">
        <v>11</v>
      </c>
    </row>
    <row r="252" spans="1:3" x14ac:dyDescent="0.25">
      <c r="A252">
        <v>251</v>
      </c>
      <c r="B252" t="s">
        <v>60</v>
      </c>
      <c r="C252">
        <v>26</v>
      </c>
    </row>
    <row r="253" spans="1:3" x14ac:dyDescent="0.25">
      <c r="A253">
        <v>252</v>
      </c>
      <c r="B253" t="s">
        <v>60</v>
      </c>
      <c r="C253">
        <v>26</v>
      </c>
    </row>
    <row r="254" spans="1:3" x14ac:dyDescent="0.25">
      <c r="A254">
        <v>253</v>
      </c>
      <c r="B254" t="s">
        <v>59</v>
      </c>
      <c r="C254">
        <v>14</v>
      </c>
    </row>
    <row r="255" spans="1:3" x14ac:dyDescent="0.25">
      <c r="A255">
        <v>254</v>
      </c>
      <c r="B255" t="s">
        <v>59</v>
      </c>
      <c r="C255">
        <v>17</v>
      </c>
    </row>
    <row r="256" spans="1:3" x14ac:dyDescent="0.25">
      <c r="A256">
        <v>255</v>
      </c>
      <c r="B256" t="s">
        <v>61</v>
      </c>
      <c r="C256">
        <v>54</v>
      </c>
    </row>
    <row r="257" spans="1:3" x14ac:dyDescent="0.25">
      <c r="A257">
        <v>256</v>
      </c>
      <c r="B257" t="s">
        <v>60</v>
      </c>
      <c r="C257">
        <v>33</v>
      </c>
    </row>
    <row r="258" spans="1:3" x14ac:dyDescent="0.25">
      <c r="A258">
        <v>257</v>
      </c>
      <c r="B258" t="s">
        <v>60</v>
      </c>
      <c r="C258">
        <v>20</v>
      </c>
    </row>
    <row r="259" spans="1:3" x14ac:dyDescent="0.25">
      <c r="A259">
        <v>258</v>
      </c>
      <c r="B259" t="s">
        <v>60</v>
      </c>
      <c r="C259">
        <v>27</v>
      </c>
    </row>
    <row r="260" spans="1:3" x14ac:dyDescent="0.25">
      <c r="A260">
        <v>259</v>
      </c>
      <c r="B260" t="s">
        <v>60</v>
      </c>
      <c r="C260">
        <v>28</v>
      </c>
    </row>
    <row r="261" spans="1:3" x14ac:dyDescent="0.25">
      <c r="A261">
        <v>260</v>
      </c>
      <c r="B261" t="s">
        <v>61</v>
      </c>
      <c r="C261">
        <v>51</v>
      </c>
    </row>
    <row r="262" spans="1:3" x14ac:dyDescent="0.25">
      <c r="A262">
        <v>261</v>
      </c>
      <c r="B262" t="s">
        <v>59</v>
      </c>
      <c r="C262">
        <v>19</v>
      </c>
    </row>
    <row r="263" spans="1:3" x14ac:dyDescent="0.25">
      <c r="A263">
        <v>262</v>
      </c>
      <c r="B263" t="s">
        <v>59</v>
      </c>
      <c r="C263">
        <v>16</v>
      </c>
    </row>
    <row r="264" spans="1:3" x14ac:dyDescent="0.25">
      <c r="A264">
        <v>263</v>
      </c>
      <c r="B264" t="s">
        <v>59</v>
      </c>
      <c r="C264">
        <v>25</v>
      </c>
    </row>
    <row r="265" spans="1:3" x14ac:dyDescent="0.25">
      <c r="A265">
        <v>264</v>
      </c>
      <c r="B265" t="s">
        <v>61</v>
      </c>
      <c r="C265">
        <v>50</v>
      </c>
    </row>
    <row r="266" spans="1:3" x14ac:dyDescent="0.25">
      <c r="A266">
        <v>265</v>
      </c>
      <c r="B266" t="s">
        <v>59</v>
      </c>
      <c r="C266">
        <v>14</v>
      </c>
    </row>
    <row r="267" spans="1:3" x14ac:dyDescent="0.25">
      <c r="A267">
        <v>266</v>
      </c>
      <c r="B267" t="s">
        <v>59</v>
      </c>
      <c r="C267">
        <v>14</v>
      </c>
    </row>
    <row r="268" spans="1:3" x14ac:dyDescent="0.25">
      <c r="A268">
        <v>267</v>
      </c>
      <c r="B268" t="s">
        <v>61</v>
      </c>
      <c r="C268">
        <v>47</v>
      </c>
    </row>
    <row r="269" spans="1:3" x14ac:dyDescent="0.25">
      <c r="A269">
        <v>268</v>
      </c>
      <c r="B269" t="s">
        <v>61</v>
      </c>
      <c r="C269">
        <v>39</v>
      </c>
    </row>
    <row r="270" spans="1:3" x14ac:dyDescent="0.25">
      <c r="A270">
        <v>269</v>
      </c>
      <c r="B270" t="s">
        <v>60</v>
      </c>
      <c r="C270">
        <v>20</v>
      </c>
    </row>
    <row r="271" spans="1:3" x14ac:dyDescent="0.25">
      <c r="A271">
        <v>270</v>
      </c>
      <c r="B271" t="s">
        <v>59</v>
      </c>
      <c r="C271">
        <v>19</v>
      </c>
    </row>
    <row r="272" spans="1:3" x14ac:dyDescent="0.25">
      <c r="A272">
        <v>271</v>
      </c>
      <c r="B272" t="s">
        <v>59</v>
      </c>
      <c r="C272">
        <v>19</v>
      </c>
    </row>
    <row r="273" spans="1:3" x14ac:dyDescent="0.25">
      <c r="A273">
        <v>272</v>
      </c>
      <c r="B273" t="s">
        <v>60</v>
      </c>
      <c r="C273">
        <v>23</v>
      </c>
    </row>
    <row r="274" spans="1:3" x14ac:dyDescent="0.25">
      <c r="A274">
        <v>273</v>
      </c>
      <c r="B274" t="s">
        <v>59</v>
      </c>
      <c r="C274">
        <v>14</v>
      </c>
    </row>
    <row r="275" spans="1:3" x14ac:dyDescent="0.25">
      <c r="A275">
        <v>274</v>
      </c>
      <c r="B275" t="s">
        <v>59</v>
      </c>
      <c r="C275">
        <v>22</v>
      </c>
    </row>
    <row r="276" spans="1:3" x14ac:dyDescent="0.25">
      <c r="A276">
        <v>275</v>
      </c>
      <c r="B276" t="s">
        <v>60</v>
      </c>
      <c r="C276">
        <v>23</v>
      </c>
    </row>
    <row r="277" spans="1:3" x14ac:dyDescent="0.25">
      <c r="A277">
        <v>276</v>
      </c>
      <c r="B277" t="s">
        <v>59</v>
      </c>
      <c r="C277">
        <v>16</v>
      </c>
    </row>
    <row r="278" spans="1:3" x14ac:dyDescent="0.25">
      <c r="A278">
        <v>277</v>
      </c>
      <c r="B278" t="s">
        <v>60</v>
      </c>
      <c r="C278">
        <v>28</v>
      </c>
    </row>
    <row r="279" spans="1:3" x14ac:dyDescent="0.25">
      <c r="A279">
        <v>278</v>
      </c>
      <c r="B279" t="s">
        <v>59</v>
      </c>
      <c r="C279">
        <v>17</v>
      </c>
    </row>
    <row r="280" spans="1:3" x14ac:dyDescent="0.25">
      <c r="A280">
        <v>279</v>
      </c>
      <c r="B280" t="s">
        <v>60</v>
      </c>
      <c r="C280">
        <v>22</v>
      </c>
    </row>
    <row r="281" spans="1:3" x14ac:dyDescent="0.25">
      <c r="A281">
        <v>280</v>
      </c>
      <c r="B281" t="s">
        <v>59</v>
      </c>
      <c r="C281">
        <v>18</v>
      </c>
    </row>
    <row r="282" spans="1:3" x14ac:dyDescent="0.25">
      <c r="A282">
        <v>281</v>
      </c>
      <c r="B282" t="s">
        <v>60</v>
      </c>
      <c r="C282">
        <v>35</v>
      </c>
    </row>
    <row r="283" spans="1:3" x14ac:dyDescent="0.25">
      <c r="A283">
        <v>282</v>
      </c>
      <c r="B283" t="s">
        <v>59</v>
      </c>
      <c r="C283">
        <v>16</v>
      </c>
    </row>
    <row r="284" spans="1:3" x14ac:dyDescent="0.25">
      <c r="A284">
        <v>283</v>
      </c>
      <c r="B284" t="s">
        <v>61</v>
      </c>
      <c r="C284">
        <v>43</v>
      </c>
    </row>
    <row r="285" spans="1:3" x14ac:dyDescent="0.25">
      <c r="A285">
        <v>284</v>
      </c>
      <c r="B285" t="s">
        <v>61</v>
      </c>
      <c r="C285">
        <v>35</v>
      </c>
    </row>
    <row r="286" spans="1:3" x14ac:dyDescent="0.25">
      <c r="A286">
        <v>285</v>
      </c>
      <c r="B286" t="s">
        <v>60</v>
      </c>
      <c r="C286">
        <v>28</v>
      </c>
    </row>
    <row r="287" spans="1:3" x14ac:dyDescent="0.25">
      <c r="A287">
        <v>286</v>
      </c>
      <c r="B287" t="s">
        <v>60</v>
      </c>
      <c r="C287">
        <v>33</v>
      </c>
    </row>
    <row r="288" spans="1:3" x14ac:dyDescent="0.25">
      <c r="A288">
        <v>287</v>
      </c>
      <c r="B288" t="s">
        <v>59</v>
      </c>
      <c r="C288">
        <v>13</v>
      </c>
    </row>
    <row r="289" spans="1:3" x14ac:dyDescent="0.25">
      <c r="A289">
        <v>288</v>
      </c>
      <c r="B289" t="s">
        <v>59</v>
      </c>
      <c r="C289">
        <v>16</v>
      </c>
    </row>
    <row r="290" spans="1:3" x14ac:dyDescent="0.25">
      <c r="A290">
        <v>289</v>
      </c>
      <c r="B290" t="s">
        <v>60</v>
      </c>
      <c r="C290">
        <v>30</v>
      </c>
    </row>
    <row r="291" spans="1:3" x14ac:dyDescent="0.25">
      <c r="A291">
        <v>290</v>
      </c>
      <c r="B291" t="s">
        <v>59</v>
      </c>
      <c r="C291">
        <v>10</v>
      </c>
    </row>
    <row r="292" spans="1:3" x14ac:dyDescent="0.25">
      <c r="A292">
        <v>291</v>
      </c>
      <c r="B292" t="s">
        <v>60</v>
      </c>
      <c r="C292">
        <v>35</v>
      </c>
    </row>
    <row r="293" spans="1:3" x14ac:dyDescent="0.25">
      <c r="A293">
        <v>292</v>
      </c>
      <c r="B293" t="s">
        <v>61</v>
      </c>
      <c r="C293">
        <v>48</v>
      </c>
    </row>
    <row r="294" spans="1:3" x14ac:dyDescent="0.25">
      <c r="A294">
        <v>293</v>
      </c>
      <c r="B294" t="s">
        <v>59</v>
      </c>
      <c r="C294">
        <v>23</v>
      </c>
    </row>
    <row r="295" spans="1:3" x14ac:dyDescent="0.25">
      <c r="A295">
        <v>294</v>
      </c>
      <c r="B295" t="s">
        <v>61</v>
      </c>
      <c r="C295">
        <v>31</v>
      </c>
    </row>
    <row r="296" spans="1:3" x14ac:dyDescent="0.25">
      <c r="A296">
        <v>295</v>
      </c>
      <c r="B296" t="s">
        <v>60</v>
      </c>
      <c r="C296">
        <v>21</v>
      </c>
    </row>
    <row r="297" spans="1:3" x14ac:dyDescent="0.25">
      <c r="A297">
        <v>296</v>
      </c>
      <c r="B297" t="s">
        <v>59</v>
      </c>
      <c r="C297">
        <v>18</v>
      </c>
    </row>
    <row r="298" spans="1:3" x14ac:dyDescent="0.25">
      <c r="A298">
        <v>297</v>
      </c>
      <c r="B298" t="s">
        <v>60</v>
      </c>
      <c r="C298">
        <v>25</v>
      </c>
    </row>
    <row r="299" spans="1:3" x14ac:dyDescent="0.25">
      <c r="A299">
        <v>298</v>
      </c>
      <c r="B299" t="s">
        <v>60</v>
      </c>
      <c r="C299">
        <v>35</v>
      </c>
    </row>
    <row r="300" spans="1:3" x14ac:dyDescent="0.25">
      <c r="A300">
        <v>299</v>
      </c>
      <c r="B300" t="s">
        <v>59</v>
      </c>
      <c r="C300">
        <v>19</v>
      </c>
    </row>
    <row r="301" spans="1:3" x14ac:dyDescent="0.25">
      <c r="A301">
        <v>300</v>
      </c>
      <c r="B301" t="s">
        <v>60</v>
      </c>
      <c r="C301">
        <v>23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96F25-9325-41B1-BBE1-8714CED7F289}">
  <dimension ref="A7:G19"/>
  <sheetViews>
    <sheetView topLeftCell="A7" workbookViewId="0">
      <selection activeCell="E11" sqref="E11"/>
    </sheetView>
  </sheetViews>
  <sheetFormatPr defaultRowHeight="15" x14ac:dyDescent="0.25"/>
  <cols>
    <col min="1" max="1" width="13.5703125" customWidth="1"/>
    <col min="2" max="2" width="14" customWidth="1"/>
    <col min="5" max="5" width="15.140625" customWidth="1"/>
    <col min="6" max="6" width="13.140625" customWidth="1"/>
  </cols>
  <sheetData>
    <row r="7" spans="1:7" ht="45" x14ac:dyDescent="0.25">
      <c r="A7" t="s">
        <v>69</v>
      </c>
      <c r="B7" s="1" t="s">
        <v>71</v>
      </c>
      <c r="C7" t="s">
        <v>70</v>
      </c>
      <c r="E7" s="1"/>
      <c r="F7" s="1"/>
      <c r="G7" s="1"/>
    </row>
    <row r="8" spans="1:7" x14ac:dyDescent="0.25">
      <c r="A8" s="18">
        <v>1</v>
      </c>
      <c r="B8" s="18">
        <v>2</v>
      </c>
      <c r="C8" s="18">
        <v>50</v>
      </c>
    </row>
    <row r="9" spans="1:7" x14ac:dyDescent="0.25">
      <c r="A9" s="18">
        <v>2</v>
      </c>
      <c r="B9" s="18">
        <v>5</v>
      </c>
      <c r="C9" s="18">
        <v>57</v>
      </c>
    </row>
    <row r="10" spans="1:7" x14ac:dyDescent="0.25">
      <c r="A10" s="18">
        <v>3</v>
      </c>
      <c r="B10" s="18">
        <v>1</v>
      </c>
      <c r="C10" s="18">
        <v>41</v>
      </c>
    </row>
    <row r="11" spans="1:7" x14ac:dyDescent="0.25">
      <c r="A11" s="18">
        <v>4</v>
      </c>
      <c r="B11" s="18">
        <v>3</v>
      </c>
      <c r="C11" s="18">
        <v>54</v>
      </c>
    </row>
    <row r="12" spans="1:7" x14ac:dyDescent="0.25">
      <c r="A12" s="18">
        <v>5</v>
      </c>
      <c r="B12" s="18">
        <v>4</v>
      </c>
      <c r="C12" s="18">
        <v>54</v>
      </c>
    </row>
    <row r="13" spans="1:7" x14ac:dyDescent="0.25">
      <c r="A13" s="18">
        <v>6</v>
      </c>
      <c r="B13" s="18">
        <v>1</v>
      </c>
      <c r="C13" s="18">
        <v>38</v>
      </c>
    </row>
    <row r="14" spans="1:7" x14ac:dyDescent="0.25">
      <c r="A14" s="18">
        <v>7</v>
      </c>
      <c r="B14" s="18">
        <v>5</v>
      </c>
      <c r="C14" s="18">
        <v>63</v>
      </c>
    </row>
    <row r="15" spans="1:7" x14ac:dyDescent="0.25">
      <c r="A15" s="18">
        <v>8</v>
      </c>
      <c r="B15" s="18">
        <v>3</v>
      </c>
      <c r="C15" s="18">
        <v>48</v>
      </c>
    </row>
    <row r="16" spans="1:7" x14ac:dyDescent="0.25">
      <c r="A16" s="18">
        <v>9</v>
      </c>
      <c r="B16" s="18">
        <v>4</v>
      </c>
      <c r="C16" s="18">
        <v>59</v>
      </c>
    </row>
    <row r="17" spans="1:3" x14ac:dyDescent="0.25">
      <c r="A17" s="18">
        <v>10</v>
      </c>
      <c r="B17" s="18">
        <v>2</v>
      </c>
      <c r="C17" s="18">
        <v>46</v>
      </c>
    </row>
    <row r="19" spans="1:3" x14ac:dyDescent="0.25">
      <c r="B19" s="19"/>
      <c r="C19" s="19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E1585AC-64E4-47A1-BC13-39109FDEFDF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Cleaning Data with formula</vt:lpstr>
      <vt:lpstr>Cleaning more data example</vt:lpstr>
      <vt:lpstr>Ch 2.1 Bar Chart</vt:lpstr>
      <vt:lpstr>Ch 2.1 relative &amp; percent freq</vt:lpstr>
      <vt:lpstr>Ch 2.1  pie chart</vt:lpstr>
      <vt:lpstr>Ch. 2.4 Pivot Table &amp; Histogram</vt:lpstr>
      <vt:lpstr>2.3 Dot Plot</vt:lpstr>
      <vt:lpstr>2.7 Cumulative Frequency</vt:lpstr>
      <vt:lpstr>Figure 2.6</vt:lpstr>
      <vt:lpstr>Figure 2.10</vt:lpstr>
      <vt:lpstr>Figure 2.11 Row percentages</vt:lpstr>
      <vt:lpstr>Scatter Diagram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Cristian Alvarez</dc:creator>
  <cp:keywords/>
  <dc:description/>
  <cp:lastModifiedBy>Cristian Alvarez</cp:lastModifiedBy>
  <cp:revision/>
  <dcterms:created xsi:type="dcterms:W3CDTF">2025-08-02T01:07:59Z</dcterms:created>
  <dcterms:modified xsi:type="dcterms:W3CDTF">2025-08-07T01:07:51Z</dcterms:modified>
  <cp:category/>
  <cp:contentStatus/>
</cp:coreProperties>
</file>