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07CD4AE0-9251-4469-BF9F-579C8568779B}" xr6:coauthVersionLast="47" xr6:coauthVersionMax="47" xr10:uidLastSave="{00000000-0000-0000-0000-000000000000}"/>
  <bookViews>
    <workbookView xWindow="-120" yWindow="-120" windowWidth="20730" windowHeight="11040" firstSheet="2" activeTab="2" xr2:uid="{11F9C68E-3F13-40F0-85F9-21193D186F28}"/>
  </bookViews>
  <sheets>
    <sheet name="8.1 pop. mean pop stdev known" sheetId="1" r:id="rId1"/>
    <sheet name="8.2 pop mean pop stdev unkown" sheetId="2" r:id="rId2"/>
    <sheet name="8.3 sample size for pop mean" sheetId="7" r:id="rId3"/>
    <sheet name="8.4 pop proportion interval" sheetId="5" r:id="rId4"/>
    <sheet name="pop proportion sample size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6" i="7"/>
  <c r="E5" i="6"/>
  <c r="E2" i="6" s="1"/>
  <c r="D9" i="5"/>
  <c r="D14" i="5"/>
  <c r="D12" i="5"/>
  <c r="D16" i="5" s="1"/>
  <c r="D11" i="5"/>
  <c r="L2" i="1"/>
  <c r="D15" i="5" l="1"/>
  <c r="D2" i="2" l="1"/>
  <c r="C2" i="2"/>
  <c r="G7" i="1"/>
  <c r="I7" i="1"/>
  <c r="I5" i="1"/>
  <c r="H5" i="1"/>
  <c r="G5" i="1"/>
  <c r="B3" i="1"/>
  <c r="F2" i="1" s="1"/>
  <c r="I2" i="1" s="1"/>
</calcChain>
</file>

<file path=xl/sharedStrings.xml><?xml version="1.0" encoding="utf-8"?>
<sst xmlns="http://schemas.openxmlformats.org/spreadsheetml/2006/main" count="58" uniqueCount="46">
  <si>
    <t>stdev</t>
  </si>
  <si>
    <t>n</t>
  </si>
  <si>
    <t>stdev of sample mean x</t>
  </si>
  <si>
    <t>"+ or -"</t>
  </si>
  <si>
    <t xml:space="preserve">Margin </t>
  </si>
  <si>
    <t xml:space="preserve">of u </t>
  </si>
  <si>
    <t>Interval Estimate</t>
  </si>
  <si>
    <t>sample mean x</t>
  </si>
  <si>
    <t>of Error</t>
  </si>
  <si>
    <t>from</t>
  </si>
  <si>
    <t xml:space="preserve"> to</t>
  </si>
  <si>
    <t>Z at 95%</t>
  </si>
  <si>
    <t>Balances</t>
  </si>
  <si>
    <t>N</t>
  </si>
  <si>
    <t>Sample mean</t>
  </si>
  <si>
    <t>sample stdev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</si>
  <si>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</si>
  <si>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</si>
  <si>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</si>
  <si>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</si>
  <si>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</si>
  <si>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</si>
  <si>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</si>
  <si>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</si>
  <si>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</si>
  <si>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</si>
  <si>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</si>
  <si>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</si>
  <si>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</si>
  <si>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</si>
  <si>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Excel formula</t>
  </si>
  <si>
    <t>Z a/2 for 95% confidence</t>
  </si>
  <si>
    <t>Z value</t>
  </si>
  <si>
    <t>Confidence Coefficient</t>
  </si>
  <si>
    <t>point estimate</t>
  </si>
  <si>
    <t>Standard error</t>
  </si>
  <si>
    <t>Margin of Error</t>
  </si>
  <si>
    <t>sample proportion</t>
  </si>
  <si>
    <t>lower limit</t>
  </si>
  <si>
    <t>upper limit</t>
  </si>
  <si>
    <t>p*</t>
  </si>
  <si>
    <t>planned margin of error</t>
  </si>
  <si>
    <t>E</t>
  </si>
  <si>
    <t>Required sample size</t>
  </si>
  <si>
    <t>planned proportion</t>
  </si>
  <si>
    <t>stdev or planned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</si>
</sst>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1" fillId="0" borderId="4" xfId="0" applyFont="1" applyBorder="1"/>
    <xf numFmtId="2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8" xfId="0" applyFont="1" applyFill="1" applyBorder="1" applyAlignment="1">
      <alignment horizontal="centerContinuous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8</xdr:row>
      <xdr:rowOff>38100</xdr:rowOff>
    </xdr:from>
    <xdr:to>
      <xdr:col>2</xdr:col>
      <xdr:colOff>523875</xdr:colOff>
      <xdr:row>14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C3ABE8-549E-0E00-9FDE-3A5CB87DA4AA}"/>
            </a:ext>
          </a:extLst>
        </xdr:cNvPr>
        <xdr:cNvSpPr txBox="1"/>
      </xdr:nvSpPr>
      <xdr:spPr>
        <a:xfrm>
          <a:off x="552450" y="1562100"/>
          <a:ext cx="203835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 error of sample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mean x or stdev of sample mean x=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stdev/ square root of sample size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6</xdr:col>
      <xdr:colOff>676275</xdr:colOff>
      <xdr:row>9</xdr:row>
      <xdr:rowOff>57150</xdr:rowOff>
    </xdr:from>
    <xdr:to>
      <xdr:col>8</xdr:col>
      <xdr:colOff>581025</xdr:colOff>
      <xdr:row>14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6B751B-C435-22DD-A485-EB5D16BCA36C}"/>
            </a:ext>
          </a:extLst>
        </xdr:cNvPr>
        <xdr:cNvSpPr txBox="1"/>
      </xdr:nvSpPr>
      <xdr:spPr>
        <a:xfrm>
          <a:off x="5181600" y="1771650"/>
          <a:ext cx="156210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We are 95% confident</a:t>
          </a:r>
          <a:r>
            <a:rPr lang="en-US" sz="1100" baseline="0"/>
            <a:t> that the interval 78.08 to 85.91 includes the population mean u.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7</xdr:row>
      <xdr:rowOff>95250</xdr:rowOff>
    </xdr:from>
    <xdr:to>
      <xdr:col>10</xdr:col>
      <xdr:colOff>447675</xdr:colOff>
      <xdr:row>12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FD128C-1F02-50D4-53E5-7B67EBB64501}"/>
            </a:ext>
          </a:extLst>
        </xdr:cNvPr>
        <xdr:cNvSpPr txBox="1"/>
      </xdr:nvSpPr>
      <xdr:spPr>
        <a:xfrm>
          <a:off x="5686425" y="1428750"/>
          <a:ext cx="1685925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</a:t>
          </a:r>
          <a:r>
            <a:rPr lang="en-US" sz="1100" baseline="0"/>
            <a:t> stdev is unknown, enter a planned stdev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11</xdr:row>
      <xdr:rowOff>104775</xdr:rowOff>
    </xdr:from>
    <xdr:to>
      <xdr:col>12</xdr:col>
      <xdr:colOff>304800</xdr:colOff>
      <xdr:row>18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FB401C-894A-402E-E4A8-5E0BED025E6D}"/>
            </a:ext>
          </a:extLst>
        </xdr:cNvPr>
        <xdr:cNvSpPr txBox="1"/>
      </xdr:nvSpPr>
      <xdr:spPr>
        <a:xfrm>
          <a:off x="6686550" y="2419350"/>
          <a:ext cx="1943100" cy="1257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0.5 +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0.95/2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0.975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1D2-5EDC-4F24-9524-8C5CD602A2B3}">
  <dimension ref="A1:L7"/>
  <sheetViews>
    <sheetView workbookViewId="0">
      <selection activeCell="L2" sqref="L2"/>
    </sheetView>
  </sheetViews>
  <sheetFormatPr defaultRowHeight="15" x14ac:dyDescent="0.25"/>
  <cols>
    <col min="1" max="1" width="21.85546875" bestFit="1" customWidth="1"/>
    <col min="7" max="7" width="15.7109375" bestFit="1" customWidth="1"/>
  </cols>
  <sheetData>
    <row r="1" spans="1:12" x14ac:dyDescent="0.25">
      <c r="A1" t="s">
        <v>0</v>
      </c>
      <c r="B1">
        <v>20</v>
      </c>
      <c r="E1" t="s">
        <v>11</v>
      </c>
      <c r="H1" s="9" t="s">
        <v>4</v>
      </c>
      <c r="I1" s="10" t="s">
        <v>8</v>
      </c>
      <c r="J1" s="1"/>
      <c r="L1" t="s">
        <v>30</v>
      </c>
    </row>
    <row r="2" spans="1:12" x14ac:dyDescent="0.25">
      <c r="A2" t="s">
        <v>1</v>
      </c>
      <c r="B2">
        <v>100</v>
      </c>
      <c r="E2">
        <v>1.96</v>
      </c>
      <c r="F2">
        <f>B3</f>
        <v>2</v>
      </c>
      <c r="H2" s="6" t="s">
        <v>3</v>
      </c>
      <c r="I2" s="8">
        <f>E2*F2</f>
        <v>3.92</v>
      </c>
      <c r="J2" s="2"/>
      <c r="L2" s="11">
        <f>CONFIDENCE(0.05,20,100)</f>
        <v>3.9199279690801072</v>
      </c>
    </row>
    <row r="3" spans="1:12" x14ac:dyDescent="0.25">
      <c r="A3" t="s">
        <v>2</v>
      </c>
      <c r="B3">
        <f>B1/SQRT(B2)</f>
        <v>2</v>
      </c>
    </row>
    <row r="4" spans="1:12" x14ac:dyDescent="0.25">
      <c r="G4" s="3" t="s">
        <v>6</v>
      </c>
      <c r="H4" s="4" t="s">
        <v>5</v>
      </c>
      <c r="I4" s="5"/>
    </row>
    <row r="5" spans="1:12" x14ac:dyDescent="0.25">
      <c r="A5" t="s">
        <v>7</v>
      </c>
      <c r="B5">
        <v>82</v>
      </c>
      <c r="G5" s="6">
        <f>B5</f>
        <v>82</v>
      </c>
      <c r="H5" s="7" t="str">
        <f>H2</f>
        <v>"+ or -"</v>
      </c>
      <c r="I5" s="8">
        <f>I2</f>
        <v>3.92</v>
      </c>
    </row>
    <row r="7" spans="1:12" x14ac:dyDescent="0.25">
      <c r="F7" t="s">
        <v>9</v>
      </c>
      <c r="G7">
        <f>G5-I5</f>
        <v>78.08</v>
      </c>
      <c r="H7" t="s">
        <v>10</v>
      </c>
      <c r="I7">
        <f>G5+I5</f>
        <v>85.92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2AAA-70F1-4801-AB23-4AB79B20F477}">
  <dimension ref="A1:G71"/>
  <sheetViews>
    <sheetView workbookViewId="0">
      <selection activeCell="G4" sqref="G4"/>
    </sheetView>
  </sheetViews>
  <sheetFormatPr defaultRowHeight="15" x14ac:dyDescent="0.25"/>
  <cols>
    <col min="3" max="3" width="13.140625" bestFit="1" customWidth="1"/>
    <col min="4" max="4" width="12.5703125" bestFit="1" customWidth="1"/>
    <col min="6" max="6" width="22.5703125" bestFit="1" customWidth="1"/>
  </cols>
  <sheetData>
    <row r="1" spans="1:7" ht="15.75" thickBot="1" x14ac:dyDescent="0.3">
      <c r="A1" t="s">
        <v>13</v>
      </c>
      <c r="B1" t="s">
        <v>12</v>
      </c>
      <c r="C1" t="s">
        <v>14</v>
      </c>
      <c r="D1" t="s">
        <v>15</v>
      </c>
    </row>
    <row r="2" spans="1:7" x14ac:dyDescent="0.25">
      <c r="A2">
        <v>1</v>
      </c>
      <c r="B2">
        <v>9430</v>
      </c>
      <c r="C2">
        <f>AVERAGE(B2:B71)</f>
        <v>9312</v>
      </c>
      <c r="D2" s="12">
        <f>_xlfn.STDEV.S(B2:B71)</f>
        <v>4006.9998499003527</v>
      </c>
      <c r="F2" s="15" t="s">
        <v>12</v>
      </c>
      <c r="G2" s="15"/>
    </row>
    <row r="3" spans="1:7" x14ac:dyDescent="0.25">
      <c r="A3">
        <v>2</v>
      </c>
      <c r="B3">
        <v>7535</v>
      </c>
      <c r="F3" s="13"/>
      <c r="G3" s="13"/>
    </row>
    <row r="4" spans="1:7" x14ac:dyDescent="0.25">
      <c r="A4">
        <v>3</v>
      </c>
      <c r="B4">
        <v>4078</v>
      </c>
      <c r="F4" s="13" t="s">
        <v>16</v>
      </c>
      <c r="G4" s="13">
        <v>9312</v>
      </c>
    </row>
    <row r="5" spans="1:7" x14ac:dyDescent="0.25">
      <c r="A5">
        <v>4</v>
      </c>
      <c r="B5">
        <v>5604</v>
      </c>
      <c r="F5" s="13" t="s">
        <v>17</v>
      </c>
      <c r="G5" s="13">
        <v>478.92808581995223</v>
      </c>
    </row>
    <row r="6" spans="1:7" x14ac:dyDescent="0.25">
      <c r="A6">
        <v>5</v>
      </c>
      <c r="B6">
        <v>5179</v>
      </c>
      <c r="F6" s="13" t="s">
        <v>18</v>
      </c>
      <c r="G6" s="13">
        <v>9466</v>
      </c>
    </row>
    <row r="7" spans="1:7" x14ac:dyDescent="0.25">
      <c r="A7">
        <v>6</v>
      </c>
      <c r="B7">
        <v>4416</v>
      </c>
      <c r="F7" s="13" t="s">
        <v>19</v>
      </c>
      <c r="G7" s="13">
        <v>13627</v>
      </c>
    </row>
    <row r="8" spans="1:7" x14ac:dyDescent="0.25">
      <c r="A8">
        <v>7</v>
      </c>
      <c r="B8">
        <v>10676</v>
      </c>
      <c r="F8" s="13" t="s">
        <v>20</v>
      </c>
      <c r="G8" s="13">
        <v>4006.9998499003527</v>
      </c>
    </row>
    <row r="9" spans="1:7" x14ac:dyDescent="0.25">
      <c r="A9">
        <v>8</v>
      </c>
      <c r="B9">
        <v>1627</v>
      </c>
      <c r="F9" s="13" t="s">
        <v>21</v>
      </c>
      <c r="G9" s="13">
        <v>16056047.797101449</v>
      </c>
    </row>
    <row r="10" spans="1:7" x14ac:dyDescent="0.25">
      <c r="A10">
        <v>9</v>
      </c>
      <c r="B10">
        <v>10112</v>
      </c>
      <c r="F10" s="13" t="s">
        <v>22</v>
      </c>
      <c r="G10" s="13">
        <v>-0.29600249749227414</v>
      </c>
    </row>
    <row r="11" spans="1:7" x14ac:dyDescent="0.25">
      <c r="A11">
        <v>10</v>
      </c>
      <c r="B11">
        <v>6567</v>
      </c>
      <c r="F11" s="13" t="s">
        <v>23</v>
      </c>
      <c r="G11" s="13">
        <v>0.18791958744417631</v>
      </c>
    </row>
    <row r="12" spans="1:7" x14ac:dyDescent="0.25">
      <c r="A12">
        <v>11</v>
      </c>
      <c r="B12">
        <v>13627</v>
      </c>
      <c r="F12" s="13" t="s">
        <v>24</v>
      </c>
      <c r="G12" s="13">
        <v>18648</v>
      </c>
    </row>
    <row r="13" spans="1:7" x14ac:dyDescent="0.25">
      <c r="A13">
        <v>12</v>
      </c>
      <c r="B13">
        <v>18719</v>
      </c>
      <c r="F13" s="13" t="s">
        <v>25</v>
      </c>
      <c r="G13" s="13">
        <v>615</v>
      </c>
    </row>
    <row r="14" spans="1:7" x14ac:dyDescent="0.25">
      <c r="A14">
        <v>13</v>
      </c>
      <c r="B14">
        <v>14661</v>
      </c>
      <c r="F14" s="13" t="s">
        <v>26</v>
      </c>
      <c r="G14" s="13">
        <v>19263</v>
      </c>
    </row>
    <row r="15" spans="1:7" x14ac:dyDescent="0.25">
      <c r="A15">
        <v>14</v>
      </c>
      <c r="B15">
        <v>12195</v>
      </c>
      <c r="F15" s="13" t="s">
        <v>27</v>
      </c>
      <c r="G15" s="13">
        <v>651840</v>
      </c>
    </row>
    <row r="16" spans="1:7" x14ac:dyDescent="0.25">
      <c r="A16">
        <v>15</v>
      </c>
      <c r="B16">
        <v>10544</v>
      </c>
      <c r="F16" s="13" t="s">
        <v>28</v>
      </c>
      <c r="G16" s="13">
        <v>70</v>
      </c>
    </row>
    <row r="17" spans="1:7" ht="15.75" thickBot="1" x14ac:dyDescent="0.3">
      <c r="A17">
        <v>16</v>
      </c>
      <c r="B17">
        <v>13659</v>
      </c>
      <c r="F17" s="14" t="s">
        <v>29</v>
      </c>
      <c r="G17" s="14">
        <v>955.43538897259839</v>
      </c>
    </row>
    <row r="18" spans="1:7" x14ac:dyDescent="0.25">
      <c r="A18">
        <v>17</v>
      </c>
      <c r="B18">
        <v>7061</v>
      </c>
    </row>
    <row r="19" spans="1:7" x14ac:dyDescent="0.25">
      <c r="A19">
        <v>18</v>
      </c>
      <c r="B19">
        <v>6245</v>
      </c>
    </row>
    <row r="20" spans="1:7" x14ac:dyDescent="0.25">
      <c r="A20">
        <v>19</v>
      </c>
      <c r="B20">
        <v>13021</v>
      </c>
    </row>
    <row r="21" spans="1:7" x14ac:dyDescent="0.25">
      <c r="A21">
        <v>20</v>
      </c>
      <c r="B21">
        <v>9719</v>
      </c>
    </row>
    <row r="22" spans="1:7" x14ac:dyDescent="0.25">
      <c r="A22">
        <v>21</v>
      </c>
      <c r="B22">
        <v>2200</v>
      </c>
    </row>
    <row r="23" spans="1:7" x14ac:dyDescent="0.25">
      <c r="A23">
        <v>22</v>
      </c>
      <c r="B23">
        <v>10746</v>
      </c>
    </row>
    <row r="24" spans="1:7" x14ac:dyDescent="0.25">
      <c r="A24">
        <v>23</v>
      </c>
      <c r="B24">
        <v>12744</v>
      </c>
    </row>
    <row r="25" spans="1:7" x14ac:dyDescent="0.25">
      <c r="A25">
        <v>24</v>
      </c>
      <c r="B25">
        <v>5742</v>
      </c>
    </row>
    <row r="26" spans="1:7" x14ac:dyDescent="0.25">
      <c r="A26">
        <v>25</v>
      </c>
      <c r="B26">
        <v>7159</v>
      </c>
    </row>
    <row r="27" spans="1:7" x14ac:dyDescent="0.25">
      <c r="A27">
        <v>26</v>
      </c>
      <c r="B27">
        <v>8137</v>
      </c>
    </row>
    <row r="28" spans="1:7" x14ac:dyDescent="0.25">
      <c r="A28">
        <v>27</v>
      </c>
      <c r="B28">
        <v>9467</v>
      </c>
    </row>
    <row r="29" spans="1:7" x14ac:dyDescent="0.25">
      <c r="A29">
        <v>28</v>
      </c>
      <c r="B29">
        <v>12595</v>
      </c>
    </row>
    <row r="30" spans="1:7" x14ac:dyDescent="0.25">
      <c r="A30">
        <v>29</v>
      </c>
      <c r="B30">
        <v>7917</v>
      </c>
    </row>
    <row r="31" spans="1:7" x14ac:dyDescent="0.25">
      <c r="A31">
        <v>30</v>
      </c>
      <c r="B31">
        <v>11346</v>
      </c>
    </row>
    <row r="32" spans="1:7" x14ac:dyDescent="0.25">
      <c r="A32">
        <v>31</v>
      </c>
      <c r="B32">
        <v>12806</v>
      </c>
    </row>
    <row r="33" spans="1:2" x14ac:dyDescent="0.25">
      <c r="A33">
        <v>32</v>
      </c>
      <c r="B33">
        <v>4972</v>
      </c>
    </row>
    <row r="34" spans="1:2" x14ac:dyDescent="0.25">
      <c r="A34">
        <v>33</v>
      </c>
      <c r="B34">
        <v>11356</v>
      </c>
    </row>
    <row r="35" spans="1:2" x14ac:dyDescent="0.25">
      <c r="A35">
        <v>34</v>
      </c>
      <c r="B35">
        <v>7117</v>
      </c>
    </row>
    <row r="36" spans="1:2" x14ac:dyDescent="0.25">
      <c r="A36">
        <v>35</v>
      </c>
      <c r="B36">
        <v>9465</v>
      </c>
    </row>
    <row r="37" spans="1:2" x14ac:dyDescent="0.25">
      <c r="A37">
        <v>36</v>
      </c>
      <c r="B37">
        <v>19263</v>
      </c>
    </row>
    <row r="38" spans="1:2" x14ac:dyDescent="0.25">
      <c r="A38">
        <v>37</v>
      </c>
      <c r="B38">
        <v>9071</v>
      </c>
    </row>
    <row r="39" spans="1:2" x14ac:dyDescent="0.25">
      <c r="A39">
        <v>38</v>
      </c>
      <c r="B39">
        <v>3603</v>
      </c>
    </row>
    <row r="40" spans="1:2" x14ac:dyDescent="0.25">
      <c r="A40">
        <v>39</v>
      </c>
      <c r="B40">
        <v>16804</v>
      </c>
    </row>
    <row r="41" spans="1:2" x14ac:dyDescent="0.25">
      <c r="A41">
        <v>40</v>
      </c>
      <c r="B41">
        <v>13479</v>
      </c>
    </row>
    <row r="42" spans="1:2" x14ac:dyDescent="0.25">
      <c r="A42">
        <v>41</v>
      </c>
      <c r="B42">
        <v>14044</v>
      </c>
    </row>
    <row r="43" spans="1:2" x14ac:dyDescent="0.25">
      <c r="A43">
        <v>42</v>
      </c>
      <c r="B43">
        <v>6817</v>
      </c>
    </row>
    <row r="44" spans="1:2" x14ac:dyDescent="0.25">
      <c r="A44">
        <v>43</v>
      </c>
      <c r="B44">
        <v>6845</v>
      </c>
    </row>
    <row r="45" spans="1:2" x14ac:dyDescent="0.25">
      <c r="A45">
        <v>44</v>
      </c>
      <c r="B45">
        <v>10493</v>
      </c>
    </row>
    <row r="46" spans="1:2" x14ac:dyDescent="0.25">
      <c r="A46">
        <v>45</v>
      </c>
      <c r="B46">
        <v>615</v>
      </c>
    </row>
    <row r="47" spans="1:2" x14ac:dyDescent="0.25">
      <c r="A47">
        <v>46</v>
      </c>
      <c r="B47">
        <v>13627</v>
      </c>
    </row>
    <row r="48" spans="1:2" x14ac:dyDescent="0.25">
      <c r="A48">
        <v>47</v>
      </c>
      <c r="B48">
        <v>12557</v>
      </c>
    </row>
    <row r="49" spans="1:2" x14ac:dyDescent="0.25">
      <c r="A49">
        <v>48</v>
      </c>
      <c r="B49">
        <v>6232</v>
      </c>
    </row>
    <row r="50" spans="1:2" x14ac:dyDescent="0.25">
      <c r="A50">
        <v>49</v>
      </c>
      <c r="B50">
        <v>9691</v>
      </c>
    </row>
    <row r="51" spans="1:2" x14ac:dyDescent="0.25">
      <c r="A51">
        <v>50</v>
      </c>
      <c r="B51">
        <v>11448</v>
      </c>
    </row>
    <row r="52" spans="1:2" x14ac:dyDescent="0.25">
      <c r="A52">
        <v>51</v>
      </c>
      <c r="B52">
        <v>8279</v>
      </c>
    </row>
    <row r="53" spans="1:2" x14ac:dyDescent="0.25">
      <c r="A53">
        <v>52</v>
      </c>
      <c r="B53">
        <v>5649</v>
      </c>
    </row>
    <row r="54" spans="1:2" x14ac:dyDescent="0.25">
      <c r="A54">
        <v>53</v>
      </c>
      <c r="B54">
        <v>11298</v>
      </c>
    </row>
    <row r="55" spans="1:2" x14ac:dyDescent="0.25">
      <c r="A55">
        <v>54</v>
      </c>
      <c r="B55">
        <v>4353</v>
      </c>
    </row>
    <row r="56" spans="1:2" x14ac:dyDescent="0.25">
      <c r="A56">
        <v>55</v>
      </c>
      <c r="B56">
        <v>3467</v>
      </c>
    </row>
    <row r="57" spans="1:2" x14ac:dyDescent="0.25">
      <c r="A57">
        <v>56</v>
      </c>
      <c r="B57">
        <v>6191</v>
      </c>
    </row>
    <row r="58" spans="1:2" x14ac:dyDescent="0.25">
      <c r="A58">
        <v>57</v>
      </c>
      <c r="B58">
        <v>12851</v>
      </c>
    </row>
    <row r="59" spans="1:2" x14ac:dyDescent="0.25">
      <c r="A59">
        <v>58</v>
      </c>
      <c r="B59">
        <v>5337</v>
      </c>
    </row>
    <row r="60" spans="1:2" x14ac:dyDescent="0.25">
      <c r="A60">
        <v>59</v>
      </c>
      <c r="B60">
        <v>8372</v>
      </c>
    </row>
    <row r="61" spans="1:2" x14ac:dyDescent="0.25">
      <c r="A61">
        <v>60</v>
      </c>
      <c r="B61">
        <v>7445</v>
      </c>
    </row>
    <row r="62" spans="1:2" x14ac:dyDescent="0.25">
      <c r="A62">
        <v>61</v>
      </c>
      <c r="B62">
        <v>11032</v>
      </c>
    </row>
    <row r="63" spans="1:2" x14ac:dyDescent="0.25">
      <c r="A63">
        <v>62</v>
      </c>
      <c r="B63">
        <v>6525</v>
      </c>
    </row>
    <row r="64" spans="1:2" x14ac:dyDescent="0.25">
      <c r="A64">
        <v>63</v>
      </c>
      <c r="B64">
        <v>5239</v>
      </c>
    </row>
    <row r="65" spans="1:2" x14ac:dyDescent="0.25">
      <c r="A65">
        <v>64</v>
      </c>
      <c r="B65">
        <v>6195</v>
      </c>
    </row>
    <row r="66" spans="1:2" x14ac:dyDescent="0.25">
      <c r="A66">
        <v>65</v>
      </c>
      <c r="B66">
        <v>12584</v>
      </c>
    </row>
    <row r="67" spans="1:2" x14ac:dyDescent="0.25">
      <c r="A67">
        <v>66</v>
      </c>
      <c r="B67">
        <v>15415</v>
      </c>
    </row>
    <row r="68" spans="1:2" x14ac:dyDescent="0.25">
      <c r="A68">
        <v>67</v>
      </c>
      <c r="B68">
        <v>15917</v>
      </c>
    </row>
    <row r="69" spans="1:2" x14ac:dyDescent="0.25">
      <c r="A69">
        <v>68</v>
      </c>
      <c r="B69">
        <v>12591</v>
      </c>
    </row>
    <row r="70" spans="1:2" x14ac:dyDescent="0.25">
      <c r="A70">
        <v>69</v>
      </c>
      <c r="B70">
        <v>9743</v>
      </c>
    </row>
    <row r="71" spans="1:2" x14ac:dyDescent="0.25">
      <c r="A71">
        <v>70</v>
      </c>
      <c r="B71">
        <v>10324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437E-E8F6-4482-A291-4442874DEC38}">
  <dimension ref="C3:E10"/>
  <sheetViews>
    <sheetView tabSelected="1" workbookViewId="0">
      <selection activeCell="H4" sqref="H4"/>
    </sheetView>
  </sheetViews>
  <sheetFormatPr defaultRowHeight="15" x14ac:dyDescent="0.25"/>
  <cols>
    <col min="3" max="3" width="21.5703125" bestFit="1" customWidth="1"/>
  </cols>
  <sheetData>
    <row r="3" spans="3:5" x14ac:dyDescent="0.25">
      <c r="C3" t="s">
        <v>43</v>
      </c>
      <c r="D3" t="s">
        <v>1</v>
      </c>
      <c r="E3" s="18">
        <f>(E6^2*E8^2)/E10^2</f>
        <v>89.431562257522131</v>
      </c>
    </row>
    <row r="5" spans="3:5" x14ac:dyDescent="0.25">
      <c r="D5" t="s">
        <v>33</v>
      </c>
      <c r="E5">
        <v>0.95</v>
      </c>
    </row>
    <row r="6" spans="3:5" x14ac:dyDescent="0.25">
      <c r="D6" t="s">
        <v>32</v>
      </c>
      <c r="E6">
        <f>_xlfn.NORM.S.INV(0.5+E5/2)</f>
        <v>1.9599639845400536</v>
      </c>
    </row>
    <row r="8" spans="3:5" x14ac:dyDescent="0.25">
      <c r="C8" t="s">
        <v>45</v>
      </c>
      <c r="D8" t="s">
        <v>0</v>
      </c>
      <c r="E8">
        <v>9.65</v>
      </c>
    </row>
    <row r="10" spans="3:5" x14ac:dyDescent="0.25">
      <c r="C10" t="s">
        <v>41</v>
      </c>
      <c r="D10" t="s">
        <v>42</v>
      </c>
      <c r="E10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8DB3-709B-4C7E-9349-F8C950570783}">
  <dimension ref="A1:D16"/>
  <sheetViews>
    <sheetView workbookViewId="0">
      <selection activeCell="C8" sqref="C8:D9"/>
    </sheetView>
  </sheetViews>
  <sheetFormatPr defaultRowHeight="15" x14ac:dyDescent="0.25"/>
  <cols>
    <col min="1" max="1" width="4.28515625" customWidth="1"/>
    <col min="2" max="2" width="14.5703125" customWidth="1"/>
    <col min="3" max="3" width="20.85546875" bestFit="1" customWidth="1"/>
  </cols>
  <sheetData>
    <row r="1" spans="1:4" ht="32.25" customHeight="1" x14ac:dyDescent="0.25"/>
    <row r="3" spans="1:4" x14ac:dyDescent="0.25">
      <c r="C3" t="s">
        <v>1</v>
      </c>
      <c r="D3">
        <v>900</v>
      </c>
    </row>
    <row r="4" spans="1:4" x14ac:dyDescent="0.25">
      <c r="A4" s="16"/>
    </row>
    <row r="6" spans="1:4" x14ac:dyDescent="0.25">
      <c r="C6" t="s">
        <v>37</v>
      </c>
      <c r="D6">
        <v>0.44</v>
      </c>
    </row>
    <row r="8" spans="1:4" x14ac:dyDescent="0.25">
      <c r="C8" t="s">
        <v>33</v>
      </c>
      <c r="D8">
        <v>0.95</v>
      </c>
    </row>
    <row r="9" spans="1:4" ht="60" x14ac:dyDescent="0.25">
      <c r="B9" s="17" t="s">
        <v>31</v>
      </c>
      <c r="C9" t="s">
        <v>32</v>
      </c>
      <c r="D9">
        <f>_xlfn.NORM.S.INV(0.5+D8/2)</f>
        <v>1.9599639845400536</v>
      </c>
    </row>
    <row r="11" spans="1:4" x14ac:dyDescent="0.25">
      <c r="C11" t="s">
        <v>35</v>
      </c>
      <c r="D11">
        <f>SQRT(D6*(1-D6)/D3)</f>
        <v>1.6546231527987811E-2</v>
      </c>
    </row>
    <row r="12" spans="1:4" x14ac:dyDescent="0.25">
      <c r="C12" t="s">
        <v>36</v>
      </c>
      <c r="D12">
        <f>D9*D11</f>
        <v>3.2430017874717249E-2</v>
      </c>
    </row>
    <row r="14" spans="1:4" x14ac:dyDescent="0.25">
      <c r="C14" t="s">
        <v>34</v>
      </c>
      <c r="D14">
        <f>D6</f>
        <v>0.44</v>
      </c>
    </row>
    <row r="15" spans="1:4" x14ac:dyDescent="0.25">
      <c r="C15" t="s">
        <v>38</v>
      </c>
      <c r="D15">
        <f>D14-D12</f>
        <v>0.40756998212528273</v>
      </c>
    </row>
    <row r="16" spans="1:4" x14ac:dyDescent="0.25">
      <c r="C16" t="s">
        <v>39</v>
      </c>
      <c r="D16">
        <f>D14+D12</f>
        <v>0.47243001787471728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E064-A21E-4656-A920-835E4C0BE628}">
  <dimension ref="C2:E9"/>
  <sheetViews>
    <sheetView workbookViewId="0">
      <selection activeCell="E5" sqref="E5"/>
    </sheetView>
  </sheetViews>
  <sheetFormatPr defaultRowHeight="15" x14ac:dyDescent="0.25"/>
  <cols>
    <col min="1" max="1" width="4.5703125" customWidth="1"/>
    <col min="2" max="2" width="4.42578125" customWidth="1"/>
    <col min="3" max="3" width="22.28515625" bestFit="1" customWidth="1"/>
    <col min="4" max="4" width="20.85546875" bestFit="1" customWidth="1"/>
  </cols>
  <sheetData>
    <row r="2" spans="3:5" x14ac:dyDescent="0.25">
      <c r="C2" t="s">
        <v>43</v>
      </c>
      <c r="D2" t="s">
        <v>1</v>
      </c>
      <c r="E2" s="18">
        <f>(E5^2*E7*(1-E7))/E9^2</f>
        <v>1514.4567254704511</v>
      </c>
    </row>
    <row r="4" spans="3:5" x14ac:dyDescent="0.25">
      <c r="D4" t="s">
        <v>33</v>
      </c>
      <c r="E4">
        <v>0.95</v>
      </c>
    </row>
    <row r="5" spans="3:5" x14ac:dyDescent="0.25">
      <c r="D5" t="s">
        <v>32</v>
      </c>
      <c r="E5">
        <f>_xlfn.NORM.S.INV(0.5+E4/2)</f>
        <v>1.9599639845400536</v>
      </c>
    </row>
    <row r="7" spans="3:5" x14ac:dyDescent="0.25">
      <c r="C7" t="s">
        <v>44</v>
      </c>
      <c r="D7" t="s">
        <v>40</v>
      </c>
      <c r="E7">
        <v>0.44</v>
      </c>
    </row>
    <row r="9" spans="3:5" x14ac:dyDescent="0.25">
      <c r="C9" t="s">
        <v>41</v>
      </c>
      <c r="D9" t="s">
        <v>42</v>
      </c>
      <c r="E9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8.1 pop. mean pop stdev known</vt:lpstr>
      <vt:lpstr>8.2 pop mean pop stdev unkown</vt:lpstr>
      <vt:lpstr>8.3 sample size for pop mean</vt:lpstr>
      <vt:lpstr>8.4 pop proportion interval</vt:lpstr>
      <vt:lpstr>pop proportion sample size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2025-08-18T19:25:12Z</dcterms:created>
  <dcterms:modified xsi:type="dcterms:W3CDTF">2025-08-20T19:44:03Z</dcterms:modified>
</cp:coreProperties>
</file>