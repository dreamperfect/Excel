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6.xml" ContentType="application/vnd.openxmlformats-officedocument.drawing+xml"/>
  <Override PartName="/xl/charts/chart20.xml" ContentType="application/vnd.openxmlformats-officedocument.drawingml.chart+xml"/>
  <Override PartName="/xl/charts/style5.xml" ContentType="application/vnd.ms-office.chartstyle+xml"/>
  <Override PartName="/xl/charts/colors5.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style7.xml" ContentType="application/vnd.ms-office.chartstyle+xml"/>
  <Override PartName="/xl/charts/colors7.xml" ContentType="application/vnd.ms-office.chartcolorstyle+xml"/>
  <Override PartName="/xl/charts/chart2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73E42200-92DE-44BA-B046-296A0C2D9CF7}" xr6:coauthVersionLast="47" xr6:coauthVersionMax="47" xr10:uidLastSave="{00000000-0000-0000-0000-000000000000}"/>
  <bookViews>
    <workbookView xWindow="-120" yWindow="-120" windowWidth="20730" windowHeight="11040" firstSheet="7" activeTab="9" xr2:uid="{B56B569E-A994-47BD-A7CB-5ED2B7DB69CF}"/>
  </bookViews>
  <sheets>
    <sheet name="Sheet1" sheetId="1" r:id="rId1"/>
    <sheet name="1. Curvilinear not adressed" sheetId="3" r:id="rId2"/>
    <sheet name="Curvilinear adressed" sheetId="4" r:id="rId3"/>
    <sheet name="2. Interaction Data table" sheetId="7" r:id="rId4"/>
    <sheet name="Interaction pivot table &amp; long" sheetId="5" r:id="rId5"/>
    <sheet name="More interaction scatter plots" sheetId="13" r:id="rId6"/>
    <sheet name="Regression Interaction adressed" sheetId="9" r:id="rId7"/>
    <sheet name="3. Nonconstant variance" sheetId="10" r:id="rId8"/>
    <sheet name="Adressed nonconstant variance" sheetId="12" r:id="rId9"/>
    <sheet name="4. Change by percentage (20%)" sheetId="15" r:id="rId10"/>
  </sheets>
  <definedNames>
    <definedName name="Slicer_Advertising_Expenditure___1000s">#N/A</definedName>
    <definedName name="solver_eng" localSheetId="1" hidden="1">1</definedName>
    <definedName name="solver_eng" localSheetId="3" hidden="1">1</definedName>
    <definedName name="solver_neg" localSheetId="1" hidden="1">1</definedName>
    <definedName name="solver_neg" localSheetId="3" hidden="1">1</definedName>
    <definedName name="solver_num" localSheetId="1" hidden="1">0</definedName>
    <definedName name="solver_num" localSheetId="3" hidden="1">0</definedName>
    <definedName name="solver_opt" localSheetId="1" hidden="1">'1. Curvilinear not adressed'!$O$6</definedName>
    <definedName name="solver_opt" localSheetId="3" hidden="1">'2. Interaction Data table'!$I$5</definedName>
    <definedName name="solver_typ" localSheetId="1" hidden="1">1</definedName>
    <definedName name="solver_typ" localSheetId="3" hidden="1">1</definedName>
    <definedName name="solver_val" localSheetId="1" hidden="1">0</definedName>
    <definedName name="solver_val" localSheetId="3" hidden="1">0</definedName>
    <definedName name="solver_ver" localSheetId="1" hidden="1">3</definedName>
    <definedName name="solver_ver" localSheetId="3" hidden="1">3</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5" l="1"/>
  <c r="R2" i="15"/>
  <c r="N2" i="15"/>
  <c r="K2" i="15"/>
  <c r="E2" i="15"/>
  <c r="D2" i="15"/>
  <c r="C2" i="9" l="1"/>
  <c r="G7" i="5"/>
  <c r="H7" i="5"/>
  <c r="I7" i="5"/>
  <c r="R3" i="15" l="1"/>
  <c r="R4" i="15"/>
  <c r="R5" i="15"/>
  <c r="R6" i="15"/>
  <c r="R7" i="15"/>
  <c r="R8" i="15"/>
  <c r="R9" i="15"/>
  <c r="Q2" i="15"/>
  <c r="E3" i="15"/>
  <c r="E4" i="15"/>
  <c r="E5" i="15"/>
  <c r="E6" i="15"/>
  <c r="E7" i="15"/>
  <c r="E8" i="15"/>
  <c r="E9" i="15"/>
  <c r="H11" i="15"/>
  <c r="Q3" i="15"/>
  <c r="Q4" i="15"/>
  <c r="Q5" i="15"/>
  <c r="Q6" i="15"/>
  <c r="Q7" i="15"/>
  <c r="Q8" i="15"/>
  <c r="Q9" i="15"/>
  <c r="Q48" i="15"/>
  <c r="R47" i="15"/>
  <c r="P48" i="15"/>
  <c r="P47" i="15" s="1"/>
  <c r="S54" i="15"/>
  <c r="P50" i="15"/>
  <c r="Q51" i="15"/>
  <c r="P51" i="15"/>
  <c r="P49" i="15"/>
  <c r="P4" i="15" l="1"/>
  <c r="P3" i="15"/>
  <c r="P5" i="15"/>
  <c r="P6" i="15"/>
  <c r="P7" i="15"/>
  <c r="P8" i="15"/>
  <c r="P9" i="15"/>
  <c r="B2" i="12"/>
  <c r="N3" i="15"/>
  <c r="N4" i="15"/>
  <c r="N5" i="15"/>
  <c r="N6" i="15"/>
  <c r="N7" i="15"/>
  <c r="N8" i="15"/>
  <c r="N9" i="15"/>
  <c r="L3" i="15"/>
  <c r="L4" i="15"/>
  <c r="L5" i="15"/>
  <c r="L6" i="15"/>
  <c r="L7" i="15"/>
  <c r="L8" i="15"/>
  <c r="L9" i="15"/>
  <c r="L2" i="15"/>
  <c r="K3" i="15"/>
  <c r="K4" i="15"/>
  <c r="K5" i="15"/>
  <c r="K6" i="15"/>
  <c r="K7" i="15"/>
  <c r="K8" i="15"/>
  <c r="K9" i="15"/>
  <c r="D3" i="15"/>
  <c r="D4" i="15"/>
  <c r="D5" i="15"/>
  <c r="D6" i="15"/>
  <c r="D7" i="15"/>
  <c r="D8" i="15"/>
  <c r="D9" i="15"/>
  <c r="B3" i="15"/>
  <c r="B4" i="15"/>
  <c r="B5" i="15"/>
  <c r="B6" i="15"/>
  <c r="B7" i="15"/>
  <c r="B8" i="15"/>
  <c r="B9" i="15"/>
  <c r="B2" i="15"/>
  <c r="D56" i="12"/>
  <c r="D57" i="12"/>
  <c r="D58" i="12"/>
  <c r="D59" i="12"/>
  <c r="D60" i="12"/>
  <c r="D61" i="12"/>
  <c r="D62" i="12"/>
  <c r="D63" i="12"/>
  <c r="D64" i="12"/>
  <c r="D65" i="12"/>
  <c r="D66" i="12"/>
  <c r="D55" i="12"/>
  <c r="E56" i="12" l="1"/>
  <c r="E57" i="12"/>
  <c r="E58" i="12"/>
  <c r="E59" i="12"/>
  <c r="E60" i="12"/>
  <c r="E61" i="12"/>
  <c r="E62" i="12"/>
  <c r="E63" i="12"/>
  <c r="E64" i="12"/>
  <c r="E65" i="12"/>
  <c r="E66" i="12"/>
  <c r="E55" i="12"/>
  <c r="B3" i="12" l="1"/>
  <c r="B4" i="12"/>
  <c r="B5" i="12"/>
  <c r="B6" i="12"/>
  <c r="B7" i="12"/>
  <c r="B8" i="12"/>
  <c r="B9" i="12"/>
  <c r="B10" i="12"/>
  <c r="B11" i="12"/>
  <c r="B12" i="12"/>
  <c r="B13" i="12"/>
  <c r="C3" i="9" l="1"/>
  <c r="C4" i="9"/>
  <c r="C5" i="9"/>
  <c r="C6" i="9"/>
  <c r="C7" i="9"/>
  <c r="C8" i="9"/>
  <c r="C9" i="9"/>
  <c r="C10" i="9"/>
  <c r="C11" i="9"/>
  <c r="C12" i="9"/>
  <c r="C13" i="9"/>
  <c r="C14" i="9"/>
  <c r="C15" i="9"/>
  <c r="C16" i="9"/>
  <c r="C17" i="9"/>
  <c r="C18" i="9"/>
  <c r="C19" i="9"/>
  <c r="C20" i="9"/>
  <c r="C21" i="9"/>
  <c r="C22" i="9"/>
  <c r="C23" i="9"/>
  <c r="C24" i="9"/>
  <c r="C25" i="9"/>
  <c r="B5" i="4"/>
  <c r="B3" i="4" l="1"/>
  <c r="B4" i="4"/>
  <c r="B6" i="4"/>
  <c r="B7" i="4"/>
  <c r="B8" i="4"/>
  <c r="B9" i="4"/>
  <c r="B10" i="4"/>
  <c r="B11" i="4"/>
  <c r="B12" i="4"/>
  <c r="B13" i="4"/>
  <c r="B14" i="4"/>
  <c r="B15" i="4"/>
  <c r="B16" i="4"/>
  <c r="B2" i="4"/>
  <c r="B2" i="1" a="1"/>
  <c r="B2" i="1" s="1"/>
  <c r="A2" i="1" a="1"/>
  <c r="A2" i="1" s="1"/>
  <c r="D3" i="1"/>
  <c r="B3" i="1" s="1" a="1"/>
  <c r="B3" i="1" s="1"/>
  <c r="C3" i="1"/>
  <c r="C4" i="1" s="1"/>
  <c r="A4" i="1" s="1" a="1"/>
  <c r="A4" i="1" s="1"/>
  <c r="A3" i="1" l="1" a="1"/>
  <c r="A3" i="1" s="1"/>
  <c r="C5" i="1"/>
  <c r="A5" i="1" s="1" a="1"/>
  <c r="A5" i="1" s="1"/>
  <c r="D4" i="1"/>
  <c r="D5" i="1" l="1"/>
  <c r="B4" i="1" a="1"/>
  <c r="B4" i="1" s="1"/>
  <c r="C6" i="1"/>
  <c r="A6" i="1" s="1" a="1"/>
  <c r="A6" i="1" s="1"/>
  <c r="D6" i="1" l="1"/>
  <c r="B5" i="1" a="1"/>
  <c r="B5" i="1" s="1"/>
  <c r="C7" i="1"/>
  <c r="A7" i="1" s="1" a="1"/>
  <c r="A7" i="1" s="1"/>
  <c r="D7" i="1" l="1"/>
  <c r="B6" i="1" a="1"/>
  <c r="B6" i="1" s="1"/>
  <c r="C8" i="1"/>
  <c r="A8" i="1" s="1" a="1"/>
  <c r="A8" i="1" s="1"/>
  <c r="C9" i="1" l="1"/>
  <c r="A9" i="1" s="1" a="1"/>
  <c r="A9" i="1" s="1"/>
  <c r="D8" i="1"/>
  <c r="B7" i="1" a="1"/>
  <c r="B7" i="1" s="1"/>
  <c r="D9" i="1" l="1"/>
  <c r="B8" i="1" a="1"/>
  <c r="B8" i="1" s="1"/>
  <c r="C10" i="1"/>
  <c r="A10" i="1" s="1" a="1"/>
  <c r="A10" i="1" s="1"/>
  <c r="C11" i="1" l="1"/>
  <c r="A11" i="1" s="1" a="1"/>
  <c r="A11" i="1" s="1"/>
  <c r="D10" i="1"/>
  <c r="B9" i="1" a="1"/>
  <c r="B9" i="1" s="1"/>
  <c r="D11" i="1" l="1"/>
  <c r="B10" i="1" a="1"/>
  <c r="B10" i="1" s="1"/>
  <c r="C12" i="1"/>
  <c r="A12" i="1" s="1" a="1"/>
  <c r="A12" i="1" s="1"/>
  <c r="D12" i="1" l="1"/>
  <c r="B11" i="1" a="1"/>
  <c r="B11" i="1" s="1"/>
  <c r="C13" i="1"/>
  <c r="A13" i="1" s="1" a="1"/>
  <c r="A13" i="1" s="1"/>
  <c r="C14" i="1" l="1"/>
  <c r="A14" i="1" s="1" a="1"/>
  <c r="A14" i="1" s="1"/>
  <c r="D13" i="1"/>
  <c r="B12" i="1" a="1"/>
  <c r="B12" i="1" s="1"/>
  <c r="D14" i="1" l="1"/>
  <c r="B13" i="1" a="1"/>
  <c r="B13" i="1" s="1"/>
  <c r="C15" i="1"/>
  <c r="A15" i="1" s="1" a="1"/>
  <c r="A15" i="1" s="1"/>
  <c r="C16" i="1" l="1"/>
  <c r="A16" i="1" s="1" a="1"/>
  <c r="A16" i="1" s="1"/>
  <c r="D15" i="1"/>
  <c r="B14" i="1" a="1"/>
  <c r="B14" i="1" s="1"/>
  <c r="D16" i="1" l="1"/>
  <c r="B16" i="1" s="1" a="1"/>
  <c r="B16" i="1" s="1"/>
  <c r="B15" i="1" a="1"/>
  <c r="B1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<sst xmlns="http://schemas.openxmlformats.org/spreadsheetml/2006/main" count="299" uniqueCount="67">
  <si>
    <t>MonthsEmployed</t>
  </si>
  <si>
    <t>ScalesSold</t>
  </si>
  <si>
    <t>Months Employed</t>
  </si>
  <si>
    <t>x2</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</si>
  <si>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</si>
  <si>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</si>
  <si>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</si>
  <si>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</si>
  <si>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</si>
  <si>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</si>
  <si>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</si>
  <si>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</si>
  <si>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</si>
  <si>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</si>
  <si>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</si>
  <si>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</si>
  <si>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</si>
  <si>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</si>
  <si>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</si>
  <si>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</si>
  <si>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</si>
  <si>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</si>
  <si>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</si>
  <si>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</si>
  <si>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</si>
  <si>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</si>
  <si>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</si>
  <si>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</si>
  <si>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</si>
  <si>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</si>
  <si>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ScalesSold</t>
  </si>
  <si>
    <t>Residuals</t>
  </si>
  <si>
    <t>Standard Residuals</t>
  </si>
  <si>
    <t>PROBABILITY OUTPUT</t>
  </si>
  <si>
    <t>Percentile</t>
  </si>
  <si>
    <t>Price</t>
  </si>
  <si>
    <t>Advertising Expenditure ($1000s)</t>
  </si>
  <si>
    <t>Sales (1000s)</t>
  </si>
  <si>
    <t>Sales (I000s)</t>
  </si>
  <si>
    <t>Average of Sales (1000s)</t>
  </si>
  <si>
    <t>Difference</t>
  </si>
  <si>
    <t>x1(x2)"in thousands"</t>
  </si>
  <si>
    <t>Predicted Sales (1000s)</t>
  </si>
  <si>
    <t>Number &lt;-</t>
  </si>
  <si>
    <t>Months Employed Squared</t>
  </si>
  <si>
    <t>Weight</t>
  </si>
  <si>
    <t>Miles Per Gallon</t>
  </si>
  <si>
    <t>Predicted Miles Per Gallon</t>
  </si>
  <si>
    <t>MPG natural log</t>
  </si>
  <si>
    <t>MPG (Don’t enter into Regression)</t>
  </si>
  <si>
    <t>Predicted MPG natural log</t>
  </si>
  <si>
    <t>Observed mpg</t>
  </si>
  <si>
    <t>bo</t>
  </si>
  <si>
    <t>b1</t>
  </si>
  <si>
    <t>x</t>
  </si>
  <si>
    <t>log bo</t>
  </si>
  <si>
    <t>log b1</t>
  </si>
  <si>
    <t>y observed</t>
  </si>
  <si>
    <t>x1</t>
  </si>
  <si>
    <t>Predicted y observed</t>
  </si>
  <si>
    <t>Y prediction without logging</t>
  </si>
  <si>
    <t>Predictions in mpg =(exp (prediction in natural log))</t>
  </si>
  <si>
    <t>Log y observed</t>
  </si>
  <si>
    <t>Y  observed</t>
  </si>
  <si>
    <t>Predicted Log y observed</t>
  </si>
  <si>
    <t>How predicted log y is done</t>
  </si>
  <si>
    <t>predicted from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</si>
</sst>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0.000E+00"/>
    <numFmt numFmtId="165" formatCode="0.0E+00"/>
    <numFmt numFmtId="166" formatCode="0.000000E+00"/>
    <numFmt numFmtId="167" formatCode="&quot;$&quot;#,##0.00"/>
    <numFmt numFmtId="168" formatCode="0.000000000000"/>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1"/>
      <name val="Courier New"/>
      <family val="3"/>
    </font>
    <font>
      <i/>
      <sz val="11"/>
      <color theme="1"/>
      <name val="Calibri"/>
      <family val="2"/>
      <scheme val="minor"/>
    </font>
    <font>
      <sz val="11"/>
      <color rgb="FFFF0000"/>
      <name val="Calibri"/>
      <family val="2"/>
      <scheme val="minor"/>
    </font>
    <font>
      <sz val="11"/>
      <color rgb="FFFF0000"/>
      <name val="Courier New"/>
      <family val="3"/>
    </font>
    <font>
      <sz val="1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1" fillId="0" borderId="0" applyFont="0" applyFill="0" applyBorder="0" applyAlignment="0" applyProtection="0"/>
  </cellStyleXfs>
  <cellXfs count="43">
    <xf numFmtId="0" fontId="0" fillId="0" borderId="0" xfId="0"/>
    <xf numFmtId="0" fontId="0" fillId="0" borderId="0" xfId="0" applyAlignment="1">
      <alignment wrapText="1"/>
    </xf>
    <xf numFmtId="0" fontId="3" fillId="0" borderId="0" xfId="0" applyFont="1"/>
    <xf numFmtId="8" fontId="0" fillId="0" borderId="0" xfId="0" applyNumberFormat="1"/>
    <xf numFmtId="0" fontId="2" fillId="0" borderId="0" xfId="0" applyFont="1"/>
    <xf numFmtId="44" fontId="0" fillId="0" borderId="0" xfId="1" applyFont="1"/>
    <xf numFmtId="0" fontId="2" fillId="0" borderId="0" xfId="0" applyFont="1" applyAlignment="1">
      <alignment wrapText="1"/>
    </xf>
    <xf numFmtId="0" fontId="0" fillId="0" borderId="0" xfId="0" pivotButton="1"/>
    <xf numFmtId="44" fontId="0" fillId="0" borderId="0" xfId="0" applyNumberFormat="1"/>
    <xf numFmtId="167" fontId="0" fillId="0" borderId="0" xfId="0" applyNumberFormat="1"/>
    <xf numFmtId="0" fontId="0" fillId="2" borderId="0" xfId="0" applyFill="1"/>
    <xf numFmtId="0" fontId="0" fillId="2" borderId="1" xfId="0" applyFill="1" applyBorder="1"/>
    <xf numFmtId="0" fontId="3" fillId="0" borderId="0" xfId="0" applyFont="1" applyAlignment="1">
      <alignment wrapText="1"/>
    </xf>
    <xf numFmtId="164" fontId="0" fillId="2" borderId="0" xfId="0" applyNumberFormat="1" applyFill="1"/>
    <xf numFmtId="0" fontId="0" fillId="0" borderId="1" xfId="0" applyBorder="1"/>
    <xf numFmtId="0" fontId="0" fillId="3" borderId="0" xfId="0" applyFill="1"/>
    <xf numFmtId="0" fontId="0" fillId="3" borderId="0" xfId="0" applyFill="1" applyAlignment="1">
      <alignment wrapText="1"/>
    </xf>
    <xf numFmtId="0" fontId="4" fillId="3" borderId="2" xfId="0" applyFont="1" applyFill="1" applyBorder="1" applyAlignment="1">
      <alignment horizontal="centerContinuous"/>
    </xf>
    <xf numFmtId="0" fontId="0" fillId="3" borderId="1" xfId="0" applyFill="1" applyBorder="1"/>
    <xf numFmtId="0" fontId="4" fillId="3" borderId="2" xfId="0" applyFont="1" applyFill="1" applyBorder="1" applyAlignment="1">
      <alignment horizontal="center"/>
    </xf>
    <xf numFmtId="0" fontId="4" fillId="2" borderId="2" xfId="0" applyFont="1" applyFill="1" applyBorder="1" applyAlignment="1">
      <alignment horizontal="centerContinuous"/>
    </xf>
    <xf numFmtId="0" fontId="4" fillId="2" borderId="2" xfId="0" applyFont="1" applyFill="1" applyBorder="1" applyAlignment="1">
      <alignment horizontal="center"/>
    </xf>
    <xf numFmtId="166" fontId="0" fillId="2" borderId="0" xfId="0" applyNumberFormat="1" applyFill="1"/>
    <xf numFmtId="0" fontId="4" fillId="2" borderId="0" xfId="0" applyFont="1" applyFill="1" applyAlignment="1">
      <alignment horizontal="center"/>
    </xf>
    <xf numFmtId="165" fontId="0" fillId="2" borderId="0" xfId="0" applyNumberFormat="1" applyFill="1"/>
    <xf numFmtId="0" fontId="0" fillId="2" borderId="0" xfId="0" applyFill="1" applyAlignment="1">
      <alignment wrapText="1"/>
    </xf>
    <xf numFmtId="0" fontId="4" fillId="2" borderId="2" xfId="0" applyFont="1" applyFill="1" applyBorder="1" applyAlignment="1">
      <alignment horizontal="center" wrapText="1"/>
    </xf>
    <xf numFmtId="0" fontId="4" fillId="0" borderId="2" xfId="0" applyFont="1" applyBorder="1" applyAlignment="1">
      <alignment horizontal="center" wrapText="1"/>
    </xf>
    <xf numFmtId="0" fontId="0" fillId="4" borderId="0" xfId="0" applyFill="1"/>
    <xf numFmtId="0" fontId="4" fillId="4" borderId="2" xfId="0" applyFont="1" applyFill="1" applyBorder="1" applyAlignment="1">
      <alignment horizontal="center" wrapText="1"/>
    </xf>
    <xf numFmtId="168" fontId="0" fillId="4" borderId="0" xfId="0" applyNumberFormat="1" applyFill="1"/>
    <xf numFmtId="0" fontId="0" fillId="4" borderId="1" xfId="0" applyFill="1" applyBorder="1"/>
    <xf numFmtId="0" fontId="4" fillId="4" borderId="2" xfId="0" applyFont="1" applyFill="1" applyBorder="1" applyAlignment="1">
      <alignment horizontal="centerContinuous"/>
    </xf>
    <xf numFmtId="0" fontId="4" fillId="4" borderId="2" xfId="0" applyFont="1" applyFill="1" applyBorder="1" applyAlignment="1">
      <alignment horizontal="center"/>
    </xf>
    <xf numFmtId="11" fontId="0" fillId="0" borderId="0" xfId="0" applyNumberFormat="1"/>
    <xf numFmtId="0" fontId="5" fillId="0" borderId="0" xfId="0" applyFont="1"/>
    <xf numFmtId="0" fontId="6" fillId="0" borderId="0" xfId="0" applyFont="1"/>
    <xf numFmtId="0" fontId="3" fillId="2" borderId="0" xfId="0" applyFont="1" applyFill="1"/>
    <xf numFmtId="0" fontId="7" fillId="5" borderId="0" xfId="0" applyFont="1" applyFill="1"/>
    <xf numFmtId="0" fontId="0" fillId="4" borderId="0" xfId="0" applyFill="1" applyAlignment="1">
      <alignment wrapText="1"/>
    </xf>
    <xf numFmtId="0" fontId="0" fillId="0" borderId="0" xfId="0" applyAlignment="1">
      <alignment horizontal="right" indent="1"/>
    </xf>
    <xf numFmtId="0" fontId="0" fillId="0" borderId="0" xfId="0" applyNumberFormat="1"/>
    <xf numFmtId="0" fontId="0" fillId="5" borderId="0" xfId="0"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43727202830266"/>
          <c:y val="0.16708333333333336"/>
          <c:w val="0.81318358856295003"/>
          <c:h val="0.62271617089530473"/>
        </c:manualLayout>
      </c:layout>
      <c:scatterChart>
        <c:scatterStyle val="lineMarker"/>
        <c:varyColors val="0"/>
        <c:ser>
          <c:idx val="0"/>
          <c:order val="0"/>
          <c:tx>
            <c:strRef>
              <c:f>'1. Curvilinear not adressed'!$B$1</c:f>
              <c:strCache>
                <c:ptCount val="1"/>
                <c:pt idx="0">
                  <c:v>ScalesSold</c:v>
                </c:pt>
              </c:strCache>
            </c:strRef>
          </c:tx>
          <c:spPr>
            <a:ln w="19050" cap="rnd">
              <a:noFill/>
              <a:round/>
            </a:ln>
            <a:effectLst/>
          </c:spPr>
          <c:marker>
            <c:symbol val="circle"/>
            <c:size val="5"/>
            <c:spPr>
              <a:solidFill>
                <a:schemeClr val="accent1"/>
              </a:solidFill>
              <a:ln w="9525">
                <a:solidFill>
                  <a:schemeClr val="accent1"/>
                </a:solidFill>
              </a:ln>
              <a:effectLst/>
            </c:spPr>
          </c:marker>
          <c:xVal>
            <c:numRef>
              <c:f>'1. Curvilinear not adressed'!$A$2:$A$16</c:f>
              <c:numCache>
                <c:formatCode>General</c:formatCode>
                <c:ptCount val="15"/>
                <c:pt idx="0">
                  <c:v>41</c:v>
                </c:pt>
                <c:pt idx="1">
                  <c:v>106</c:v>
                </c:pt>
                <c:pt idx="2">
                  <c:v>76</c:v>
                </c:pt>
                <c:pt idx="3">
                  <c:v>103</c:v>
                </c:pt>
                <c:pt idx="4">
                  <c:v>22</c:v>
                </c:pt>
                <c:pt idx="5">
                  <c:v>12</c:v>
                </c:pt>
                <c:pt idx="6">
                  <c:v>85</c:v>
                </c:pt>
                <c:pt idx="7">
                  <c:v>111</c:v>
                </c:pt>
                <c:pt idx="8">
                  <c:v>40</c:v>
                </c:pt>
                <c:pt idx="9">
                  <c:v>51</c:v>
                </c:pt>
                <c:pt idx="10">
                  <c:v>9</c:v>
                </c:pt>
                <c:pt idx="11">
                  <c:v>12</c:v>
                </c:pt>
                <c:pt idx="12">
                  <c:v>6</c:v>
                </c:pt>
                <c:pt idx="13">
                  <c:v>56</c:v>
                </c:pt>
                <c:pt idx="14">
                  <c:v>19</c:v>
                </c:pt>
              </c:numCache>
            </c:numRef>
          </c:xVal>
          <c:yVal>
            <c:numRef>
              <c:f>'1. Curvilinear not adressed'!$B$2:$B$16</c:f>
              <c:numCache>
                <c:formatCode>General</c:formatCode>
                <c:ptCount val="15"/>
                <c:pt idx="0">
                  <c:v>275</c:v>
                </c:pt>
                <c:pt idx="1">
                  <c:v>296</c:v>
                </c:pt>
                <c:pt idx="2">
                  <c:v>317</c:v>
                </c:pt>
                <c:pt idx="3">
                  <c:v>374</c:v>
                </c:pt>
                <c:pt idx="4">
                  <c:v>162</c:v>
                </c:pt>
                <c:pt idx="5">
                  <c:v>150</c:v>
                </c:pt>
                <c:pt idx="6">
                  <c:v>367</c:v>
                </c:pt>
                <c:pt idx="7">
                  <c:v>308</c:v>
                </c:pt>
                <c:pt idx="8">
                  <c:v>189</c:v>
                </c:pt>
                <c:pt idx="9">
                  <c:v>235</c:v>
                </c:pt>
                <c:pt idx="10">
                  <c:v>83</c:v>
                </c:pt>
                <c:pt idx="11">
                  <c:v>112</c:v>
                </c:pt>
                <c:pt idx="12">
                  <c:v>67</c:v>
                </c:pt>
                <c:pt idx="13">
                  <c:v>325</c:v>
                </c:pt>
                <c:pt idx="14">
                  <c:v>189</c:v>
                </c:pt>
              </c:numCache>
            </c:numRef>
          </c:yVal>
          <c:smooth val="0"/>
          <c:extLst>
            <c:ext xmlns:c16="http://schemas.microsoft.com/office/drawing/2014/chart" uri="{C3380CC4-5D6E-409C-BE32-E72D297353CC}">
              <c16:uniqueId val="{00000000-EB4F-439F-A92A-F3F43155B190}"/>
            </c:ext>
          </c:extLst>
        </c:ser>
        <c:dLbls>
          <c:showLegendKey val="0"/>
          <c:showVal val="0"/>
          <c:showCatName val="0"/>
          <c:showSerName val="0"/>
          <c:showPercent val="0"/>
          <c:showBubbleSize val="0"/>
        </c:dLbls>
        <c:axId val="1207815407"/>
        <c:axId val="1333742991"/>
      </c:scatterChart>
      <c:valAx>
        <c:axId val="12078154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r>
                  <a:rPr lang="en-US" baseline="0"/>
                  <a:t> Employed</a:t>
                </a:r>
                <a:endParaRPr lang="en-US"/>
              </a:p>
            </c:rich>
          </c:tx>
          <c:layout>
            <c:manualLayout>
              <c:xMode val="edge"/>
              <c:yMode val="edge"/>
              <c:x val="0.48533522216350866"/>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742991"/>
        <c:crosses val="autoZero"/>
        <c:crossBetween val="midCat"/>
      </c:valAx>
      <c:valAx>
        <c:axId val="1333742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Scales</a:t>
                </a:r>
                <a:r>
                  <a:rPr lang="en-US" baseline="0"/>
                  <a:t>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154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MonthsEmployed  Residual Plot</a:t>
            </a:r>
          </a:p>
        </c:rich>
      </c:tx>
      <c:overlay val="0"/>
    </c:title>
    <c:autoTitleDeleted val="0"/>
    <c:plotArea>
      <c:layout/>
      <c:scatterChart>
        <c:scatterStyle val="lineMarker"/>
        <c:varyColors val="0"/>
        <c:ser>
          <c:idx val="0"/>
          <c:order val="0"/>
          <c:spPr>
            <a:ln w="19050">
              <a:noFill/>
            </a:ln>
          </c:spPr>
          <c:xVal>
            <c:numRef>
              <c:f>'1. Curvilinear not adressed'!$A$2:$A$16</c:f>
              <c:numCache>
                <c:formatCode>General</c:formatCode>
                <c:ptCount val="15"/>
                <c:pt idx="0">
                  <c:v>41</c:v>
                </c:pt>
                <c:pt idx="1">
                  <c:v>106</c:v>
                </c:pt>
                <c:pt idx="2">
                  <c:v>76</c:v>
                </c:pt>
                <c:pt idx="3">
                  <c:v>103</c:v>
                </c:pt>
                <c:pt idx="4">
                  <c:v>22</c:v>
                </c:pt>
                <c:pt idx="5">
                  <c:v>12</c:v>
                </c:pt>
                <c:pt idx="6">
                  <c:v>85</c:v>
                </c:pt>
                <c:pt idx="7">
                  <c:v>111</c:v>
                </c:pt>
                <c:pt idx="8">
                  <c:v>40</c:v>
                </c:pt>
                <c:pt idx="9">
                  <c:v>51</c:v>
                </c:pt>
                <c:pt idx="10">
                  <c:v>9</c:v>
                </c:pt>
                <c:pt idx="11">
                  <c:v>12</c:v>
                </c:pt>
                <c:pt idx="12">
                  <c:v>6</c:v>
                </c:pt>
                <c:pt idx="13">
                  <c:v>56</c:v>
                </c:pt>
                <c:pt idx="14">
                  <c:v>19</c:v>
                </c:pt>
              </c:numCache>
            </c:numRef>
          </c:xVal>
          <c:yVal>
            <c:numRef>
              <c:f>'1. Curvilinear not adressed'!$C$42:$C$56</c:f>
              <c:numCache>
                <c:formatCode>General</c:formatCode>
                <c:ptCount val="15"/>
                <c:pt idx="0">
                  <c:v>66.30026220867552</c:v>
                </c:pt>
                <c:pt idx="1">
                  <c:v>-67.197914309672399</c:v>
                </c:pt>
                <c:pt idx="2">
                  <c:v>25.108936391103555</c:v>
                </c:pt>
                <c:pt idx="3">
                  <c:v>17.932770760405162</c:v>
                </c:pt>
                <c:pt idx="4">
                  <c:v>-1.5387323474997174</c:v>
                </c:pt>
                <c:pt idx="5">
                  <c:v>10.230217886092248</c:v>
                </c:pt>
                <c:pt idx="6">
                  <c:v>53.716881180870757</c:v>
                </c:pt>
                <c:pt idx="7">
                  <c:v>-67.08238942646841</c:v>
                </c:pt>
                <c:pt idx="8">
                  <c:v>-17.322842767965312</c:v>
                </c:pt>
                <c:pt idx="9">
                  <c:v>2.5313119750834971</c:v>
                </c:pt>
                <c:pt idx="10">
                  <c:v>-49.639097043830134</c:v>
                </c:pt>
                <c:pt idx="11">
                  <c:v>-27.769782113907752</c:v>
                </c:pt>
                <c:pt idx="12">
                  <c:v>-58.508411973752544</c:v>
                </c:pt>
                <c:pt idx="13">
                  <c:v>80.646836858287543</c:v>
                </c:pt>
                <c:pt idx="14">
                  <c:v>32.591952722577872</c:v>
                </c:pt>
              </c:numCache>
            </c:numRef>
          </c:yVal>
          <c:smooth val="0"/>
          <c:extLst>
            <c:ext xmlns:c16="http://schemas.microsoft.com/office/drawing/2014/chart" uri="{C3380CC4-5D6E-409C-BE32-E72D297353CC}">
              <c16:uniqueId val="{00000001-2C26-4083-93A2-AD2489ECEC7D}"/>
            </c:ext>
          </c:extLst>
        </c:ser>
        <c:dLbls>
          <c:showLegendKey val="0"/>
          <c:showVal val="0"/>
          <c:showCatName val="0"/>
          <c:showSerName val="0"/>
          <c:showPercent val="0"/>
          <c:showBubbleSize val="0"/>
        </c:dLbls>
        <c:axId val="1961152719"/>
        <c:axId val="1269834799"/>
      </c:scatterChart>
      <c:valAx>
        <c:axId val="1961152719"/>
        <c:scaling>
          <c:orientation val="minMax"/>
        </c:scaling>
        <c:delete val="0"/>
        <c:axPos val="b"/>
        <c:title>
          <c:tx>
            <c:rich>
              <a:bodyPr/>
              <a:lstStyle/>
              <a:p>
                <a:pPr>
                  <a:defRPr/>
                </a:pPr>
                <a:r>
                  <a:rPr lang="en-US"/>
                  <a:t>MonthsEmployed</a:t>
                </a:r>
              </a:p>
            </c:rich>
          </c:tx>
          <c:overlay val="0"/>
        </c:title>
        <c:numFmt formatCode="General" sourceLinked="1"/>
        <c:majorTickMark val="out"/>
        <c:minorTickMark val="none"/>
        <c:tickLblPos val="nextTo"/>
        <c:crossAx val="1269834799"/>
        <c:crosses val="autoZero"/>
        <c:crossBetween val="midCat"/>
      </c:valAx>
      <c:valAx>
        <c:axId val="126983479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96115271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MonthsEmployed Line Fit  Plot</a:t>
            </a:r>
          </a:p>
        </c:rich>
      </c:tx>
      <c:overlay val="0"/>
    </c:title>
    <c:autoTitleDeleted val="0"/>
    <c:plotArea>
      <c:layout/>
      <c:scatterChart>
        <c:scatterStyle val="lineMarker"/>
        <c:varyColors val="0"/>
        <c:ser>
          <c:idx val="0"/>
          <c:order val="0"/>
          <c:tx>
            <c:v>ScalesSold</c:v>
          </c:tx>
          <c:spPr>
            <a:ln w="19050">
              <a:noFill/>
            </a:ln>
          </c:spPr>
          <c:xVal>
            <c:numRef>
              <c:f>'1. Curvilinear not adressed'!$A$2:$A$16</c:f>
              <c:numCache>
                <c:formatCode>General</c:formatCode>
                <c:ptCount val="15"/>
                <c:pt idx="0">
                  <c:v>41</c:v>
                </c:pt>
                <c:pt idx="1">
                  <c:v>106</c:v>
                </c:pt>
                <c:pt idx="2">
                  <c:v>76</c:v>
                </c:pt>
                <c:pt idx="3">
                  <c:v>103</c:v>
                </c:pt>
                <c:pt idx="4">
                  <c:v>22</c:v>
                </c:pt>
                <c:pt idx="5">
                  <c:v>12</c:v>
                </c:pt>
                <c:pt idx="6">
                  <c:v>85</c:v>
                </c:pt>
                <c:pt idx="7">
                  <c:v>111</c:v>
                </c:pt>
                <c:pt idx="8">
                  <c:v>40</c:v>
                </c:pt>
                <c:pt idx="9">
                  <c:v>51</c:v>
                </c:pt>
                <c:pt idx="10">
                  <c:v>9</c:v>
                </c:pt>
                <c:pt idx="11">
                  <c:v>12</c:v>
                </c:pt>
                <c:pt idx="12">
                  <c:v>6</c:v>
                </c:pt>
                <c:pt idx="13">
                  <c:v>56</c:v>
                </c:pt>
                <c:pt idx="14">
                  <c:v>19</c:v>
                </c:pt>
              </c:numCache>
            </c:numRef>
          </c:xVal>
          <c:yVal>
            <c:numRef>
              <c:f>'1. Curvilinear not adressed'!$B$2:$B$16</c:f>
              <c:numCache>
                <c:formatCode>General</c:formatCode>
                <c:ptCount val="15"/>
                <c:pt idx="0">
                  <c:v>275</c:v>
                </c:pt>
                <c:pt idx="1">
                  <c:v>296</c:v>
                </c:pt>
                <c:pt idx="2">
                  <c:v>317</c:v>
                </c:pt>
                <c:pt idx="3">
                  <c:v>374</c:v>
                </c:pt>
                <c:pt idx="4">
                  <c:v>162</c:v>
                </c:pt>
                <c:pt idx="5">
                  <c:v>150</c:v>
                </c:pt>
                <c:pt idx="6">
                  <c:v>367</c:v>
                </c:pt>
                <c:pt idx="7">
                  <c:v>308</c:v>
                </c:pt>
                <c:pt idx="8">
                  <c:v>189</c:v>
                </c:pt>
                <c:pt idx="9">
                  <c:v>235</c:v>
                </c:pt>
                <c:pt idx="10">
                  <c:v>83</c:v>
                </c:pt>
                <c:pt idx="11">
                  <c:v>112</c:v>
                </c:pt>
                <c:pt idx="12">
                  <c:v>67</c:v>
                </c:pt>
                <c:pt idx="13">
                  <c:v>325</c:v>
                </c:pt>
                <c:pt idx="14">
                  <c:v>189</c:v>
                </c:pt>
              </c:numCache>
            </c:numRef>
          </c:yVal>
          <c:smooth val="0"/>
          <c:extLst>
            <c:ext xmlns:c16="http://schemas.microsoft.com/office/drawing/2014/chart" uri="{C3380CC4-5D6E-409C-BE32-E72D297353CC}">
              <c16:uniqueId val="{00000001-E8DA-4DD3-A0EB-4FF7515C9910}"/>
            </c:ext>
          </c:extLst>
        </c:ser>
        <c:ser>
          <c:idx val="1"/>
          <c:order val="1"/>
          <c:tx>
            <c:v>Predicted ScalesSold</c:v>
          </c:tx>
          <c:spPr>
            <a:ln w="19050">
              <a:noFill/>
            </a:ln>
          </c:spPr>
          <c:xVal>
            <c:numRef>
              <c:f>'1. Curvilinear not adressed'!$A$2:$A$16</c:f>
              <c:numCache>
                <c:formatCode>General</c:formatCode>
                <c:ptCount val="15"/>
                <c:pt idx="0">
                  <c:v>41</c:v>
                </c:pt>
                <c:pt idx="1">
                  <c:v>106</c:v>
                </c:pt>
                <c:pt idx="2">
                  <c:v>76</c:v>
                </c:pt>
                <c:pt idx="3">
                  <c:v>103</c:v>
                </c:pt>
                <c:pt idx="4">
                  <c:v>22</c:v>
                </c:pt>
                <c:pt idx="5">
                  <c:v>12</c:v>
                </c:pt>
                <c:pt idx="6">
                  <c:v>85</c:v>
                </c:pt>
                <c:pt idx="7">
                  <c:v>111</c:v>
                </c:pt>
                <c:pt idx="8">
                  <c:v>40</c:v>
                </c:pt>
                <c:pt idx="9">
                  <c:v>51</c:v>
                </c:pt>
                <c:pt idx="10">
                  <c:v>9</c:v>
                </c:pt>
                <c:pt idx="11">
                  <c:v>12</c:v>
                </c:pt>
                <c:pt idx="12">
                  <c:v>6</c:v>
                </c:pt>
                <c:pt idx="13">
                  <c:v>56</c:v>
                </c:pt>
                <c:pt idx="14">
                  <c:v>19</c:v>
                </c:pt>
              </c:numCache>
            </c:numRef>
          </c:xVal>
          <c:yVal>
            <c:numRef>
              <c:f>'1. Curvilinear not adressed'!$B$42:$B$56</c:f>
              <c:numCache>
                <c:formatCode>General</c:formatCode>
                <c:ptCount val="15"/>
                <c:pt idx="0">
                  <c:v>208.69973779132448</c:v>
                </c:pt>
                <c:pt idx="1">
                  <c:v>363.1979143096724</c:v>
                </c:pt>
                <c:pt idx="2">
                  <c:v>291.89106360889645</c:v>
                </c:pt>
                <c:pt idx="3">
                  <c:v>356.06722923959484</c:v>
                </c:pt>
                <c:pt idx="4">
                  <c:v>163.53873234749972</c:v>
                </c:pt>
                <c:pt idx="5">
                  <c:v>139.76978211390775</c:v>
                </c:pt>
                <c:pt idx="6">
                  <c:v>313.28311881912924</c:v>
                </c:pt>
                <c:pt idx="7">
                  <c:v>375.08238942646841</c:v>
                </c:pt>
                <c:pt idx="8">
                  <c:v>206.32284276796531</c:v>
                </c:pt>
                <c:pt idx="9">
                  <c:v>232.4686880249165</c:v>
                </c:pt>
                <c:pt idx="10">
                  <c:v>132.63909704383013</c:v>
                </c:pt>
                <c:pt idx="11">
                  <c:v>139.76978211390775</c:v>
                </c:pt>
                <c:pt idx="12">
                  <c:v>125.50841197375254</c:v>
                </c:pt>
                <c:pt idx="13">
                  <c:v>244.35316314171246</c:v>
                </c:pt>
                <c:pt idx="14">
                  <c:v>156.40804727742213</c:v>
                </c:pt>
              </c:numCache>
            </c:numRef>
          </c:yVal>
          <c:smooth val="0"/>
          <c:extLst>
            <c:ext xmlns:c16="http://schemas.microsoft.com/office/drawing/2014/chart" uri="{C3380CC4-5D6E-409C-BE32-E72D297353CC}">
              <c16:uniqueId val="{00000002-E8DA-4DD3-A0EB-4FF7515C9910}"/>
            </c:ext>
          </c:extLst>
        </c:ser>
        <c:dLbls>
          <c:showLegendKey val="0"/>
          <c:showVal val="0"/>
          <c:showCatName val="0"/>
          <c:showSerName val="0"/>
          <c:showPercent val="0"/>
          <c:showBubbleSize val="0"/>
        </c:dLbls>
        <c:axId val="1961166639"/>
        <c:axId val="1320478175"/>
      </c:scatterChart>
      <c:valAx>
        <c:axId val="1961166639"/>
        <c:scaling>
          <c:orientation val="minMax"/>
        </c:scaling>
        <c:delete val="0"/>
        <c:axPos val="b"/>
        <c:title>
          <c:tx>
            <c:rich>
              <a:bodyPr/>
              <a:lstStyle/>
              <a:p>
                <a:pPr>
                  <a:defRPr/>
                </a:pPr>
                <a:r>
                  <a:rPr lang="en-US"/>
                  <a:t>MonthsEmployed</a:t>
                </a:r>
              </a:p>
            </c:rich>
          </c:tx>
          <c:overlay val="0"/>
        </c:title>
        <c:numFmt formatCode="General" sourceLinked="1"/>
        <c:majorTickMark val="out"/>
        <c:minorTickMark val="none"/>
        <c:tickLblPos val="nextTo"/>
        <c:crossAx val="1320478175"/>
        <c:crosses val="autoZero"/>
        <c:crossBetween val="midCat"/>
      </c:valAx>
      <c:valAx>
        <c:axId val="1320478175"/>
        <c:scaling>
          <c:orientation val="minMax"/>
        </c:scaling>
        <c:delete val="0"/>
        <c:axPos val="l"/>
        <c:title>
          <c:tx>
            <c:rich>
              <a:bodyPr/>
              <a:lstStyle/>
              <a:p>
                <a:pPr>
                  <a:defRPr/>
                </a:pPr>
                <a:r>
                  <a:rPr lang="en-US"/>
                  <a:t>ScalesSold</a:t>
                </a:r>
              </a:p>
            </c:rich>
          </c:tx>
          <c:overlay val="0"/>
        </c:title>
        <c:numFmt formatCode="General" sourceLinked="1"/>
        <c:majorTickMark val="out"/>
        <c:minorTickMark val="none"/>
        <c:tickLblPos val="nextTo"/>
        <c:crossAx val="196116663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'1. Curvilinear not adressed'!$F$42:$F$56</c:f>
              <c:numCache>
                <c:formatCode>General</c:formatCode>
                <c:ptCount val="15"/>
                <c:pt idx="0">
                  <c:v>3.3333333333333335</c:v>
                </c:pt>
                <c:pt idx="1">
                  <c:v>10</c:v>
                </c:pt>
                <c:pt idx="2">
                  <c:v>16.666666666666668</c:v>
                </c:pt>
                <c:pt idx="3">
                  <c:v>23.333333333333332</c:v>
                </c:pt>
                <c:pt idx="4">
                  <c:v>30</c:v>
                </c:pt>
                <c:pt idx="5">
                  <c:v>36.666666666666671</c:v>
                </c:pt>
                <c:pt idx="6">
                  <c:v>43.333333333333336</c:v>
                </c:pt>
                <c:pt idx="7">
                  <c:v>50.000000000000007</c:v>
                </c:pt>
                <c:pt idx="8">
                  <c:v>56.666666666666671</c:v>
                </c:pt>
                <c:pt idx="9">
                  <c:v>63.333333333333336</c:v>
                </c:pt>
                <c:pt idx="10">
                  <c:v>70</c:v>
                </c:pt>
                <c:pt idx="11">
                  <c:v>76.666666666666671</c:v>
                </c:pt>
                <c:pt idx="12">
                  <c:v>83.333333333333329</c:v>
                </c:pt>
                <c:pt idx="13">
                  <c:v>90</c:v>
                </c:pt>
                <c:pt idx="14">
                  <c:v>96.666666666666671</c:v>
                </c:pt>
              </c:numCache>
            </c:numRef>
          </c:xVal>
          <c:yVal>
            <c:numRef>
              <c:f>'1. Curvilinear not adressed'!$G$42:$G$56</c:f>
              <c:numCache>
                <c:formatCode>General</c:formatCode>
                <c:ptCount val="15"/>
                <c:pt idx="0">
                  <c:v>67</c:v>
                </c:pt>
                <c:pt idx="1">
                  <c:v>83</c:v>
                </c:pt>
                <c:pt idx="2">
                  <c:v>112</c:v>
                </c:pt>
                <c:pt idx="3">
                  <c:v>150</c:v>
                </c:pt>
                <c:pt idx="4">
                  <c:v>162</c:v>
                </c:pt>
                <c:pt idx="5">
                  <c:v>189</c:v>
                </c:pt>
                <c:pt idx="6">
                  <c:v>189</c:v>
                </c:pt>
                <c:pt idx="7">
                  <c:v>235</c:v>
                </c:pt>
                <c:pt idx="8">
                  <c:v>275</c:v>
                </c:pt>
                <c:pt idx="9">
                  <c:v>296</c:v>
                </c:pt>
                <c:pt idx="10">
                  <c:v>308</c:v>
                </c:pt>
                <c:pt idx="11">
                  <c:v>317</c:v>
                </c:pt>
                <c:pt idx="12">
                  <c:v>325</c:v>
                </c:pt>
                <c:pt idx="13">
                  <c:v>367</c:v>
                </c:pt>
                <c:pt idx="14">
                  <c:v>374</c:v>
                </c:pt>
              </c:numCache>
            </c:numRef>
          </c:yVal>
          <c:smooth val="0"/>
          <c:extLst>
            <c:ext xmlns:c16="http://schemas.microsoft.com/office/drawing/2014/chart" uri="{C3380CC4-5D6E-409C-BE32-E72D297353CC}">
              <c16:uniqueId val="{00000001-1EB8-4E94-8244-BA8ABBB403B6}"/>
            </c:ext>
          </c:extLst>
        </c:ser>
        <c:dLbls>
          <c:showLegendKey val="0"/>
          <c:showVal val="0"/>
          <c:showCatName val="0"/>
          <c:showSerName val="0"/>
          <c:showPercent val="0"/>
          <c:showBubbleSize val="0"/>
        </c:dLbls>
        <c:axId val="1961181023"/>
        <c:axId val="1320480575"/>
      </c:scatterChart>
      <c:valAx>
        <c:axId val="1961181023"/>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320480575"/>
        <c:crosses val="autoZero"/>
        <c:crossBetween val="midCat"/>
      </c:valAx>
      <c:valAx>
        <c:axId val="1320480575"/>
        <c:scaling>
          <c:orientation val="minMax"/>
        </c:scaling>
        <c:delete val="0"/>
        <c:axPos val="l"/>
        <c:title>
          <c:tx>
            <c:rich>
              <a:bodyPr/>
              <a:lstStyle/>
              <a:p>
                <a:pPr>
                  <a:defRPr/>
                </a:pPr>
                <a:r>
                  <a:rPr lang="en-US"/>
                  <a:t>ScalesSold</a:t>
                </a:r>
              </a:p>
            </c:rich>
          </c:tx>
          <c:overlay val="0"/>
        </c:title>
        <c:numFmt formatCode="General" sourceLinked="1"/>
        <c:majorTickMark val="out"/>
        <c:minorTickMark val="none"/>
        <c:tickLblPos val="nextTo"/>
        <c:crossAx val="19611810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MonthsEmployed  Residual Plot</a:t>
            </a:r>
          </a:p>
        </c:rich>
      </c:tx>
      <c:overlay val="0"/>
    </c:title>
    <c:autoTitleDeleted val="0"/>
    <c:plotArea>
      <c:layout/>
      <c:scatterChart>
        <c:scatterStyle val="lineMarker"/>
        <c:varyColors val="0"/>
        <c:ser>
          <c:idx val="0"/>
          <c:order val="0"/>
          <c:spPr>
            <a:ln w="19050">
              <a:noFill/>
            </a:ln>
          </c:spPr>
          <c:xVal>
            <c:numRef>
              <c:f>'Curvilinear adressed'!$A$2:$A$16</c:f>
              <c:numCache>
                <c:formatCode>General</c:formatCode>
                <c:ptCount val="15"/>
                <c:pt idx="0">
                  <c:v>41</c:v>
                </c:pt>
                <c:pt idx="1">
                  <c:v>106</c:v>
                </c:pt>
                <c:pt idx="2">
                  <c:v>76</c:v>
                </c:pt>
                <c:pt idx="3">
                  <c:v>103</c:v>
                </c:pt>
                <c:pt idx="4">
                  <c:v>22</c:v>
                </c:pt>
                <c:pt idx="5">
                  <c:v>12</c:v>
                </c:pt>
                <c:pt idx="6">
                  <c:v>85</c:v>
                </c:pt>
                <c:pt idx="7">
                  <c:v>111</c:v>
                </c:pt>
                <c:pt idx="8">
                  <c:v>40</c:v>
                </c:pt>
                <c:pt idx="9">
                  <c:v>51</c:v>
                </c:pt>
                <c:pt idx="10">
                  <c:v>9</c:v>
                </c:pt>
                <c:pt idx="11">
                  <c:v>12</c:v>
                </c:pt>
                <c:pt idx="12">
                  <c:v>6</c:v>
                </c:pt>
                <c:pt idx="13">
                  <c:v>56</c:v>
                </c:pt>
                <c:pt idx="14">
                  <c:v>19</c:v>
                </c:pt>
              </c:numCache>
            </c:numRef>
          </c:xVal>
          <c:yVal>
            <c:numRef>
              <c:f>'Curvilinear adressed'!$C$43:$C$57</c:f>
              <c:numCache>
                <c:formatCode>General</c:formatCode>
                <c:ptCount val="15"/>
                <c:pt idx="0">
                  <c:v>27.130594182737013</c:v>
                </c:pt>
                <c:pt idx="1">
                  <c:v>-33.298916448613454</c:v>
                </c:pt>
                <c:pt idx="2">
                  <c:v>-11.352122974335543</c:v>
                </c:pt>
                <c:pt idx="3">
                  <c:v>41.969552742153496</c:v>
                </c:pt>
                <c:pt idx="4">
                  <c:v>-6.3801259476234407</c:v>
                </c:pt>
                <c:pt idx="5">
                  <c:v>33.574867332174989</c:v>
                </c:pt>
                <c:pt idx="6">
                  <c:v>31.769348617838943</c:v>
                </c:pt>
                <c:pt idx="7">
                  <c:v>-15.350705763268877</c:v>
                </c:pt>
                <c:pt idx="8">
                  <c:v>-55.3138062098148</c:v>
                </c:pt>
                <c:pt idx="9">
                  <c:v>-44.587338716032605</c:v>
                </c:pt>
                <c:pt idx="10">
                  <c:v>-16.47786683067838</c:v>
                </c:pt>
                <c:pt idx="11">
                  <c:v>-4.4251326678250109</c:v>
                </c:pt>
                <c:pt idx="12">
                  <c:v>-14.902554292051519</c:v>
                </c:pt>
                <c:pt idx="13">
                  <c:v>32.170556090750097</c:v>
                </c:pt>
                <c:pt idx="14">
                  <c:v>35.473650884589205</c:v>
                </c:pt>
              </c:numCache>
            </c:numRef>
          </c:yVal>
          <c:smooth val="0"/>
          <c:extLst>
            <c:ext xmlns:c16="http://schemas.microsoft.com/office/drawing/2014/chart" uri="{C3380CC4-5D6E-409C-BE32-E72D297353CC}">
              <c16:uniqueId val="{00000001-B73F-46CC-9EC7-C8A4AB1B419E}"/>
            </c:ext>
          </c:extLst>
        </c:ser>
        <c:dLbls>
          <c:showLegendKey val="0"/>
          <c:showVal val="0"/>
          <c:showCatName val="0"/>
          <c:showSerName val="0"/>
          <c:showPercent val="0"/>
          <c:showBubbleSize val="0"/>
        </c:dLbls>
        <c:axId val="1961121167"/>
        <c:axId val="1269841999"/>
      </c:scatterChart>
      <c:valAx>
        <c:axId val="1961121167"/>
        <c:scaling>
          <c:orientation val="minMax"/>
        </c:scaling>
        <c:delete val="0"/>
        <c:axPos val="b"/>
        <c:title>
          <c:tx>
            <c:rich>
              <a:bodyPr/>
              <a:lstStyle/>
              <a:p>
                <a:pPr>
                  <a:defRPr/>
                </a:pPr>
                <a:r>
                  <a:rPr lang="en-US"/>
                  <a:t>MonthsEmployed</a:t>
                </a:r>
              </a:p>
            </c:rich>
          </c:tx>
          <c:overlay val="0"/>
        </c:title>
        <c:numFmt formatCode="General" sourceLinked="1"/>
        <c:majorTickMark val="out"/>
        <c:minorTickMark val="none"/>
        <c:tickLblPos val="nextTo"/>
        <c:crossAx val="1269841999"/>
        <c:crosses val="autoZero"/>
        <c:crossBetween val="midCat"/>
      </c:valAx>
      <c:valAx>
        <c:axId val="126984199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96112116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x2  Residual Plot</a:t>
            </a:r>
          </a:p>
        </c:rich>
      </c:tx>
      <c:overlay val="0"/>
    </c:title>
    <c:autoTitleDeleted val="0"/>
    <c:plotArea>
      <c:layout/>
      <c:scatterChart>
        <c:scatterStyle val="lineMarker"/>
        <c:varyColors val="0"/>
        <c:ser>
          <c:idx val="0"/>
          <c:order val="0"/>
          <c:spPr>
            <a:ln w="19050">
              <a:noFill/>
            </a:ln>
          </c:spPr>
          <c:xVal>
            <c:numRef>
              <c:f>'Curvilinear adressed'!$B$2:$B$16</c:f>
              <c:numCache>
                <c:formatCode>General</c:formatCode>
                <c:ptCount val="15"/>
                <c:pt idx="0">
                  <c:v>1681</c:v>
                </c:pt>
                <c:pt idx="1">
                  <c:v>11236</c:v>
                </c:pt>
                <c:pt idx="2">
                  <c:v>5776</c:v>
                </c:pt>
                <c:pt idx="3">
                  <c:v>10609</c:v>
                </c:pt>
                <c:pt idx="4">
                  <c:v>484</c:v>
                </c:pt>
                <c:pt idx="5">
                  <c:v>144</c:v>
                </c:pt>
                <c:pt idx="6">
                  <c:v>7225</c:v>
                </c:pt>
                <c:pt idx="7">
                  <c:v>12321</c:v>
                </c:pt>
                <c:pt idx="8">
                  <c:v>1600</c:v>
                </c:pt>
                <c:pt idx="9">
                  <c:v>2601</c:v>
                </c:pt>
                <c:pt idx="10">
                  <c:v>81</c:v>
                </c:pt>
                <c:pt idx="11">
                  <c:v>144</c:v>
                </c:pt>
                <c:pt idx="12">
                  <c:v>36</c:v>
                </c:pt>
                <c:pt idx="13">
                  <c:v>3136</c:v>
                </c:pt>
                <c:pt idx="14">
                  <c:v>361</c:v>
                </c:pt>
              </c:numCache>
            </c:numRef>
          </c:xVal>
          <c:yVal>
            <c:numRef>
              <c:f>'Curvilinear adressed'!$C$43:$C$57</c:f>
              <c:numCache>
                <c:formatCode>General</c:formatCode>
                <c:ptCount val="15"/>
                <c:pt idx="0">
                  <c:v>27.130594182737013</c:v>
                </c:pt>
                <c:pt idx="1">
                  <c:v>-33.298916448613454</c:v>
                </c:pt>
                <c:pt idx="2">
                  <c:v>-11.352122974335543</c:v>
                </c:pt>
                <c:pt idx="3">
                  <c:v>41.969552742153496</c:v>
                </c:pt>
                <c:pt idx="4">
                  <c:v>-6.3801259476234407</c:v>
                </c:pt>
                <c:pt idx="5">
                  <c:v>33.574867332174989</c:v>
                </c:pt>
                <c:pt idx="6">
                  <c:v>31.769348617838943</c:v>
                </c:pt>
                <c:pt idx="7">
                  <c:v>-15.350705763268877</c:v>
                </c:pt>
                <c:pt idx="8">
                  <c:v>-55.3138062098148</c:v>
                </c:pt>
                <c:pt idx="9">
                  <c:v>-44.587338716032605</c:v>
                </c:pt>
                <c:pt idx="10">
                  <c:v>-16.47786683067838</c:v>
                </c:pt>
                <c:pt idx="11">
                  <c:v>-4.4251326678250109</c:v>
                </c:pt>
                <c:pt idx="12">
                  <c:v>-14.902554292051519</c:v>
                </c:pt>
                <c:pt idx="13">
                  <c:v>32.170556090750097</c:v>
                </c:pt>
                <c:pt idx="14">
                  <c:v>35.473650884589205</c:v>
                </c:pt>
              </c:numCache>
            </c:numRef>
          </c:yVal>
          <c:smooth val="0"/>
          <c:extLst>
            <c:ext xmlns:c16="http://schemas.microsoft.com/office/drawing/2014/chart" uri="{C3380CC4-5D6E-409C-BE32-E72D297353CC}">
              <c16:uniqueId val="{00000001-A5AC-4D29-8BA9-B19A62F26CEC}"/>
            </c:ext>
          </c:extLst>
        </c:ser>
        <c:dLbls>
          <c:showLegendKey val="0"/>
          <c:showVal val="0"/>
          <c:showCatName val="0"/>
          <c:showSerName val="0"/>
          <c:showPercent val="0"/>
          <c:showBubbleSize val="0"/>
        </c:dLbls>
        <c:axId val="1961113279"/>
        <c:axId val="1333771791"/>
      </c:scatterChart>
      <c:valAx>
        <c:axId val="1961113279"/>
        <c:scaling>
          <c:orientation val="minMax"/>
        </c:scaling>
        <c:delete val="0"/>
        <c:axPos val="b"/>
        <c:title>
          <c:tx>
            <c:rich>
              <a:bodyPr/>
              <a:lstStyle/>
              <a:p>
                <a:pPr>
                  <a:defRPr/>
                </a:pPr>
                <a:r>
                  <a:rPr lang="en-US"/>
                  <a:t>x2</a:t>
                </a:r>
              </a:p>
            </c:rich>
          </c:tx>
          <c:overlay val="0"/>
        </c:title>
        <c:numFmt formatCode="General" sourceLinked="1"/>
        <c:majorTickMark val="out"/>
        <c:minorTickMark val="none"/>
        <c:tickLblPos val="nextTo"/>
        <c:crossAx val="1333771791"/>
        <c:crosses val="autoZero"/>
        <c:crossBetween val="midCat"/>
      </c:valAx>
      <c:valAx>
        <c:axId val="133377179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96111327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MonthsEmployed Line Fit  Plot</a:t>
            </a:r>
          </a:p>
        </c:rich>
      </c:tx>
      <c:layout>
        <c:manualLayout>
          <c:xMode val="edge"/>
          <c:yMode val="edge"/>
          <c:x val="0.18765611329833773"/>
          <c:y val="0"/>
        </c:manualLayout>
      </c:layout>
      <c:overlay val="0"/>
    </c:title>
    <c:autoTitleDeleted val="0"/>
    <c:plotArea>
      <c:layout/>
      <c:scatterChart>
        <c:scatterStyle val="lineMarker"/>
        <c:varyColors val="0"/>
        <c:ser>
          <c:idx val="0"/>
          <c:order val="0"/>
          <c:tx>
            <c:v>ScalesSold</c:v>
          </c:tx>
          <c:spPr>
            <a:ln w="19050">
              <a:noFill/>
            </a:ln>
          </c:spPr>
          <c:xVal>
            <c:numRef>
              <c:f>'Curvilinear adressed'!$A$2:$A$16</c:f>
              <c:numCache>
                <c:formatCode>General</c:formatCode>
                <c:ptCount val="15"/>
                <c:pt idx="0">
                  <c:v>41</c:v>
                </c:pt>
                <c:pt idx="1">
                  <c:v>106</c:v>
                </c:pt>
                <c:pt idx="2">
                  <c:v>76</c:v>
                </c:pt>
                <c:pt idx="3">
                  <c:v>103</c:v>
                </c:pt>
                <c:pt idx="4">
                  <c:v>22</c:v>
                </c:pt>
                <c:pt idx="5">
                  <c:v>12</c:v>
                </c:pt>
                <c:pt idx="6">
                  <c:v>85</c:v>
                </c:pt>
                <c:pt idx="7">
                  <c:v>111</c:v>
                </c:pt>
                <c:pt idx="8">
                  <c:v>40</c:v>
                </c:pt>
                <c:pt idx="9">
                  <c:v>51</c:v>
                </c:pt>
                <c:pt idx="10">
                  <c:v>9</c:v>
                </c:pt>
                <c:pt idx="11">
                  <c:v>12</c:v>
                </c:pt>
                <c:pt idx="12">
                  <c:v>6</c:v>
                </c:pt>
                <c:pt idx="13">
                  <c:v>56</c:v>
                </c:pt>
                <c:pt idx="14">
                  <c:v>19</c:v>
                </c:pt>
              </c:numCache>
            </c:numRef>
          </c:xVal>
          <c:yVal>
            <c:numRef>
              <c:f>'Curvilinear adressed'!$C$2:$C$16</c:f>
              <c:numCache>
                <c:formatCode>General</c:formatCode>
                <c:ptCount val="15"/>
                <c:pt idx="0">
                  <c:v>275</c:v>
                </c:pt>
                <c:pt idx="1">
                  <c:v>296</c:v>
                </c:pt>
                <c:pt idx="2">
                  <c:v>317</c:v>
                </c:pt>
                <c:pt idx="3">
                  <c:v>374</c:v>
                </c:pt>
                <c:pt idx="4">
                  <c:v>162</c:v>
                </c:pt>
                <c:pt idx="5">
                  <c:v>150</c:v>
                </c:pt>
                <c:pt idx="6">
                  <c:v>367</c:v>
                </c:pt>
                <c:pt idx="7">
                  <c:v>308</c:v>
                </c:pt>
                <c:pt idx="8">
                  <c:v>189</c:v>
                </c:pt>
                <c:pt idx="9">
                  <c:v>235</c:v>
                </c:pt>
                <c:pt idx="10">
                  <c:v>83</c:v>
                </c:pt>
                <c:pt idx="11">
                  <c:v>112</c:v>
                </c:pt>
                <c:pt idx="12">
                  <c:v>67</c:v>
                </c:pt>
                <c:pt idx="13">
                  <c:v>325</c:v>
                </c:pt>
                <c:pt idx="14">
                  <c:v>189</c:v>
                </c:pt>
              </c:numCache>
            </c:numRef>
          </c:yVal>
          <c:smooth val="0"/>
          <c:extLst>
            <c:ext xmlns:c16="http://schemas.microsoft.com/office/drawing/2014/chart" uri="{C3380CC4-5D6E-409C-BE32-E72D297353CC}">
              <c16:uniqueId val="{00000001-ED0B-48E5-9B9E-578E82847D14}"/>
            </c:ext>
          </c:extLst>
        </c:ser>
        <c:ser>
          <c:idx val="1"/>
          <c:order val="1"/>
          <c:tx>
            <c:v>Predicted ScalesSold</c:v>
          </c:tx>
          <c:spPr>
            <a:ln w="19050">
              <a:noFill/>
            </a:ln>
          </c:spPr>
          <c:xVal>
            <c:numRef>
              <c:f>'Curvilinear adressed'!$A$2:$A$16</c:f>
              <c:numCache>
                <c:formatCode>General</c:formatCode>
                <c:ptCount val="15"/>
                <c:pt idx="0">
                  <c:v>41</c:v>
                </c:pt>
                <c:pt idx="1">
                  <c:v>106</c:v>
                </c:pt>
                <c:pt idx="2">
                  <c:v>76</c:v>
                </c:pt>
                <c:pt idx="3">
                  <c:v>103</c:v>
                </c:pt>
                <c:pt idx="4">
                  <c:v>22</c:v>
                </c:pt>
                <c:pt idx="5">
                  <c:v>12</c:v>
                </c:pt>
                <c:pt idx="6">
                  <c:v>85</c:v>
                </c:pt>
                <c:pt idx="7">
                  <c:v>111</c:v>
                </c:pt>
                <c:pt idx="8">
                  <c:v>40</c:v>
                </c:pt>
                <c:pt idx="9">
                  <c:v>51</c:v>
                </c:pt>
                <c:pt idx="10">
                  <c:v>9</c:v>
                </c:pt>
                <c:pt idx="11">
                  <c:v>12</c:v>
                </c:pt>
                <c:pt idx="12">
                  <c:v>6</c:v>
                </c:pt>
                <c:pt idx="13">
                  <c:v>56</c:v>
                </c:pt>
                <c:pt idx="14">
                  <c:v>19</c:v>
                </c:pt>
              </c:numCache>
            </c:numRef>
          </c:xVal>
          <c:yVal>
            <c:numRef>
              <c:f>'Curvilinear adressed'!$B$43:$B$57</c:f>
              <c:numCache>
                <c:formatCode>General</c:formatCode>
                <c:ptCount val="15"/>
                <c:pt idx="0">
                  <c:v>247.86940581726299</c:v>
                </c:pt>
                <c:pt idx="1">
                  <c:v>329.29891644861345</c:v>
                </c:pt>
                <c:pt idx="2">
                  <c:v>328.35212297433554</c:v>
                </c:pt>
                <c:pt idx="3">
                  <c:v>332.0304472578465</c:v>
                </c:pt>
                <c:pt idx="4">
                  <c:v>168.38012594762344</c:v>
                </c:pt>
                <c:pt idx="5">
                  <c:v>116.42513266782501</c:v>
                </c:pt>
                <c:pt idx="6">
                  <c:v>335.23065138216106</c:v>
                </c:pt>
                <c:pt idx="7">
                  <c:v>323.35070576326888</c:v>
                </c:pt>
                <c:pt idx="8">
                  <c:v>244.3138062098148</c:v>
                </c:pt>
                <c:pt idx="9">
                  <c:v>279.5873387160326</c:v>
                </c:pt>
                <c:pt idx="10">
                  <c:v>99.47786683067838</c:v>
                </c:pt>
                <c:pt idx="11">
                  <c:v>116.42513266782501</c:v>
                </c:pt>
                <c:pt idx="12">
                  <c:v>81.902554292051519</c:v>
                </c:pt>
                <c:pt idx="13">
                  <c:v>292.8294439092499</c:v>
                </c:pt>
                <c:pt idx="14">
                  <c:v>153.5263491154108</c:v>
                </c:pt>
              </c:numCache>
            </c:numRef>
          </c:yVal>
          <c:smooth val="0"/>
          <c:extLst>
            <c:ext xmlns:c16="http://schemas.microsoft.com/office/drawing/2014/chart" uri="{C3380CC4-5D6E-409C-BE32-E72D297353CC}">
              <c16:uniqueId val="{00000002-ED0B-48E5-9B9E-578E82847D14}"/>
            </c:ext>
          </c:extLst>
        </c:ser>
        <c:dLbls>
          <c:showLegendKey val="0"/>
          <c:showVal val="0"/>
          <c:showCatName val="0"/>
          <c:showSerName val="0"/>
          <c:showPercent val="0"/>
          <c:showBubbleSize val="0"/>
        </c:dLbls>
        <c:axId val="1961103999"/>
        <c:axId val="1333749711"/>
      </c:scatterChart>
      <c:valAx>
        <c:axId val="1961103999"/>
        <c:scaling>
          <c:orientation val="minMax"/>
        </c:scaling>
        <c:delete val="0"/>
        <c:axPos val="b"/>
        <c:title>
          <c:tx>
            <c:rich>
              <a:bodyPr/>
              <a:lstStyle/>
              <a:p>
                <a:pPr>
                  <a:defRPr/>
                </a:pPr>
                <a:r>
                  <a:rPr lang="en-US"/>
                  <a:t>MonthsEmployed</a:t>
                </a:r>
              </a:p>
            </c:rich>
          </c:tx>
          <c:overlay val="0"/>
        </c:title>
        <c:numFmt formatCode="General" sourceLinked="1"/>
        <c:majorTickMark val="out"/>
        <c:minorTickMark val="none"/>
        <c:tickLblPos val="nextTo"/>
        <c:crossAx val="1333749711"/>
        <c:crosses val="autoZero"/>
        <c:crossBetween val="midCat"/>
      </c:valAx>
      <c:valAx>
        <c:axId val="1333749711"/>
        <c:scaling>
          <c:orientation val="minMax"/>
        </c:scaling>
        <c:delete val="0"/>
        <c:axPos val="l"/>
        <c:title>
          <c:tx>
            <c:rich>
              <a:bodyPr/>
              <a:lstStyle/>
              <a:p>
                <a:pPr>
                  <a:defRPr/>
                </a:pPr>
                <a:r>
                  <a:rPr lang="en-US"/>
                  <a:t>ScalesSold</a:t>
                </a:r>
              </a:p>
            </c:rich>
          </c:tx>
          <c:overlay val="0"/>
        </c:title>
        <c:numFmt formatCode="General" sourceLinked="1"/>
        <c:majorTickMark val="out"/>
        <c:minorTickMark val="none"/>
        <c:tickLblPos val="nextTo"/>
        <c:crossAx val="196110399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Months</a:t>
            </a:r>
            <a:r>
              <a:rPr lang="en-US" baseline="0"/>
              <a:t> Employed Squared</a:t>
            </a:r>
            <a:r>
              <a:rPr lang="en-US"/>
              <a:t> Line Fit  Plot</a:t>
            </a:r>
          </a:p>
        </c:rich>
      </c:tx>
      <c:overlay val="0"/>
    </c:title>
    <c:autoTitleDeleted val="0"/>
    <c:plotArea>
      <c:layout/>
      <c:scatterChart>
        <c:scatterStyle val="lineMarker"/>
        <c:varyColors val="0"/>
        <c:ser>
          <c:idx val="0"/>
          <c:order val="0"/>
          <c:tx>
            <c:v>ScalesSold</c:v>
          </c:tx>
          <c:spPr>
            <a:ln w="19050">
              <a:noFill/>
            </a:ln>
          </c:spPr>
          <c:xVal>
            <c:numRef>
              <c:f>'Curvilinear adressed'!$B$2:$B$16</c:f>
              <c:numCache>
                <c:formatCode>General</c:formatCode>
                <c:ptCount val="15"/>
                <c:pt idx="0">
                  <c:v>1681</c:v>
                </c:pt>
                <c:pt idx="1">
                  <c:v>11236</c:v>
                </c:pt>
                <c:pt idx="2">
                  <c:v>5776</c:v>
                </c:pt>
                <c:pt idx="3">
                  <c:v>10609</c:v>
                </c:pt>
                <c:pt idx="4">
                  <c:v>484</c:v>
                </c:pt>
                <c:pt idx="5">
                  <c:v>144</c:v>
                </c:pt>
                <c:pt idx="6">
                  <c:v>7225</c:v>
                </c:pt>
                <c:pt idx="7">
                  <c:v>12321</c:v>
                </c:pt>
                <c:pt idx="8">
                  <c:v>1600</c:v>
                </c:pt>
                <c:pt idx="9">
                  <c:v>2601</c:v>
                </c:pt>
                <c:pt idx="10">
                  <c:v>81</c:v>
                </c:pt>
                <c:pt idx="11">
                  <c:v>144</c:v>
                </c:pt>
                <c:pt idx="12">
                  <c:v>36</c:v>
                </c:pt>
                <c:pt idx="13">
                  <c:v>3136</c:v>
                </c:pt>
                <c:pt idx="14">
                  <c:v>361</c:v>
                </c:pt>
              </c:numCache>
            </c:numRef>
          </c:xVal>
          <c:yVal>
            <c:numRef>
              <c:f>'Curvilinear adressed'!$C$2:$C$16</c:f>
              <c:numCache>
                <c:formatCode>General</c:formatCode>
                <c:ptCount val="15"/>
                <c:pt idx="0">
                  <c:v>275</c:v>
                </c:pt>
                <c:pt idx="1">
                  <c:v>296</c:v>
                </c:pt>
                <c:pt idx="2">
                  <c:v>317</c:v>
                </c:pt>
                <c:pt idx="3">
                  <c:v>374</c:v>
                </c:pt>
                <c:pt idx="4">
                  <c:v>162</c:v>
                </c:pt>
                <c:pt idx="5">
                  <c:v>150</c:v>
                </c:pt>
                <c:pt idx="6">
                  <c:v>367</c:v>
                </c:pt>
                <c:pt idx="7">
                  <c:v>308</c:v>
                </c:pt>
                <c:pt idx="8">
                  <c:v>189</c:v>
                </c:pt>
                <c:pt idx="9">
                  <c:v>235</c:v>
                </c:pt>
                <c:pt idx="10">
                  <c:v>83</c:v>
                </c:pt>
                <c:pt idx="11">
                  <c:v>112</c:v>
                </c:pt>
                <c:pt idx="12">
                  <c:v>67</c:v>
                </c:pt>
                <c:pt idx="13">
                  <c:v>325</c:v>
                </c:pt>
                <c:pt idx="14">
                  <c:v>189</c:v>
                </c:pt>
              </c:numCache>
            </c:numRef>
          </c:yVal>
          <c:smooth val="0"/>
          <c:extLst>
            <c:ext xmlns:c16="http://schemas.microsoft.com/office/drawing/2014/chart" uri="{C3380CC4-5D6E-409C-BE32-E72D297353CC}">
              <c16:uniqueId val="{00000001-B74A-418A-82E0-0AF076A9EA90}"/>
            </c:ext>
          </c:extLst>
        </c:ser>
        <c:ser>
          <c:idx val="1"/>
          <c:order val="1"/>
          <c:tx>
            <c:v>Predicted ScalesSold</c:v>
          </c:tx>
          <c:spPr>
            <a:ln w="19050">
              <a:noFill/>
            </a:ln>
          </c:spPr>
          <c:xVal>
            <c:numRef>
              <c:f>'Curvilinear adressed'!$B$2:$B$16</c:f>
              <c:numCache>
                <c:formatCode>General</c:formatCode>
                <c:ptCount val="15"/>
                <c:pt idx="0">
                  <c:v>1681</c:v>
                </c:pt>
                <c:pt idx="1">
                  <c:v>11236</c:v>
                </c:pt>
                <c:pt idx="2">
                  <c:v>5776</c:v>
                </c:pt>
                <c:pt idx="3">
                  <c:v>10609</c:v>
                </c:pt>
                <c:pt idx="4">
                  <c:v>484</c:v>
                </c:pt>
                <c:pt idx="5">
                  <c:v>144</c:v>
                </c:pt>
                <c:pt idx="6">
                  <c:v>7225</c:v>
                </c:pt>
                <c:pt idx="7">
                  <c:v>12321</c:v>
                </c:pt>
                <c:pt idx="8">
                  <c:v>1600</c:v>
                </c:pt>
                <c:pt idx="9">
                  <c:v>2601</c:v>
                </c:pt>
                <c:pt idx="10">
                  <c:v>81</c:v>
                </c:pt>
                <c:pt idx="11">
                  <c:v>144</c:v>
                </c:pt>
                <c:pt idx="12">
                  <c:v>36</c:v>
                </c:pt>
                <c:pt idx="13">
                  <c:v>3136</c:v>
                </c:pt>
                <c:pt idx="14">
                  <c:v>361</c:v>
                </c:pt>
              </c:numCache>
            </c:numRef>
          </c:xVal>
          <c:yVal>
            <c:numRef>
              <c:f>'Curvilinear adressed'!$B$43:$B$57</c:f>
              <c:numCache>
                <c:formatCode>General</c:formatCode>
                <c:ptCount val="15"/>
                <c:pt idx="0">
                  <c:v>247.86940581726299</c:v>
                </c:pt>
                <c:pt idx="1">
                  <c:v>329.29891644861345</c:v>
                </c:pt>
                <c:pt idx="2">
                  <c:v>328.35212297433554</c:v>
                </c:pt>
                <c:pt idx="3">
                  <c:v>332.0304472578465</c:v>
                </c:pt>
                <c:pt idx="4">
                  <c:v>168.38012594762344</c:v>
                </c:pt>
                <c:pt idx="5">
                  <c:v>116.42513266782501</c:v>
                </c:pt>
                <c:pt idx="6">
                  <c:v>335.23065138216106</c:v>
                </c:pt>
                <c:pt idx="7">
                  <c:v>323.35070576326888</c:v>
                </c:pt>
                <c:pt idx="8">
                  <c:v>244.3138062098148</c:v>
                </c:pt>
                <c:pt idx="9">
                  <c:v>279.5873387160326</c:v>
                </c:pt>
                <c:pt idx="10">
                  <c:v>99.47786683067838</c:v>
                </c:pt>
                <c:pt idx="11">
                  <c:v>116.42513266782501</c:v>
                </c:pt>
                <c:pt idx="12">
                  <c:v>81.902554292051519</c:v>
                </c:pt>
                <c:pt idx="13">
                  <c:v>292.8294439092499</c:v>
                </c:pt>
                <c:pt idx="14">
                  <c:v>153.5263491154108</c:v>
                </c:pt>
              </c:numCache>
            </c:numRef>
          </c:yVal>
          <c:smooth val="0"/>
          <c:extLst>
            <c:ext xmlns:c16="http://schemas.microsoft.com/office/drawing/2014/chart" uri="{C3380CC4-5D6E-409C-BE32-E72D297353CC}">
              <c16:uniqueId val="{00000002-B74A-418A-82E0-0AF076A9EA90}"/>
            </c:ext>
          </c:extLst>
        </c:ser>
        <c:dLbls>
          <c:showLegendKey val="0"/>
          <c:showVal val="0"/>
          <c:showCatName val="0"/>
          <c:showSerName val="0"/>
          <c:showPercent val="0"/>
          <c:showBubbleSize val="0"/>
        </c:dLbls>
        <c:axId val="1961104463"/>
        <c:axId val="1333745391"/>
      </c:scatterChart>
      <c:valAx>
        <c:axId val="1961104463"/>
        <c:scaling>
          <c:orientation val="minMax"/>
        </c:scaling>
        <c:delete val="0"/>
        <c:axPos val="b"/>
        <c:title>
          <c:tx>
            <c:rich>
              <a:bodyPr/>
              <a:lstStyle/>
              <a:p>
                <a:pPr>
                  <a:defRPr/>
                </a:pPr>
                <a:r>
                  <a:rPr lang="en-US"/>
                  <a:t>x2</a:t>
                </a:r>
              </a:p>
            </c:rich>
          </c:tx>
          <c:overlay val="0"/>
        </c:title>
        <c:numFmt formatCode="General" sourceLinked="1"/>
        <c:majorTickMark val="out"/>
        <c:minorTickMark val="none"/>
        <c:tickLblPos val="nextTo"/>
        <c:crossAx val="1333745391"/>
        <c:crosses val="autoZero"/>
        <c:crossBetween val="midCat"/>
      </c:valAx>
      <c:valAx>
        <c:axId val="1333745391"/>
        <c:scaling>
          <c:orientation val="minMax"/>
        </c:scaling>
        <c:delete val="0"/>
        <c:axPos val="l"/>
        <c:title>
          <c:tx>
            <c:rich>
              <a:bodyPr/>
              <a:lstStyle/>
              <a:p>
                <a:pPr>
                  <a:defRPr/>
                </a:pPr>
                <a:r>
                  <a:rPr lang="en-US"/>
                  <a:t>ScalesSold</a:t>
                </a:r>
              </a:p>
            </c:rich>
          </c:tx>
          <c:overlay val="0"/>
        </c:title>
        <c:numFmt formatCode="General" sourceLinked="1"/>
        <c:majorTickMark val="out"/>
        <c:minorTickMark val="none"/>
        <c:tickLblPos val="nextTo"/>
        <c:crossAx val="196110446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'Curvilinear adressed'!$F$43:$F$57</c:f>
              <c:numCache>
                <c:formatCode>General</c:formatCode>
                <c:ptCount val="15"/>
                <c:pt idx="0">
                  <c:v>3.3333333333333335</c:v>
                </c:pt>
                <c:pt idx="1">
                  <c:v>10</c:v>
                </c:pt>
                <c:pt idx="2">
                  <c:v>16.666666666666668</c:v>
                </c:pt>
                <c:pt idx="3">
                  <c:v>23.333333333333332</c:v>
                </c:pt>
                <c:pt idx="4">
                  <c:v>30</c:v>
                </c:pt>
                <c:pt idx="5">
                  <c:v>36.666666666666671</c:v>
                </c:pt>
                <c:pt idx="6">
                  <c:v>43.333333333333336</c:v>
                </c:pt>
                <c:pt idx="7">
                  <c:v>50.000000000000007</c:v>
                </c:pt>
                <c:pt idx="8">
                  <c:v>56.666666666666671</c:v>
                </c:pt>
                <c:pt idx="9">
                  <c:v>63.333333333333336</c:v>
                </c:pt>
                <c:pt idx="10">
                  <c:v>70</c:v>
                </c:pt>
                <c:pt idx="11">
                  <c:v>76.666666666666671</c:v>
                </c:pt>
                <c:pt idx="12">
                  <c:v>83.333333333333329</c:v>
                </c:pt>
                <c:pt idx="13">
                  <c:v>90</c:v>
                </c:pt>
                <c:pt idx="14">
                  <c:v>96.666666666666671</c:v>
                </c:pt>
              </c:numCache>
            </c:numRef>
          </c:xVal>
          <c:yVal>
            <c:numRef>
              <c:f>'Curvilinear adressed'!$G$43:$G$57</c:f>
              <c:numCache>
                <c:formatCode>General</c:formatCode>
                <c:ptCount val="15"/>
                <c:pt idx="0">
                  <c:v>67</c:v>
                </c:pt>
                <c:pt idx="1">
                  <c:v>83</c:v>
                </c:pt>
                <c:pt idx="2">
                  <c:v>112</c:v>
                </c:pt>
                <c:pt idx="3">
                  <c:v>150</c:v>
                </c:pt>
                <c:pt idx="4">
                  <c:v>162</c:v>
                </c:pt>
                <c:pt idx="5">
                  <c:v>189</c:v>
                </c:pt>
                <c:pt idx="6">
                  <c:v>189</c:v>
                </c:pt>
                <c:pt idx="7">
                  <c:v>235</c:v>
                </c:pt>
                <c:pt idx="8">
                  <c:v>275</c:v>
                </c:pt>
                <c:pt idx="9">
                  <c:v>296</c:v>
                </c:pt>
                <c:pt idx="10">
                  <c:v>308</c:v>
                </c:pt>
                <c:pt idx="11">
                  <c:v>317</c:v>
                </c:pt>
                <c:pt idx="12">
                  <c:v>325</c:v>
                </c:pt>
                <c:pt idx="13">
                  <c:v>367</c:v>
                </c:pt>
                <c:pt idx="14">
                  <c:v>374</c:v>
                </c:pt>
              </c:numCache>
            </c:numRef>
          </c:yVal>
          <c:smooth val="0"/>
          <c:extLst>
            <c:ext xmlns:c16="http://schemas.microsoft.com/office/drawing/2014/chart" uri="{C3380CC4-5D6E-409C-BE32-E72D297353CC}">
              <c16:uniqueId val="{00000001-F642-41F4-A873-356056C59FE4}"/>
            </c:ext>
          </c:extLst>
        </c:ser>
        <c:dLbls>
          <c:showLegendKey val="0"/>
          <c:showVal val="0"/>
          <c:showCatName val="0"/>
          <c:showSerName val="0"/>
          <c:showPercent val="0"/>
          <c:showBubbleSize val="0"/>
        </c:dLbls>
        <c:axId val="1961113279"/>
        <c:axId val="1333754991"/>
      </c:scatterChart>
      <c:valAx>
        <c:axId val="1961113279"/>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333754991"/>
        <c:crosses val="autoZero"/>
        <c:crossBetween val="midCat"/>
      </c:valAx>
      <c:valAx>
        <c:axId val="1333754991"/>
        <c:scaling>
          <c:orientation val="minMax"/>
        </c:scaling>
        <c:delete val="0"/>
        <c:axPos val="l"/>
        <c:title>
          <c:tx>
            <c:rich>
              <a:bodyPr/>
              <a:lstStyle/>
              <a:p>
                <a:pPr>
                  <a:defRPr/>
                </a:pPr>
                <a:r>
                  <a:rPr lang="en-US"/>
                  <a:t>ScalesSold</a:t>
                </a:r>
              </a:p>
            </c:rich>
          </c:tx>
          <c:overlay val="0"/>
        </c:title>
        <c:numFmt formatCode="General" sourceLinked="1"/>
        <c:majorTickMark val="out"/>
        <c:minorTickMark val="none"/>
        <c:tickLblPos val="nextTo"/>
        <c:crossAx val="196111327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Mean</a:t>
            </a:r>
            <a:r>
              <a:rPr lang="en-US" baseline="0"/>
              <a:t> Unit Sales (1000s) as a Function of Selling Price and Advertising Expenditure</a:t>
            </a:r>
            <a:endParaRPr lang="en-US"/>
          </a:p>
        </c:rich>
      </c:tx>
      <c:layout>
        <c:manualLayout>
          <c:xMode val="edge"/>
          <c:yMode val="edge"/>
          <c:x val="0.1153678915135608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50k Advertising Expenditure's Sales</c:v>
          </c:tx>
          <c:spPr>
            <a:ln w="25400" cap="rnd">
              <a:noFill/>
              <a:round/>
            </a:ln>
            <a:effectLst/>
          </c:spPr>
          <c:marker>
            <c:symbol val="circle"/>
            <c:size val="5"/>
            <c:spPr>
              <a:solidFill>
                <a:schemeClr val="accent1"/>
              </a:solidFill>
              <a:ln w="9525">
                <a:solidFill>
                  <a:schemeClr val="accent1"/>
                </a:solidFill>
              </a:ln>
              <a:effectLst/>
            </c:spPr>
          </c:marker>
          <c:xVal>
            <c:numRef>
              <c:f>'Interaction pivot table &amp; long'!$G$4:$I$4</c:f>
              <c:numCache>
                <c:formatCode>"$"#,##0.00</c:formatCode>
                <c:ptCount val="3"/>
                <c:pt idx="0">
                  <c:v>2</c:v>
                </c:pt>
                <c:pt idx="1">
                  <c:v>2.5</c:v>
                </c:pt>
                <c:pt idx="2">
                  <c:v>3</c:v>
                </c:pt>
              </c:numCache>
            </c:numRef>
          </c:xVal>
          <c:yVal>
            <c:numRef>
              <c:f>'Interaction pivot table &amp; long'!$G$5:$I$5</c:f>
              <c:numCache>
                <c:formatCode>General</c:formatCode>
                <c:ptCount val="3"/>
                <c:pt idx="0">
                  <c:v>461</c:v>
                </c:pt>
                <c:pt idx="1">
                  <c:v>364</c:v>
                </c:pt>
                <c:pt idx="2">
                  <c:v>332</c:v>
                </c:pt>
              </c:numCache>
            </c:numRef>
          </c:yVal>
          <c:smooth val="0"/>
          <c:extLst>
            <c:ext xmlns:c16="http://schemas.microsoft.com/office/drawing/2014/chart" uri="{C3380CC4-5D6E-409C-BE32-E72D297353CC}">
              <c16:uniqueId val="{00000000-FCB0-4D6C-A06C-3AF165B1991E}"/>
            </c:ext>
          </c:extLst>
        </c:ser>
        <c:ser>
          <c:idx val="1"/>
          <c:order val="1"/>
          <c:tx>
            <c:v>100k Advertising Expenditure Sales</c:v>
          </c:tx>
          <c:spPr>
            <a:ln w="25400" cap="rnd">
              <a:noFill/>
              <a:round/>
            </a:ln>
            <a:effectLst/>
          </c:spPr>
          <c:marker>
            <c:symbol val="circle"/>
            <c:size val="5"/>
            <c:spPr>
              <a:solidFill>
                <a:schemeClr val="accent2"/>
              </a:solidFill>
              <a:ln w="9525">
                <a:solidFill>
                  <a:schemeClr val="accent2"/>
                </a:solidFill>
              </a:ln>
              <a:effectLst/>
            </c:spPr>
          </c:marker>
          <c:xVal>
            <c:numRef>
              <c:f>'Interaction pivot table &amp; long'!$G$4:$I$4</c:f>
              <c:numCache>
                <c:formatCode>"$"#,##0.00</c:formatCode>
                <c:ptCount val="3"/>
                <c:pt idx="0">
                  <c:v>2</c:v>
                </c:pt>
                <c:pt idx="1">
                  <c:v>2.5</c:v>
                </c:pt>
                <c:pt idx="2">
                  <c:v>3</c:v>
                </c:pt>
              </c:numCache>
            </c:numRef>
          </c:xVal>
          <c:yVal>
            <c:numRef>
              <c:f>'Interaction pivot table &amp; long'!$G$6:$I$6</c:f>
              <c:numCache>
                <c:formatCode>General</c:formatCode>
                <c:ptCount val="3"/>
                <c:pt idx="0">
                  <c:v>808</c:v>
                </c:pt>
                <c:pt idx="1">
                  <c:v>646</c:v>
                </c:pt>
                <c:pt idx="2">
                  <c:v>375</c:v>
                </c:pt>
              </c:numCache>
            </c:numRef>
          </c:yVal>
          <c:smooth val="0"/>
          <c:extLst>
            <c:ext xmlns:c16="http://schemas.microsoft.com/office/drawing/2014/chart" uri="{C3380CC4-5D6E-409C-BE32-E72D297353CC}">
              <c16:uniqueId val="{00000001-FCB0-4D6C-A06C-3AF165B1991E}"/>
            </c:ext>
          </c:extLst>
        </c:ser>
        <c:dLbls>
          <c:showLegendKey val="0"/>
          <c:showVal val="0"/>
          <c:showCatName val="0"/>
          <c:showSerName val="0"/>
          <c:showPercent val="0"/>
          <c:showBubbleSize val="0"/>
        </c:dLbls>
        <c:axId val="1207811231"/>
        <c:axId val="1501551903"/>
      </c:scatterChart>
      <c:valAx>
        <c:axId val="1207811231"/>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Selling</a:t>
                </a:r>
                <a:r>
                  <a:rPr lang="en-US" baseline="0"/>
                  <a:t> Price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551903"/>
        <c:crosses val="autoZero"/>
        <c:crossBetween val="midCat"/>
        <c:majorUnit val="0.5"/>
        <c:minorUnit val="0.25"/>
      </c:valAx>
      <c:valAx>
        <c:axId val="1501551903"/>
        <c:scaling>
          <c:orientation val="minMax"/>
          <c:min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Mean</a:t>
                </a:r>
                <a:r>
                  <a:rPr lang="en-US" baseline="0"/>
                  <a:t> Unit Sales (100s)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112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Advertising Expense and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$2.00 Price</c:v>
          </c:tx>
          <c:spPr>
            <a:ln w="25400" cap="rnd">
              <a:noFill/>
              <a:round/>
            </a:ln>
            <a:effectLst/>
          </c:spPr>
          <c:marker>
            <c:symbol val="circle"/>
            <c:size val="5"/>
            <c:spPr>
              <a:solidFill>
                <a:schemeClr val="accent1"/>
              </a:solidFill>
              <a:ln w="9525">
                <a:solidFill>
                  <a:schemeClr val="accent1"/>
                </a:solidFill>
              </a:ln>
              <a:effectLst/>
            </c:spPr>
          </c:marker>
          <c:xVal>
            <c:numRef>
              <c:f>'More interaction scatter plots'!$B$2:$B$9</c:f>
              <c:numCache>
                <c:formatCode>General</c:formatCode>
                <c:ptCount val="8"/>
                <c:pt idx="0">
                  <c:v>50</c:v>
                </c:pt>
                <c:pt idx="1">
                  <c:v>50</c:v>
                </c:pt>
                <c:pt idx="2">
                  <c:v>50</c:v>
                </c:pt>
                <c:pt idx="3">
                  <c:v>50</c:v>
                </c:pt>
                <c:pt idx="4">
                  <c:v>100</c:v>
                </c:pt>
                <c:pt idx="5">
                  <c:v>100</c:v>
                </c:pt>
                <c:pt idx="6">
                  <c:v>100</c:v>
                </c:pt>
                <c:pt idx="7">
                  <c:v>100</c:v>
                </c:pt>
              </c:numCache>
            </c:numRef>
          </c:xVal>
          <c:yVal>
            <c:numRef>
              <c:f>'More interaction scatter plots'!$C$2:$C$9</c:f>
              <c:numCache>
                <c:formatCode>General</c:formatCode>
                <c:ptCount val="8"/>
                <c:pt idx="0">
                  <c:v>478</c:v>
                </c:pt>
                <c:pt idx="1">
                  <c:v>473</c:v>
                </c:pt>
                <c:pt idx="2">
                  <c:v>456</c:v>
                </c:pt>
                <c:pt idx="3">
                  <c:v>437</c:v>
                </c:pt>
                <c:pt idx="4">
                  <c:v>810</c:v>
                </c:pt>
                <c:pt idx="5">
                  <c:v>832</c:v>
                </c:pt>
                <c:pt idx="6">
                  <c:v>800</c:v>
                </c:pt>
                <c:pt idx="7">
                  <c:v>790</c:v>
                </c:pt>
              </c:numCache>
            </c:numRef>
          </c:yVal>
          <c:smooth val="0"/>
          <c:extLst>
            <c:ext xmlns:c16="http://schemas.microsoft.com/office/drawing/2014/chart" uri="{C3380CC4-5D6E-409C-BE32-E72D297353CC}">
              <c16:uniqueId val="{00000000-F004-4651-A456-760B2D99F265}"/>
            </c:ext>
          </c:extLst>
        </c:ser>
        <c:ser>
          <c:idx val="1"/>
          <c:order val="1"/>
          <c:tx>
            <c:v>$2.50 Price</c:v>
          </c:tx>
          <c:spPr>
            <a:ln w="25400" cap="rnd">
              <a:noFill/>
              <a:round/>
            </a:ln>
            <a:effectLst/>
          </c:spPr>
          <c:marker>
            <c:symbol val="circle"/>
            <c:size val="5"/>
            <c:spPr>
              <a:solidFill>
                <a:schemeClr val="accent2"/>
              </a:solidFill>
              <a:ln w="9525">
                <a:solidFill>
                  <a:schemeClr val="accent2"/>
                </a:solidFill>
              </a:ln>
              <a:effectLst/>
            </c:spPr>
          </c:marker>
          <c:xVal>
            <c:numRef>
              <c:f>'More interaction scatter plots'!$B$10:$B$17</c:f>
              <c:numCache>
                <c:formatCode>General</c:formatCode>
                <c:ptCount val="8"/>
                <c:pt idx="0">
                  <c:v>50</c:v>
                </c:pt>
                <c:pt idx="1">
                  <c:v>50</c:v>
                </c:pt>
                <c:pt idx="2">
                  <c:v>50</c:v>
                </c:pt>
                <c:pt idx="3">
                  <c:v>50</c:v>
                </c:pt>
                <c:pt idx="4">
                  <c:v>100</c:v>
                </c:pt>
                <c:pt idx="5">
                  <c:v>100</c:v>
                </c:pt>
                <c:pt idx="6">
                  <c:v>100</c:v>
                </c:pt>
                <c:pt idx="7">
                  <c:v>100</c:v>
                </c:pt>
              </c:numCache>
            </c:numRef>
          </c:xVal>
          <c:yVal>
            <c:numRef>
              <c:f>'More interaction scatter plots'!$C$10:$C$17</c:f>
              <c:numCache>
                <c:formatCode>General</c:formatCode>
                <c:ptCount val="8"/>
                <c:pt idx="0">
                  <c:v>373</c:v>
                </c:pt>
                <c:pt idx="1">
                  <c:v>358</c:v>
                </c:pt>
                <c:pt idx="2">
                  <c:v>360</c:v>
                </c:pt>
                <c:pt idx="3">
                  <c:v>365</c:v>
                </c:pt>
                <c:pt idx="4">
                  <c:v>653</c:v>
                </c:pt>
                <c:pt idx="5">
                  <c:v>641</c:v>
                </c:pt>
                <c:pt idx="6">
                  <c:v>620</c:v>
                </c:pt>
                <c:pt idx="7">
                  <c:v>670</c:v>
                </c:pt>
              </c:numCache>
            </c:numRef>
          </c:yVal>
          <c:smooth val="0"/>
          <c:extLst>
            <c:ext xmlns:c16="http://schemas.microsoft.com/office/drawing/2014/chart" uri="{C3380CC4-5D6E-409C-BE32-E72D297353CC}">
              <c16:uniqueId val="{00000001-F004-4651-A456-760B2D99F265}"/>
            </c:ext>
          </c:extLst>
        </c:ser>
        <c:ser>
          <c:idx val="2"/>
          <c:order val="2"/>
          <c:tx>
            <c:v>$3.00 Price</c:v>
          </c:tx>
          <c:spPr>
            <a:ln w="25400" cap="rnd">
              <a:noFill/>
              <a:round/>
            </a:ln>
            <a:effectLst/>
          </c:spPr>
          <c:marker>
            <c:symbol val="circle"/>
            <c:size val="5"/>
            <c:spPr>
              <a:solidFill>
                <a:schemeClr val="accent3"/>
              </a:solidFill>
              <a:ln w="9525">
                <a:solidFill>
                  <a:schemeClr val="accent3"/>
                </a:solidFill>
              </a:ln>
              <a:effectLst/>
            </c:spPr>
          </c:marker>
          <c:xVal>
            <c:numRef>
              <c:f>'More interaction scatter plots'!$B$18:$B$25</c:f>
              <c:numCache>
                <c:formatCode>General</c:formatCode>
                <c:ptCount val="8"/>
                <c:pt idx="0">
                  <c:v>50</c:v>
                </c:pt>
                <c:pt idx="1">
                  <c:v>50</c:v>
                </c:pt>
                <c:pt idx="2">
                  <c:v>50</c:v>
                </c:pt>
                <c:pt idx="3">
                  <c:v>50</c:v>
                </c:pt>
                <c:pt idx="4">
                  <c:v>100</c:v>
                </c:pt>
                <c:pt idx="5">
                  <c:v>100</c:v>
                </c:pt>
                <c:pt idx="6">
                  <c:v>100</c:v>
                </c:pt>
                <c:pt idx="7">
                  <c:v>100</c:v>
                </c:pt>
              </c:numCache>
            </c:numRef>
          </c:xVal>
          <c:yVal>
            <c:numRef>
              <c:f>'More interaction scatter plots'!$C$18:$C$25</c:f>
              <c:numCache>
                <c:formatCode>General</c:formatCode>
                <c:ptCount val="8"/>
                <c:pt idx="0">
                  <c:v>335</c:v>
                </c:pt>
                <c:pt idx="1">
                  <c:v>329</c:v>
                </c:pt>
                <c:pt idx="2">
                  <c:v>322</c:v>
                </c:pt>
                <c:pt idx="3">
                  <c:v>342</c:v>
                </c:pt>
                <c:pt idx="4">
                  <c:v>345</c:v>
                </c:pt>
                <c:pt idx="5">
                  <c:v>372</c:v>
                </c:pt>
                <c:pt idx="6">
                  <c:v>390</c:v>
                </c:pt>
                <c:pt idx="7">
                  <c:v>393</c:v>
                </c:pt>
              </c:numCache>
            </c:numRef>
          </c:yVal>
          <c:smooth val="0"/>
          <c:extLst>
            <c:ext xmlns:c16="http://schemas.microsoft.com/office/drawing/2014/chart" uri="{C3380CC4-5D6E-409C-BE32-E72D297353CC}">
              <c16:uniqueId val="{00000002-F004-4651-A456-760B2D99F265}"/>
            </c:ext>
          </c:extLst>
        </c:ser>
        <c:dLbls>
          <c:showLegendKey val="0"/>
          <c:showVal val="0"/>
          <c:showCatName val="0"/>
          <c:showSerName val="0"/>
          <c:showPercent val="0"/>
          <c:showBubbleSize val="0"/>
        </c:dLbls>
        <c:axId val="232175279"/>
        <c:axId val="214046399"/>
      </c:scatterChart>
      <c:valAx>
        <c:axId val="2321752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Advertising Expenditure (1000s)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46399"/>
        <c:crosses val="autoZero"/>
        <c:crossBetween val="midCat"/>
        <c:majorUnit val="50"/>
      </c:valAx>
      <c:valAx>
        <c:axId val="214046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(1000s)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752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Price and Advertising Expense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50k Advertising Expenditure</c:v>
          </c:tx>
          <c:spPr>
            <a:ln w="25400" cap="rnd">
              <a:noFill/>
              <a:round/>
            </a:ln>
            <a:effectLst/>
          </c:spPr>
          <c:marker>
            <c:symbol val="circle"/>
            <c:size val="5"/>
            <c:spPr>
              <a:solidFill>
                <a:schemeClr val="accent1"/>
              </a:solidFill>
              <a:ln w="9525">
                <a:solidFill>
                  <a:schemeClr val="accent1"/>
                </a:solidFill>
              </a:ln>
              <a:effectLst/>
            </c:spPr>
          </c:marker>
          <c:xVal>
            <c:numRef>
              <c:f>'More interaction scatter plots'!$A$32:$A$43</c:f>
              <c:numCache>
                <c:formatCode>_("$"* #,##0.00_);_("$"* \(#,##0.00\);_("$"* "-"??_);_(@_)</c:formatCode>
                <c:ptCount val="12"/>
                <c:pt idx="0">
                  <c:v>2</c:v>
                </c:pt>
                <c:pt idx="1">
                  <c:v>2</c:v>
                </c:pt>
                <c:pt idx="2">
                  <c:v>2</c:v>
                </c:pt>
                <c:pt idx="3">
                  <c:v>2</c:v>
                </c:pt>
                <c:pt idx="4">
                  <c:v>2.5</c:v>
                </c:pt>
                <c:pt idx="5">
                  <c:v>2.5</c:v>
                </c:pt>
                <c:pt idx="6">
                  <c:v>2.5</c:v>
                </c:pt>
                <c:pt idx="7">
                  <c:v>2.5</c:v>
                </c:pt>
                <c:pt idx="8">
                  <c:v>3</c:v>
                </c:pt>
                <c:pt idx="9">
                  <c:v>3</c:v>
                </c:pt>
                <c:pt idx="10">
                  <c:v>3</c:v>
                </c:pt>
                <c:pt idx="11">
                  <c:v>3</c:v>
                </c:pt>
              </c:numCache>
            </c:numRef>
          </c:xVal>
          <c:yVal>
            <c:numRef>
              <c:f>'More interaction scatter plots'!$C$32:$C$43</c:f>
              <c:numCache>
                <c:formatCode>General</c:formatCode>
                <c:ptCount val="12"/>
                <c:pt idx="0">
                  <c:v>478</c:v>
                </c:pt>
                <c:pt idx="1">
                  <c:v>473</c:v>
                </c:pt>
                <c:pt idx="2">
                  <c:v>456</c:v>
                </c:pt>
                <c:pt idx="3">
                  <c:v>437</c:v>
                </c:pt>
                <c:pt idx="4">
                  <c:v>373</c:v>
                </c:pt>
                <c:pt idx="5">
                  <c:v>358</c:v>
                </c:pt>
                <c:pt idx="6">
                  <c:v>360</c:v>
                </c:pt>
                <c:pt idx="7">
                  <c:v>365</c:v>
                </c:pt>
                <c:pt idx="8">
                  <c:v>335</c:v>
                </c:pt>
                <c:pt idx="9">
                  <c:v>329</c:v>
                </c:pt>
                <c:pt idx="10">
                  <c:v>322</c:v>
                </c:pt>
                <c:pt idx="11">
                  <c:v>342</c:v>
                </c:pt>
              </c:numCache>
            </c:numRef>
          </c:yVal>
          <c:smooth val="0"/>
          <c:extLst>
            <c:ext xmlns:c16="http://schemas.microsoft.com/office/drawing/2014/chart" uri="{C3380CC4-5D6E-409C-BE32-E72D297353CC}">
              <c16:uniqueId val="{00000000-5EA0-449B-A1CB-A1D034DC921C}"/>
            </c:ext>
          </c:extLst>
        </c:ser>
        <c:ser>
          <c:idx val="1"/>
          <c:order val="1"/>
          <c:tx>
            <c:v>100k Advertising Expenditure</c:v>
          </c:tx>
          <c:spPr>
            <a:ln w="25400" cap="rnd">
              <a:noFill/>
              <a:round/>
            </a:ln>
            <a:effectLst/>
          </c:spPr>
          <c:marker>
            <c:symbol val="circle"/>
            <c:size val="5"/>
            <c:spPr>
              <a:solidFill>
                <a:schemeClr val="accent2"/>
              </a:solidFill>
              <a:ln w="9525">
                <a:solidFill>
                  <a:schemeClr val="accent2"/>
                </a:solidFill>
              </a:ln>
              <a:effectLst/>
            </c:spPr>
          </c:marker>
          <c:xVal>
            <c:numRef>
              <c:f>'More interaction scatter plots'!$A$44:$A$55</c:f>
              <c:numCache>
                <c:formatCode>_("$"* #,##0.00_);_("$"* \(#,##0.00\);_("$"* "-"??_);_(@_)</c:formatCode>
                <c:ptCount val="12"/>
                <c:pt idx="0">
                  <c:v>2</c:v>
                </c:pt>
                <c:pt idx="1">
                  <c:v>2</c:v>
                </c:pt>
                <c:pt idx="2">
                  <c:v>2</c:v>
                </c:pt>
                <c:pt idx="3">
                  <c:v>2</c:v>
                </c:pt>
                <c:pt idx="4">
                  <c:v>2.5</c:v>
                </c:pt>
                <c:pt idx="5">
                  <c:v>2.5</c:v>
                </c:pt>
                <c:pt idx="6">
                  <c:v>2.5</c:v>
                </c:pt>
                <c:pt idx="7">
                  <c:v>2.5</c:v>
                </c:pt>
                <c:pt idx="8">
                  <c:v>3</c:v>
                </c:pt>
                <c:pt idx="9">
                  <c:v>3</c:v>
                </c:pt>
                <c:pt idx="10">
                  <c:v>3</c:v>
                </c:pt>
                <c:pt idx="11">
                  <c:v>3</c:v>
                </c:pt>
              </c:numCache>
            </c:numRef>
          </c:xVal>
          <c:yVal>
            <c:numRef>
              <c:f>'More interaction scatter plots'!$C$44:$C$55</c:f>
              <c:numCache>
                <c:formatCode>General</c:formatCode>
                <c:ptCount val="12"/>
                <c:pt idx="0">
                  <c:v>810</c:v>
                </c:pt>
                <c:pt idx="1">
                  <c:v>832</c:v>
                </c:pt>
                <c:pt idx="2">
                  <c:v>800</c:v>
                </c:pt>
                <c:pt idx="3">
                  <c:v>790</c:v>
                </c:pt>
                <c:pt idx="4">
                  <c:v>653</c:v>
                </c:pt>
                <c:pt idx="5">
                  <c:v>641</c:v>
                </c:pt>
                <c:pt idx="6">
                  <c:v>620</c:v>
                </c:pt>
                <c:pt idx="7">
                  <c:v>670</c:v>
                </c:pt>
                <c:pt idx="8">
                  <c:v>345</c:v>
                </c:pt>
                <c:pt idx="9">
                  <c:v>372</c:v>
                </c:pt>
                <c:pt idx="10">
                  <c:v>390</c:v>
                </c:pt>
                <c:pt idx="11">
                  <c:v>393</c:v>
                </c:pt>
              </c:numCache>
            </c:numRef>
          </c:yVal>
          <c:smooth val="0"/>
          <c:extLst>
            <c:ext xmlns:c16="http://schemas.microsoft.com/office/drawing/2014/chart" uri="{C3380CC4-5D6E-409C-BE32-E72D297353CC}">
              <c16:uniqueId val="{00000001-5EA0-449B-A1CB-A1D034DC921C}"/>
            </c:ext>
          </c:extLst>
        </c:ser>
        <c:dLbls>
          <c:showLegendKey val="0"/>
          <c:showVal val="0"/>
          <c:showCatName val="0"/>
          <c:showSerName val="0"/>
          <c:showPercent val="0"/>
          <c:showBubbleSize val="0"/>
        </c:dLbls>
        <c:axId val="214370975"/>
        <c:axId val="218071999"/>
      </c:scatterChart>
      <c:valAx>
        <c:axId val="214370975"/>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71999"/>
        <c:crosses val="autoZero"/>
        <c:crossBetween val="midCat"/>
      </c:valAx>
      <c:valAx>
        <c:axId val="21807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709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Price  Residual Plot</a:t>
            </a:r>
          </a:p>
        </c:rich>
      </c:tx>
      <c:overlay val="0"/>
    </c:title>
    <c:autoTitleDeleted val="0"/>
    <c:plotArea>
      <c:layout/>
      <c:scatterChart>
        <c:scatterStyle val="lineMarker"/>
        <c:varyColors val="0"/>
        <c:ser>
          <c:idx val="0"/>
          <c:order val="0"/>
          <c:spPr>
            <a:ln w="19050">
              <a:noFill/>
            </a:ln>
          </c:spPr>
          <c:xVal>
            <c:numRef>
              <c:f>'Regression Interaction adressed'!$A$2:$A$25</c:f>
              <c:numCache>
                <c:formatCode>_("$"* #,##0.00_);_("$"* \(#,##0.00\);_("$"* "-"??_);_(@_)</c:formatCode>
                <c:ptCount val="24"/>
                <c:pt idx="0">
                  <c:v>2</c:v>
                </c:pt>
                <c:pt idx="1">
                  <c:v>2.5</c:v>
                </c:pt>
                <c:pt idx="2">
                  <c:v>3</c:v>
                </c:pt>
                <c:pt idx="3">
                  <c:v>2</c:v>
                </c:pt>
                <c:pt idx="4">
                  <c:v>2.5</c:v>
                </c:pt>
                <c:pt idx="5">
                  <c:v>3</c:v>
                </c:pt>
                <c:pt idx="6">
                  <c:v>2</c:v>
                </c:pt>
                <c:pt idx="7">
                  <c:v>2.5</c:v>
                </c:pt>
                <c:pt idx="8">
                  <c:v>3</c:v>
                </c:pt>
                <c:pt idx="9">
                  <c:v>2</c:v>
                </c:pt>
                <c:pt idx="10">
                  <c:v>2.5</c:v>
                </c:pt>
                <c:pt idx="11">
                  <c:v>3</c:v>
                </c:pt>
                <c:pt idx="12">
                  <c:v>2</c:v>
                </c:pt>
                <c:pt idx="13">
                  <c:v>2.5</c:v>
                </c:pt>
                <c:pt idx="14">
                  <c:v>3</c:v>
                </c:pt>
                <c:pt idx="15">
                  <c:v>2</c:v>
                </c:pt>
                <c:pt idx="16">
                  <c:v>2.5</c:v>
                </c:pt>
                <c:pt idx="17">
                  <c:v>3</c:v>
                </c:pt>
                <c:pt idx="18">
                  <c:v>2</c:v>
                </c:pt>
                <c:pt idx="19">
                  <c:v>2.5</c:v>
                </c:pt>
                <c:pt idx="20">
                  <c:v>3</c:v>
                </c:pt>
                <c:pt idx="21">
                  <c:v>2</c:v>
                </c:pt>
                <c:pt idx="22">
                  <c:v>2.5</c:v>
                </c:pt>
                <c:pt idx="23">
                  <c:v>3</c:v>
                </c:pt>
              </c:numCache>
            </c:numRef>
          </c:xVal>
          <c:yVal>
            <c:numRef>
              <c:f>'Regression Interaction adressed'!$H$27:$H$50</c:f>
              <c:numCache>
                <c:formatCode>General</c:formatCode>
                <c:ptCount val="24"/>
                <c:pt idx="0">
                  <c:v>27.833333333333599</c:v>
                </c:pt>
                <c:pt idx="1">
                  <c:v>-12.666666666666401</c:v>
                </c:pt>
                <c:pt idx="2">
                  <c:v>13.833333333333371</c:v>
                </c:pt>
                <c:pt idx="3">
                  <c:v>22.833333333333599</c:v>
                </c:pt>
                <c:pt idx="4">
                  <c:v>-27.666666666666401</c:v>
                </c:pt>
                <c:pt idx="5">
                  <c:v>7.8333333333333712</c:v>
                </c:pt>
                <c:pt idx="6">
                  <c:v>5.8333333333335986</c:v>
                </c:pt>
                <c:pt idx="7">
                  <c:v>-25.666666666666401</c:v>
                </c:pt>
                <c:pt idx="8">
                  <c:v>0.83333333333337123</c:v>
                </c:pt>
                <c:pt idx="9">
                  <c:v>-13.166666666666401</c:v>
                </c:pt>
                <c:pt idx="10">
                  <c:v>-20.666666666666401</c:v>
                </c:pt>
                <c:pt idx="11">
                  <c:v>20.833333333333371</c:v>
                </c:pt>
                <c:pt idx="12">
                  <c:v>-16.166666666666515</c:v>
                </c:pt>
                <c:pt idx="13">
                  <c:v>43.333333333333258</c:v>
                </c:pt>
                <c:pt idx="14">
                  <c:v>-48.166666666666742</c:v>
                </c:pt>
                <c:pt idx="15">
                  <c:v>5.8333333333334849</c:v>
                </c:pt>
                <c:pt idx="16">
                  <c:v>31.333333333333258</c:v>
                </c:pt>
                <c:pt idx="17">
                  <c:v>-21.166666666666742</c:v>
                </c:pt>
                <c:pt idx="18">
                  <c:v>-26.166666666666515</c:v>
                </c:pt>
                <c:pt idx="19">
                  <c:v>10.333333333333258</c:v>
                </c:pt>
                <c:pt idx="20">
                  <c:v>-3.1666666666667425</c:v>
                </c:pt>
                <c:pt idx="21">
                  <c:v>-36.166666666666515</c:v>
                </c:pt>
                <c:pt idx="22">
                  <c:v>60.333333333333258</c:v>
                </c:pt>
                <c:pt idx="23">
                  <c:v>-0.16666666666674246</c:v>
                </c:pt>
              </c:numCache>
            </c:numRef>
          </c:yVal>
          <c:smooth val="0"/>
          <c:extLst>
            <c:ext xmlns:c16="http://schemas.microsoft.com/office/drawing/2014/chart" uri="{C3380CC4-5D6E-409C-BE32-E72D297353CC}">
              <c16:uniqueId val="{00000001-F4C4-4E24-8DCD-417C268D846F}"/>
            </c:ext>
          </c:extLst>
        </c:ser>
        <c:dLbls>
          <c:showLegendKey val="0"/>
          <c:showVal val="0"/>
          <c:showCatName val="0"/>
          <c:showSerName val="0"/>
          <c:showPercent val="0"/>
          <c:showBubbleSize val="0"/>
        </c:dLbls>
        <c:axId val="1637912303"/>
        <c:axId val="1269846799"/>
      </c:scatterChart>
      <c:valAx>
        <c:axId val="1637912303"/>
        <c:scaling>
          <c:orientation val="minMax"/>
        </c:scaling>
        <c:delete val="0"/>
        <c:axPos val="b"/>
        <c:title>
          <c:tx>
            <c:rich>
              <a:bodyPr/>
              <a:lstStyle/>
              <a:p>
                <a:pPr>
                  <a:defRPr/>
                </a:pPr>
                <a:r>
                  <a:rPr lang="en-US"/>
                  <a:t>Price</a:t>
                </a:r>
              </a:p>
            </c:rich>
          </c:tx>
          <c:overlay val="0"/>
        </c:title>
        <c:numFmt formatCode="_(&quot;$&quot;* #,##0.00_);_(&quot;$&quot;* \(#,##0.00\);_(&quot;$&quot;* &quot;-&quot;??_);_(@_)" sourceLinked="1"/>
        <c:majorTickMark val="out"/>
        <c:minorTickMark val="none"/>
        <c:tickLblPos val="nextTo"/>
        <c:crossAx val="1269846799"/>
        <c:crosses val="autoZero"/>
        <c:crossBetween val="midCat"/>
      </c:valAx>
      <c:valAx>
        <c:axId val="126984679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3791230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Advertising Expenditure ($1000s)  Residual Plot</a:t>
            </a:r>
          </a:p>
        </c:rich>
      </c:tx>
      <c:overlay val="0"/>
    </c:title>
    <c:autoTitleDeleted val="0"/>
    <c:plotArea>
      <c:layout/>
      <c:scatterChart>
        <c:scatterStyle val="lineMarker"/>
        <c:varyColors val="0"/>
        <c:ser>
          <c:idx val="0"/>
          <c:order val="0"/>
          <c:spPr>
            <a:ln w="19050">
              <a:noFill/>
            </a:ln>
          </c:spPr>
          <c:xVal>
            <c:numRef>
              <c:f>'Regression Interaction adressed'!$B$2:$B$25</c:f>
              <c:numCache>
                <c:formatCode>General</c:formatCode>
                <c:ptCount val="24"/>
                <c:pt idx="0">
                  <c:v>50</c:v>
                </c:pt>
                <c:pt idx="1">
                  <c:v>50</c:v>
                </c:pt>
                <c:pt idx="2">
                  <c:v>50</c:v>
                </c:pt>
                <c:pt idx="3">
                  <c:v>50</c:v>
                </c:pt>
                <c:pt idx="4">
                  <c:v>50</c:v>
                </c:pt>
                <c:pt idx="5">
                  <c:v>50</c:v>
                </c:pt>
                <c:pt idx="6">
                  <c:v>50</c:v>
                </c:pt>
                <c:pt idx="7">
                  <c:v>50</c:v>
                </c:pt>
                <c:pt idx="8">
                  <c:v>50</c:v>
                </c:pt>
                <c:pt idx="9">
                  <c:v>50</c:v>
                </c:pt>
                <c:pt idx="10">
                  <c:v>50</c:v>
                </c:pt>
                <c:pt idx="11">
                  <c:v>50</c:v>
                </c:pt>
                <c:pt idx="12">
                  <c:v>100</c:v>
                </c:pt>
                <c:pt idx="13">
                  <c:v>100</c:v>
                </c:pt>
                <c:pt idx="14">
                  <c:v>100</c:v>
                </c:pt>
                <c:pt idx="15">
                  <c:v>100</c:v>
                </c:pt>
                <c:pt idx="16">
                  <c:v>100</c:v>
                </c:pt>
                <c:pt idx="17">
                  <c:v>100</c:v>
                </c:pt>
                <c:pt idx="18">
                  <c:v>100</c:v>
                </c:pt>
                <c:pt idx="19">
                  <c:v>100</c:v>
                </c:pt>
                <c:pt idx="20">
                  <c:v>100</c:v>
                </c:pt>
                <c:pt idx="21">
                  <c:v>100</c:v>
                </c:pt>
                <c:pt idx="22">
                  <c:v>100</c:v>
                </c:pt>
                <c:pt idx="23">
                  <c:v>100</c:v>
                </c:pt>
              </c:numCache>
            </c:numRef>
          </c:xVal>
          <c:yVal>
            <c:numRef>
              <c:f>'Regression Interaction adressed'!$H$27:$H$50</c:f>
              <c:numCache>
                <c:formatCode>General</c:formatCode>
                <c:ptCount val="24"/>
                <c:pt idx="0">
                  <c:v>27.833333333333599</c:v>
                </c:pt>
                <c:pt idx="1">
                  <c:v>-12.666666666666401</c:v>
                </c:pt>
                <c:pt idx="2">
                  <c:v>13.833333333333371</c:v>
                </c:pt>
                <c:pt idx="3">
                  <c:v>22.833333333333599</c:v>
                </c:pt>
                <c:pt idx="4">
                  <c:v>-27.666666666666401</c:v>
                </c:pt>
                <c:pt idx="5">
                  <c:v>7.8333333333333712</c:v>
                </c:pt>
                <c:pt idx="6">
                  <c:v>5.8333333333335986</c:v>
                </c:pt>
                <c:pt idx="7">
                  <c:v>-25.666666666666401</c:v>
                </c:pt>
                <c:pt idx="8">
                  <c:v>0.83333333333337123</c:v>
                </c:pt>
                <c:pt idx="9">
                  <c:v>-13.166666666666401</c:v>
                </c:pt>
                <c:pt idx="10">
                  <c:v>-20.666666666666401</c:v>
                </c:pt>
                <c:pt idx="11">
                  <c:v>20.833333333333371</c:v>
                </c:pt>
                <c:pt idx="12">
                  <c:v>-16.166666666666515</c:v>
                </c:pt>
                <c:pt idx="13">
                  <c:v>43.333333333333258</c:v>
                </c:pt>
                <c:pt idx="14">
                  <c:v>-48.166666666666742</c:v>
                </c:pt>
                <c:pt idx="15">
                  <c:v>5.8333333333334849</c:v>
                </c:pt>
                <c:pt idx="16">
                  <c:v>31.333333333333258</c:v>
                </c:pt>
                <c:pt idx="17">
                  <c:v>-21.166666666666742</c:v>
                </c:pt>
                <c:pt idx="18">
                  <c:v>-26.166666666666515</c:v>
                </c:pt>
                <c:pt idx="19">
                  <c:v>10.333333333333258</c:v>
                </c:pt>
                <c:pt idx="20">
                  <c:v>-3.1666666666667425</c:v>
                </c:pt>
                <c:pt idx="21">
                  <c:v>-36.166666666666515</c:v>
                </c:pt>
                <c:pt idx="22">
                  <c:v>60.333333333333258</c:v>
                </c:pt>
                <c:pt idx="23">
                  <c:v>-0.16666666666674246</c:v>
                </c:pt>
              </c:numCache>
            </c:numRef>
          </c:yVal>
          <c:smooth val="0"/>
          <c:extLst>
            <c:ext xmlns:c16="http://schemas.microsoft.com/office/drawing/2014/chart" uri="{C3380CC4-5D6E-409C-BE32-E72D297353CC}">
              <c16:uniqueId val="{00000001-44F6-424E-9E95-3356F01F3FC9}"/>
            </c:ext>
          </c:extLst>
        </c:ser>
        <c:dLbls>
          <c:showLegendKey val="0"/>
          <c:showVal val="0"/>
          <c:showCatName val="0"/>
          <c:showSerName val="0"/>
          <c:showPercent val="0"/>
          <c:showBubbleSize val="0"/>
        </c:dLbls>
        <c:axId val="1637896991"/>
        <c:axId val="1269834319"/>
      </c:scatterChart>
      <c:valAx>
        <c:axId val="1637896991"/>
        <c:scaling>
          <c:orientation val="minMax"/>
        </c:scaling>
        <c:delete val="0"/>
        <c:axPos val="b"/>
        <c:title>
          <c:tx>
            <c:rich>
              <a:bodyPr/>
              <a:lstStyle/>
              <a:p>
                <a:pPr>
                  <a:defRPr/>
                </a:pPr>
                <a:r>
                  <a:rPr lang="en-US"/>
                  <a:t>Advertising Expenditure ($1000s)</a:t>
                </a:r>
              </a:p>
            </c:rich>
          </c:tx>
          <c:overlay val="0"/>
        </c:title>
        <c:numFmt formatCode="General" sourceLinked="1"/>
        <c:majorTickMark val="out"/>
        <c:minorTickMark val="none"/>
        <c:tickLblPos val="nextTo"/>
        <c:crossAx val="1269834319"/>
        <c:crosses val="autoZero"/>
        <c:crossBetween val="midCat"/>
      </c:valAx>
      <c:valAx>
        <c:axId val="126983431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3789699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x1(x2)"in thousands"  Residual Plot</a:t>
            </a:r>
          </a:p>
        </c:rich>
      </c:tx>
      <c:overlay val="0"/>
    </c:title>
    <c:autoTitleDeleted val="0"/>
    <c:plotArea>
      <c:layout/>
      <c:scatterChart>
        <c:scatterStyle val="lineMarker"/>
        <c:varyColors val="0"/>
        <c:ser>
          <c:idx val="0"/>
          <c:order val="0"/>
          <c:spPr>
            <a:ln w="19050">
              <a:noFill/>
            </a:ln>
          </c:spPr>
          <c:xVal>
            <c:numRef>
              <c:f>'Regression Interaction adressed'!$C$2:$C$25</c:f>
              <c:numCache>
                <c:formatCode>_("$"* #,##0.00_);_("$"* \(#,##0.00\);_("$"* "-"??_);_(@_)</c:formatCode>
                <c:ptCount val="24"/>
                <c:pt idx="0">
                  <c:v>100</c:v>
                </c:pt>
                <c:pt idx="1">
                  <c:v>125</c:v>
                </c:pt>
                <c:pt idx="2">
                  <c:v>150</c:v>
                </c:pt>
                <c:pt idx="3">
                  <c:v>100</c:v>
                </c:pt>
                <c:pt idx="4">
                  <c:v>125</c:v>
                </c:pt>
                <c:pt idx="5">
                  <c:v>150</c:v>
                </c:pt>
                <c:pt idx="6">
                  <c:v>100</c:v>
                </c:pt>
                <c:pt idx="7">
                  <c:v>125</c:v>
                </c:pt>
                <c:pt idx="8">
                  <c:v>150</c:v>
                </c:pt>
                <c:pt idx="9">
                  <c:v>100</c:v>
                </c:pt>
                <c:pt idx="10">
                  <c:v>125</c:v>
                </c:pt>
                <c:pt idx="11">
                  <c:v>150</c:v>
                </c:pt>
                <c:pt idx="12">
                  <c:v>200</c:v>
                </c:pt>
                <c:pt idx="13">
                  <c:v>250</c:v>
                </c:pt>
                <c:pt idx="14">
                  <c:v>300</c:v>
                </c:pt>
                <c:pt idx="15">
                  <c:v>200</c:v>
                </c:pt>
                <c:pt idx="16">
                  <c:v>250</c:v>
                </c:pt>
                <c:pt idx="17">
                  <c:v>300</c:v>
                </c:pt>
                <c:pt idx="18">
                  <c:v>200</c:v>
                </c:pt>
                <c:pt idx="19">
                  <c:v>250</c:v>
                </c:pt>
                <c:pt idx="20">
                  <c:v>300</c:v>
                </c:pt>
                <c:pt idx="21">
                  <c:v>200</c:v>
                </c:pt>
                <c:pt idx="22">
                  <c:v>250</c:v>
                </c:pt>
                <c:pt idx="23">
                  <c:v>300</c:v>
                </c:pt>
              </c:numCache>
            </c:numRef>
          </c:xVal>
          <c:yVal>
            <c:numRef>
              <c:f>'Regression Interaction adressed'!$H$27:$H$50</c:f>
              <c:numCache>
                <c:formatCode>General</c:formatCode>
                <c:ptCount val="24"/>
                <c:pt idx="0">
                  <c:v>27.833333333333599</c:v>
                </c:pt>
                <c:pt idx="1">
                  <c:v>-12.666666666666401</c:v>
                </c:pt>
                <c:pt idx="2">
                  <c:v>13.833333333333371</c:v>
                </c:pt>
                <c:pt idx="3">
                  <c:v>22.833333333333599</c:v>
                </c:pt>
                <c:pt idx="4">
                  <c:v>-27.666666666666401</c:v>
                </c:pt>
                <c:pt idx="5">
                  <c:v>7.8333333333333712</c:v>
                </c:pt>
                <c:pt idx="6">
                  <c:v>5.8333333333335986</c:v>
                </c:pt>
                <c:pt idx="7">
                  <c:v>-25.666666666666401</c:v>
                </c:pt>
                <c:pt idx="8">
                  <c:v>0.83333333333337123</c:v>
                </c:pt>
                <c:pt idx="9">
                  <c:v>-13.166666666666401</c:v>
                </c:pt>
                <c:pt idx="10">
                  <c:v>-20.666666666666401</c:v>
                </c:pt>
                <c:pt idx="11">
                  <c:v>20.833333333333371</c:v>
                </c:pt>
                <c:pt idx="12">
                  <c:v>-16.166666666666515</c:v>
                </c:pt>
                <c:pt idx="13">
                  <c:v>43.333333333333258</c:v>
                </c:pt>
                <c:pt idx="14">
                  <c:v>-48.166666666666742</c:v>
                </c:pt>
                <c:pt idx="15">
                  <c:v>5.8333333333334849</c:v>
                </c:pt>
                <c:pt idx="16">
                  <c:v>31.333333333333258</c:v>
                </c:pt>
                <c:pt idx="17">
                  <c:v>-21.166666666666742</c:v>
                </c:pt>
                <c:pt idx="18">
                  <c:v>-26.166666666666515</c:v>
                </c:pt>
                <c:pt idx="19">
                  <c:v>10.333333333333258</c:v>
                </c:pt>
                <c:pt idx="20">
                  <c:v>-3.1666666666667425</c:v>
                </c:pt>
                <c:pt idx="21">
                  <c:v>-36.166666666666515</c:v>
                </c:pt>
                <c:pt idx="22">
                  <c:v>60.333333333333258</c:v>
                </c:pt>
                <c:pt idx="23">
                  <c:v>-0.16666666666674246</c:v>
                </c:pt>
              </c:numCache>
            </c:numRef>
          </c:yVal>
          <c:smooth val="0"/>
          <c:extLst>
            <c:ext xmlns:c16="http://schemas.microsoft.com/office/drawing/2014/chart" uri="{C3380CC4-5D6E-409C-BE32-E72D297353CC}">
              <c16:uniqueId val="{00000001-749F-4EE3-91C0-12181C0698E1}"/>
            </c:ext>
          </c:extLst>
        </c:ser>
        <c:dLbls>
          <c:showLegendKey val="0"/>
          <c:showVal val="0"/>
          <c:showCatName val="0"/>
          <c:showSerName val="0"/>
          <c:showPercent val="0"/>
          <c:showBubbleSize val="0"/>
        </c:dLbls>
        <c:axId val="1637903023"/>
        <c:axId val="1269840079"/>
      </c:scatterChart>
      <c:valAx>
        <c:axId val="1637903023"/>
        <c:scaling>
          <c:orientation val="minMax"/>
        </c:scaling>
        <c:delete val="0"/>
        <c:axPos val="b"/>
        <c:title>
          <c:tx>
            <c:rich>
              <a:bodyPr/>
              <a:lstStyle/>
              <a:p>
                <a:pPr>
                  <a:defRPr/>
                </a:pPr>
                <a:r>
                  <a:rPr lang="en-US"/>
                  <a:t>x1(x2)"in thousands"</a:t>
                </a:r>
              </a:p>
            </c:rich>
          </c:tx>
          <c:overlay val="0"/>
        </c:title>
        <c:numFmt formatCode="_(&quot;$&quot;* #,##0.00_);_(&quot;$&quot;* \(#,##0.00\);_(&quot;$&quot;* &quot;-&quot;??_);_(@_)" sourceLinked="1"/>
        <c:majorTickMark val="out"/>
        <c:minorTickMark val="none"/>
        <c:tickLblPos val="nextTo"/>
        <c:crossAx val="1269840079"/>
        <c:crosses val="autoZero"/>
        <c:crossBetween val="midCat"/>
      </c:valAx>
      <c:valAx>
        <c:axId val="126984007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379030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Price Line Fit  Plot</a:t>
            </a:r>
          </a:p>
        </c:rich>
      </c:tx>
      <c:overlay val="0"/>
    </c:title>
    <c:autoTitleDeleted val="0"/>
    <c:plotArea>
      <c:layout/>
      <c:scatterChart>
        <c:scatterStyle val="lineMarker"/>
        <c:varyColors val="0"/>
        <c:ser>
          <c:idx val="0"/>
          <c:order val="0"/>
          <c:tx>
            <c:v>Sales (1000s)</c:v>
          </c:tx>
          <c:spPr>
            <a:ln w="19050">
              <a:noFill/>
            </a:ln>
          </c:spPr>
          <c:xVal>
            <c:numRef>
              <c:f>'Regression Interaction adressed'!$A$2:$A$25</c:f>
              <c:numCache>
                <c:formatCode>_("$"* #,##0.00_);_("$"* \(#,##0.00\);_("$"* "-"??_);_(@_)</c:formatCode>
                <c:ptCount val="24"/>
                <c:pt idx="0">
                  <c:v>2</c:v>
                </c:pt>
                <c:pt idx="1">
                  <c:v>2.5</c:v>
                </c:pt>
                <c:pt idx="2">
                  <c:v>3</c:v>
                </c:pt>
                <c:pt idx="3">
                  <c:v>2</c:v>
                </c:pt>
                <c:pt idx="4">
                  <c:v>2.5</c:v>
                </c:pt>
                <c:pt idx="5">
                  <c:v>3</c:v>
                </c:pt>
                <c:pt idx="6">
                  <c:v>2</c:v>
                </c:pt>
                <c:pt idx="7">
                  <c:v>2.5</c:v>
                </c:pt>
                <c:pt idx="8">
                  <c:v>3</c:v>
                </c:pt>
                <c:pt idx="9">
                  <c:v>2</c:v>
                </c:pt>
                <c:pt idx="10">
                  <c:v>2.5</c:v>
                </c:pt>
                <c:pt idx="11">
                  <c:v>3</c:v>
                </c:pt>
                <c:pt idx="12">
                  <c:v>2</c:v>
                </c:pt>
                <c:pt idx="13">
                  <c:v>2.5</c:v>
                </c:pt>
                <c:pt idx="14">
                  <c:v>3</c:v>
                </c:pt>
                <c:pt idx="15">
                  <c:v>2</c:v>
                </c:pt>
                <c:pt idx="16">
                  <c:v>2.5</c:v>
                </c:pt>
                <c:pt idx="17">
                  <c:v>3</c:v>
                </c:pt>
                <c:pt idx="18">
                  <c:v>2</c:v>
                </c:pt>
                <c:pt idx="19">
                  <c:v>2.5</c:v>
                </c:pt>
                <c:pt idx="20">
                  <c:v>3</c:v>
                </c:pt>
                <c:pt idx="21">
                  <c:v>2</c:v>
                </c:pt>
                <c:pt idx="22">
                  <c:v>2.5</c:v>
                </c:pt>
                <c:pt idx="23">
                  <c:v>3</c:v>
                </c:pt>
              </c:numCache>
            </c:numRef>
          </c:xVal>
          <c:yVal>
            <c:numRef>
              <c:f>'Regression Interaction adressed'!$D$2:$D$25</c:f>
              <c:numCache>
                <c:formatCode>General</c:formatCode>
                <c:ptCount val="24"/>
                <c:pt idx="0">
                  <c:v>478</c:v>
                </c:pt>
                <c:pt idx="1">
                  <c:v>373</c:v>
                </c:pt>
                <c:pt idx="2">
                  <c:v>335</c:v>
                </c:pt>
                <c:pt idx="3">
                  <c:v>473</c:v>
                </c:pt>
                <c:pt idx="4">
                  <c:v>358</c:v>
                </c:pt>
                <c:pt idx="5">
                  <c:v>329</c:v>
                </c:pt>
                <c:pt idx="6">
                  <c:v>456</c:v>
                </c:pt>
                <c:pt idx="7">
                  <c:v>360</c:v>
                </c:pt>
                <c:pt idx="8">
                  <c:v>322</c:v>
                </c:pt>
                <c:pt idx="9">
                  <c:v>437</c:v>
                </c:pt>
                <c:pt idx="10">
                  <c:v>365</c:v>
                </c:pt>
                <c:pt idx="11">
                  <c:v>342</c:v>
                </c:pt>
                <c:pt idx="12">
                  <c:v>810</c:v>
                </c:pt>
                <c:pt idx="13">
                  <c:v>653</c:v>
                </c:pt>
                <c:pt idx="14">
                  <c:v>345</c:v>
                </c:pt>
                <c:pt idx="15">
                  <c:v>832</c:v>
                </c:pt>
                <c:pt idx="16">
                  <c:v>641</c:v>
                </c:pt>
                <c:pt idx="17">
                  <c:v>372</c:v>
                </c:pt>
                <c:pt idx="18">
                  <c:v>800</c:v>
                </c:pt>
                <c:pt idx="19">
                  <c:v>620</c:v>
                </c:pt>
                <c:pt idx="20">
                  <c:v>390</c:v>
                </c:pt>
                <c:pt idx="21">
                  <c:v>790</c:v>
                </c:pt>
                <c:pt idx="22">
                  <c:v>670</c:v>
                </c:pt>
                <c:pt idx="23">
                  <c:v>393</c:v>
                </c:pt>
              </c:numCache>
            </c:numRef>
          </c:yVal>
          <c:smooth val="0"/>
          <c:extLst>
            <c:ext xmlns:c16="http://schemas.microsoft.com/office/drawing/2014/chart" uri="{C3380CC4-5D6E-409C-BE32-E72D297353CC}">
              <c16:uniqueId val="{00000001-174C-42D0-964B-28F15953D5BD}"/>
            </c:ext>
          </c:extLst>
        </c:ser>
        <c:ser>
          <c:idx val="1"/>
          <c:order val="1"/>
          <c:tx>
            <c:v>Predicted Sales (1000s)</c:v>
          </c:tx>
          <c:spPr>
            <a:ln w="19050">
              <a:noFill/>
            </a:ln>
          </c:spPr>
          <c:xVal>
            <c:numRef>
              <c:f>'Regression Interaction adressed'!$A$2:$A$25</c:f>
              <c:numCache>
                <c:formatCode>_("$"* #,##0.00_);_("$"* \(#,##0.00\);_("$"* "-"??_);_(@_)</c:formatCode>
                <c:ptCount val="24"/>
                <c:pt idx="0">
                  <c:v>2</c:v>
                </c:pt>
                <c:pt idx="1">
                  <c:v>2.5</c:v>
                </c:pt>
                <c:pt idx="2">
                  <c:v>3</c:v>
                </c:pt>
                <c:pt idx="3">
                  <c:v>2</c:v>
                </c:pt>
                <c:pt idx="4">
                  <c:v>2.5</c:v>
                </c:pt>
                <c:pt idx="5">
                  <c:v>3</c:v>
                </c:pt>
                <c:pt idx="6">
                  <c:v>2</c:v>
                </c:pt>
                <c:pt idx="7">
                  <c:v>2.5</c:v>
                </c:pt>
                <c:pt idx="8">
                  <c:v>3</c:v>
                </c:pt>
                <c:pt idx="9">
                  <c:v>2</c:v>
                </c:pt>
                <c:pt idx="10">
                  <c:v>2.5</c:v>
                </c:pt>
                <c:pt idx="11">
                  <c:v>3</c:v>
                </c:pt>
                <c:pt idx="12">
                  <c:v>2</c:v>
                </c:pt>
                <c:pt idx="13">
                  <c:v>2.5</c:v>
                </c:pt>
                <c:pt idx="14">
                  <c:v>3</c:v>
                </c:pt>
                <c:pt idx="15">
                  <c:v>2</c:v>
                </c:pt>
                <c:pt idx="16">
                  <c:v>2.5</c:v>
                </c:pt>
                <c:pt idx="17">
                  <c:v>3</c:v>
                </c:pt>
                <c:pt idx="18">
                  <c:v>2</c:v>
                </c:pt>
                <c:pt idx="19">
                  <c:v>2.5</c:v>
                </c:pt>
                <c:pt idx="20">
                  <c:v>3</c:v>
                </c:pt>
                <c:pt idx="21">
                  <c:v>2</c:v>
                </c:pt>
                <c:pt idx="22">
                  <c:v>2.5</c:v>
                </c:pt>
                <c:pt idx="23">
                  <c:v>3</c:v>
                </c:pt>
              </c:numCache>
            </c:numRef>
          </c:xVal>
          <c:yVal>
            <c:numRef>
              <c:f>'Regression Interaction adressed'!$G$27:$G$50</c:f>
              <c:numCache>
                <c:formatCode>General</c:formatCode>
                <c:ptCount val="24"/>
                <c:pt idx="0">
                  <c:v>450.1666666666664</c:v>
                </c:pt>
                <c:pt idx="1">
                  <c:v>385.6666666666664</c:v>
                </c:pt>
                <c:pt idx="2">
                  <c:v>321.16666666666663</c:v>
                </c:pt>
                <c:pt idx="3">
                  <c:v>450.1666666666664</c:v>
                </c:pt>
                <c:pt idx="4">
                  <c:v>385.6666666666664</c:v>
                </c:pt>
                <c:pt idx="5">
                  <c:v>321.16666666666663</c:v>
                </c:pt>
                <c:pt idx="6">
                  <c:v>450.1666666666664</c:v>
                </c:pt>
                <c:pt idx="7">
                  <c:v>385.6666666666664</c:v>
                </c:pt>
                <c:pt idx="8">
                  <c:v>321.16666666666663</c:v>
                </c:pt>
                <c:pt idx="9">
                  <c:v>450.1666666666664</c:v>
                </c:pt>
                <c:pt idx="10">
                  <c:v>385.6666666666664</c:v>
                </c:pt>
                <c:pt idx="11">
                  <c:v>321.16666666666663</c:v>
                </c:pt>
                <c:pt idx="12">
                  <c:v>826.16666666666652</c:v>
                </c:pt>
                <c:pt idx="13">
                  <c:v>609.66666666666674</c:v>
                </c:pt>
                <c:pt idx="14">
                  <c:v>393.16666666666674</c:v>
                </c:pt>
                <c:pt idx="15">
                  <c:v>826.16666666666652</c:v>
                </c:pt>
                <c:pt idx="16">
                  <c:v>609.66666666666674</c:v>
                </c:pt>
                <c:pt idx="17">
                  <c:v>393.16666666666674</c:v>
                </c:pt>
                <c:pt idx="18">
                  <c:v>826.16666666666652</c:v>
                </c:pt>
                <c:pt idx="19">
                  <c:v>609.66666666666674</c:v>
                </c:pt>
                <c:pt idx="20">
                  <c:v>393.16666666666674</c:v>
                </c:pt>
                <c:pt idx="21">
                  <c:v>826.16666666666652</c:v>
                </c:pt>
                <c:pt idx="22">
                  <c:v>609.66666666666674</c:v>
                </c:pt>
                <c:pt idx="23">
                  <c:v>393.16666666666674</c:v>
                </c:pt>
              </c:numCache>
            </c:numRef>
          </c:yVal>
          <c:smooth val="0"/>
          <c:extLst>
            <c:ext xmlns:c16="http://schemas.microsoft.com/office/drawing/2014/chart" uri="{C3380CC4-5D6E-409C-BE32-E72D297353CC}">
              <c16:uniqueId val="{00000002-174C-42D0-964B-28F15953D5BD}"/>
            </c:ext>
          </c:extLst>
        </c:ser>
        <c:dLbls>
          <c:showLegendKey val="0"/>
          <c:showVal val="0"/>
          <c:showCatName val="0"/>
          <c:showSerName val="0"/>
          <c:showPercent val="0"/>
          <c:showBubbleSize val="0"/>
        </c:dLbls>
        <c:axId val="1637898383"/>
        <c:axId val="1215320671"/>
      </c:scatterChart>
      <c:valAx>
        <c:axId val="1637898383"/>
        <c:scaling>
          <c:orientation val="minMax"/>
        </c:scaling>
        <c:delete val="0"/>
        <c:axPos val="b"/>
        <c:title>
          <c:tx>
            <c:rich>
              <a:bodyPr/>
              <a:lstStyle/>
              <a:p>
                <a:pPr>
                  <a:defRPr/>
                </a:pPr>
                <a:r>
                  <a:rPr lang="en-US"/>
                  <a:t>Price</a:t>
                </a:r>
              </a:p>
            </c:rich>
          </c:tx>
          <c:overlay val="0"/>
        </c:title>
        <c:numFmt formatCode="_(&quot;$&quot;* #,##0.00_);_(&quot;$&quot;* \(#,##0.00\);_(&quot;$&quot;* &quot;-&quot;??_);_(@_)" sourceLinked="1"/>
        <c:majorTickMark val="out"/>
        <c:minorTickMark val="none"/>
        <c:tickLblPos val="nextTo"/>
        <c:crossAx val="1215320671"/>
        <c:crosses val="autoZero"/>
        <c:crossBetween val="midCat"/>
      </c:valAx>
      <c:valAx>
        <c:axId val="1215320671"/>
        <c:scaling>
          <c:orientation val="minMax"/>
        </c:scaling>
        <c:delete val="0"/>
        <c:axPos val="l"/>
        <c:title>
          <c:tx>
            <c:rich>
              <a:bodyPr/>
              <a:lstStyle/>
              <a:p>
                <a:pPr>
                  <a:defRPr/>
                </a:pPr>
                <a:r>
                  <a:rPr lang="en-US"/>
                  <a:t>Sales (1000s)</a:t>
                </a:r>
              </a:p>
            </c:rich>
          </c:tx>
          <c:overlay val="0"/>
        </c:title>
        <c:numFmt formatCode="General" sourceLinked="1"/>
        <c:majorTickMark val="out"/>
        <c:minorTickMark val="none"/>
        <c:tickLblPos val="nextTo"/>
        <c:crossAx val="163789838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Advertising Expenditure ($1000s) Line Fit  Plot</a:t>
            </a:r>
          </a:p>
        </c:rich>
      </c:tx>
      <c:overlay val="0"/>
    </c:title>
    <c:autoTitleDeleted val="0"/>
    <c:plotArea>
      <c:layout/>
      <c:scatterChart>
        <c:scatterStyle val="lineMarker"/>
        <c:varyColors val="0"/>
        <c:ser>
          <c:idx val="0"/>
          <c:order val="0"/>
          <c:tx>
            <c:v>Sales (1000s)</c:v>
          </c:tx>
          <c:spPr>
            <a:ln w="19050">
              <a:noFill/>
            </a:ln>
          </c:spPr>
          <c:xVal>
            <c:numRef>
              <c:f>'Regression Interaction adressed'!$B$2:$B$25</c:f>
              <c:numCache>
                <c:formatCode>General</c:formatCode>
                <c:ptCount val="24"/>
                <c:pt idx="0">
                  <c:v>50</c:v>
                </c:pt>
                <c:pt idx="1">
                  <c:v>50</c:v>
                </c:pt>
                <c:pt idx="2">
                  <c:v>50</c:v>
                </c:pt>
                <c:pt idx="3">
                  <c:v>50</c:v>
                </c:pt>
                <c:pt idx="4">
                  <c:v>50</c:v>
                </c:pt>
                <c:pt idx="5">
                  <c:v>50</c:v>
                </c:pt>
                <c:pt idx="6">
                  <c:v>50</c:v>
                </c:pt>
                <c:pt idx="7">
                  <c:v>50</c:v>
                </c:pt>
                <c:pt idx="8">
                  <c:v>50</c:v>
                </c:pt>
                <c:pt idx="9">
                  <c:v>50</c:v>
                </c:pt>
                <c:pt idx="10">
                  <c:v>50</c:v>
                </c:pt>
                <c:pt idx="11">
                  <c:v>50</c:v>
                </c:pt>
                <c:pt idx="12">
                  <c:v>100</c:v>
                </c:pt>
                <c:pt idx="13">
                  <c:v>100</c:v>
                </c:pt>
                <c:pt idx="14">
                  <c:v>100</c:v>
                </c:pt>
                <c:pt idx="15">
                  <c:v>100</c:v>
                </c:pt>
                <c:pt idx="16">
                  <c:v>100</c:v>
                </c:pt>
                <c:pt idx="17">
                  <c:v>100</c:v>
                </c:pt>
                <c:pt idx="18">
                  <c:v>100</c:v>
                </c:pt>
                <c:pt idx="19">
                  <c:v>100</c:v>
                </c:pt>
                <c:pt idx="20">
                  <c:v>100</c:v>
                </c:pt>
                <c:pt idx="21">
                  <c:v>100</c:v>
                </c:pt>
                <c:pt idx="22">
                  <c:v>100</c:v>
                </c:pt>
                <c:pt idx="23">
                  <c:v>100</c:v>
                </c:pt>
              </c:numCache>
            </c:numRef>
          </c:xVal>
          <c:yVal>
            <c:numRef>
              <c:f>'Regression Interaction adressed'!$D$2:$D$25</c:f>
              <c:numCache>
                <c:formatCode>General</c:formatCode>
                <c:ptCount val="24"/>
                <c:pt idx="0">
                  <c:v>478</c:v>
                </c:pt>
                <c:pt idx="1">
                  <c:v>373</c:v>
                </c:pt>
                <c:pt idx="2">
                  <c:v>335</c:v>
                </c:pt>
                <c:pt idx="3">
                  <c:v>473</c:v>
                </c:pt>
                <c:pt idx="4">
                  <c:v>358</c:v>
                </c:pt>
                <c:pt idx="5">
                  <c:v>329</c:v>
                </c:pt>
                <c:pt idx="6">
                  <c:v>456</c:v>
                </c:pt>
                <c:pt idx="7">
                  <c:v>360</c:v>
                </c:pt>
                <c:pt idx="8">
                  <c:v>322</c:v>
                </c:pt>
                <c:pt idx="9">
                  <c:v>437</c:v>
                </c:pt>
                <c:pt idx="10">
                  <c:v>365</c:v>
                </c:pt>
                <c:pt idx="11">
                  <c:v>342</c:v>
                </c:pt>
                <c:pt idx="12">
                  <c:v>810</c:v>
                </c:pt>
                <c:pt idx="13">
                  <c:v>653</c:v>
                </c:pt>
                <c:pt idx="14">
                  <c:v>345</c:v>
                </c:pt>
                <c:pt idx="15">
                  <c:v>832</c:v>
                </c:pt>
                <c:pt idx="16">
                  <c:v>641</c:v>
                </c:pt>
                <c:pt idx="17">
                  <c:v>372</c:v>
                </c:pt>
                <c:pt idx="18">
                  <c:v>800</c:v>
                </c:pt>
                <c:pt idx="19">
                  <c:v>620</c:v>
                </c:pt>
                <c:pt idx="20">
                  <c:v>390</c:v>
                </c:pt>
                <c:pt idx="21">
                  <c:v>790</c:v>
                </c:pt>
                <c:pt idx="22">
                  <c:v>670</c:v>
                </c:pt>
                <c:pt idx="23">
                  <c:v>393</c:v>
                </c:pt>
              </c:numCache>
            </c:numRef>
          </c:yVal>
          <c:smooth val="0"/>
          <c:extLst>
            <c:ext xmlns:c16="http://schemas.microsoft.com/office/drawing/2014/chart" uri="{C3380CC4-5D6E-409C-BE32-E72D297353CC}">
              <c16:uniqueId val="{00000001-CAD5-4A28-9A19-85D879DD0A62}"/>
            </c:ext>
          </c:extLst>
        </c:ser>
        <c:ser>
          <c:idx val="1"/>
          <c:order val="1"/>
          <c:tx>
            <c:v>Predicted Sales (1000s)</c:v>
          </c:tx>
          <c:spPr>
            <a:ln w="19050">
              <a:noFill/>
            </a:ln>
          </c:spPr>
          <c:xVal>
            <c:numRef>
              <c:f>'Regression Interaction adressed'!$B$2:$B$25</c:f>
              <c:numCache>
                <c:formatCode>General</c:formatCode>
                <c:ptCount val="24"/>
                <c:pt idx="0">
                  <c:v>50</c:v>
                </c:pt>
                <c:pt idx="1">
                  <c:v>50</c:v>
                </c:pt>
                <c:pt idx="2">
                  <c:v>50</c:v>
                </c:pt>
                <c:pt idx="3">
                  <c:v>50</c:v>
                </c:pt>
                <c:pt idx="4">
                  <c:v>50</c:v>
                </c:pt>
                <c:pt idx="5">
                  <c:v>50</c:v>
                </c:pt>
                <c:pt idx="6">
                  <c:v>50</c:v>
                </c:pt>
                <c:pt idx="7">
                  <c:v>50</c:v>
                </c:pt>
                <c:pt idx="8">
                  <c:v>50</c:v>
                </c:pt>
                <c:pt idx="9">
                  <c:v>50</c:v>
                </c:pt>
                <c:pt idx="10">
                  <c:v>50</c:v>
                </c:pt>
                <c:pt idx="11">
                  <c:v>50</c:v>
                </c:pt>
                <c:pt idx="12">
                  <c:v>100</c:v>
                </c:pt>
                <c:pt idx="13">
                  <c:v>100</c:v>
                </c:pt>
                <c:pt idx="14">
                  <c:v>100</c:v>
                </c:pt>
                <c:pt idx="15">
                  <c:v>100</c:v>
                </c:pt>
                <c:pt idx="16">
                  <c:v>100</c:v>
                </c:pt>
                <c:pt idx="17">
                  <c:v>100</c:v>
                </c:pt>
                <c:pt idx="18">
                  <c:v>100</c:v>
                </c:pt>
                <c:pt idx="19">
                  <c:v>100</c:v>
                </c:pt>
                <c:pt idx="20">
                  <c:v>100</c:v>
                </c:pt>
                <c:pt idx="21">
                  <c:v>100</c:v>
                </c:pt>
                <c:pt idx="22">
                  <c:v>100</c:v>
                </c:pt>
                <c:pt idx="23">
                  <c:v>100</c:v>
                </c:pt>
              </c:numCache>
            </c:numRef>
          </c:xVal>
          <c:yVal>
            <c:numRef>
              <c:f>'Regression Interaction adressed'!$G$27:$G$50</c:f>
              <c:numCache>
                <c:formatCode>General</c:formatCode>
                <c:ptCount val="24"/>
                <c:pt idx="0">
                  <c:v>450.1666666666664</c:v>
                </c:pt>
                <c:pt idx="1">
                  <c:v>385.6666666666664</c:v>
                </c:pt>
                <c:pt idx="2">
                  <c:v>321.16666666666663</c:v>
                </c:pt>
                <c:pt idx="3">
                  <c:v>450.1666666666664</c:v>
                </c:pt>
                <c:pt idx="4">
                  <c:v>385.6666666666664</c:v>
                </c:pt>
                <c:pt idx="5">
                  <c:v>321.16666666666663</c:v>
                </c:pt>
                <c:pt idx="6">
                  <c:v>450.1666666666664</c:v>
                </c:pt>
                <c:pt idx="7">
                  <c:v>385.6666666666664</c:v>
                </c:pt>
                <c:pt idx="8">
                  <c:v>321.16666666666663</c:v>
                </c:pt>
                <c:pt idx="9">
                  <c:v>450.1666666666664</c:v>
                </c:pt>
                <c:pt idx="10">
                  <c:v>385.6666666666664</c:v>
                </c:pt>
                <c:pt idx="11">
                  <c:v>321.16666666666663</c:v>
                </c:pt>
                <c:pt idx="12">
                  <c:v>826.16666666666652</c:v>
                </c:pt>
                <c:pt idx="13">
                  <c:v>609.66666666666674</c:v>
                </c:pt>
                <c:pt idx="14">
                  <c:v>393.16666666666674</c:v>
                </c:pt>
                <c:pt idx="15">
                  <c:v>826.16666666666652</c:v>
                </c:pt>
                <c:pt idx="16">
                  <c:v>609.66666666666674</c:v>
                </c:pt>
                <c:pt idx="17">
                  <c:v>393.16666666666674</c:v>
                </c:pt>
                <c:pt idx="18">
                  <c:v>826.16666666666652</c:v>
                </c:pt>
                <c:pt idx="19">
                  <c:v>609.66666666666674</c:v>
                </c:pt>
                <c:pt idx="20">
                  <c:v>393.16666666666674</c:v>
                </c:pt>
                <c:pt idx="21">
                  <c:v>826.16666666666652</c:v>
                </c:pt>
                <c:pt idx="22">
                  <c:v>609.66666666666674</c:v>
                </c:pt>
                <c:pt idx="23">
                  <c:v>393.16666666666674</c:v>
                </c:pt>
              </c:numCache>
            </c:numRef>
          </c:yVal>
          <c:smooth val="0"/>
          <c:extLst>
            <c:ext xmlns:c16="http://schemas.microsoft.com/office/drawing/2014/chart" uri="{C3380CC4-5D6E-409C-BE32-E72D297353CC}">
              <c16:uniqueId val="{00000002-CAD5-4A28-9A19-85D879DD0A62}"/>
            </c:ext>
          </c:extLst>
        </c:ser>
        <c:dLbls>
          <c:showLegendKey val="0"/>
          <c:showVal val="0"/>
          <c:showCatName val="0"/>
          <c:showSerName val="0"/>
          <c:showPercent val="0"/>
          <c:showBubbleSize val="0"/>
        </c:dLbls>
        <c:axId val="1637891887"/>
        <c:axId val="1215321631"/>
      </c:scatterChart>
      <c:valAx>
        <c:axId val="1637891887"/>
        <c:scaling>
          <c:orientation val="minMax"/>
        </c:scaling>
        <c:delete val="0"/>
        <c:axPos val="b"/>
        <c:title>
          <c:tx>
            <c:rich>
              <a:bodyPr/>
              <a:lstStyle/>
              <a:p>
                <a:pPr>
                  <a:defRPr/>
                </a:pPr>
                <a:r>
                  <a:rPr lang="en-US"/>
                  <a:t>Advertising Expenditure ($1000s)</a:t>
                </a:r>
              </a:p>
            </c:rich>
          </c:tx>
          <c:overlay val="0"/>
        </c:title>
        <c:numFmt formatCode="General" sourceLinked="1"/>
        <c:majorTickMark val="out"/>
        <c:minorTickMark val="none"/>
        <c:tickLblPos val="nextTo"/>
        <c:crossAx val="1215321631"/>
        <c:crosses val="autoZero"/>
        <c:crossBetween val="midCat"/>
      </c:valAx>
      <c:valAx>
        <c:axId val="1215321631"/>
        <c:scaling>
          <c:orientation val="minMax"/>
        </c:scaling>
        <c:delete val="0"/>
        <c:axPos val="l"/>
        <c:title>
          <c:tx>
            <c:rich>
              <a:bodyPr/>
              <a:lstStyle/>
              <a:p>
                <a:pPr>
                  <a:defRPr/>
                </a:pPr>
                <a:r>
                  <a:rPr lang="en-US"/>
                  <a:t>Sales (1000s)</a:t>
                </a:r>
              </a:p>
            </c:rich>
          </c:tx>
          <c:overlay val="0"/>
        </c:title>
        <c:numFmt formatCode="General" sourceLinked="1"/>
        <c:majorTickMark val="out"/>
        <c:minorTickMark val="none"/>
        <c:tickLblPos val="nextTo"/>
        <c:crossAx val="1637891887"/>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x1(x2)"in thousands" Line Fit  Plot</a:t>
            </a:r>
          </a:p>
        </c:rich>
      </c:tx>
      <c:overlay val="0"/>
    </c:title>
    <c:autoTitleDeleted val="0"/>
    <c:plotArea>
      <c:layout/>
      <c:scatterChart>
        <c:scatterStyle val="lineMarker"/>
        <c:varyColors val="0"/>
        <c:ser>
          <c:idx val="0"/>
          <c:order val="0"/>
          <c:tx>
            <c:v>Sales (1000s)</c:v>
          </c:tx>
          <c:spPr>
            <a:ln w="19050">
              <a:noFill/>
            </a:ln>
          </c:spPr>
          <c:xVal>
            <c:numRef>
              <c:f>'Regression Interaction adressed'!$C$2:$C$25</c:f>
              <c:numCache>
                <c:formatCode>_("$"* #,##0.00_);_("$"* \(#,##0.00\);_("$"* "-"??_);_(@_)</c:formatCode>
                <c:ptCount val="24"/>
                <c:pt idx="0">
                  <c:v>100</c:v>
                </c:pt>
                <c:pt idx="1">
                  <c:v>125</c:v>
                </c:pt>
                <c:pt idx="2">
                  <c:v>150</c:v>
                </c:pt>
                <c:pt idx="3">
                  <c:v>100</c:v>
                </c:pt>
                <c:pt idx="4">
                  <c:v>125</c:v>
                </c:pt>
                <c:pt idx="5">
                  <c:v>150</c:v>
                </c:pt>
                <c:pt idx="6">
                  <c:v>100</c:v>
                </c:pt>
                <c:pt idx="7">
                  <c:v>125</c:v>
                </c:pt>
                <c:pt idx="8">
                  <c:v>150</c:v>
                </c:pt>
                <c:pt idx="9">
                  <c:v>100</c:v>
                </c:pt>
                <c:pt idx="10">
                  <c:v>125</c:v>
                </c:pt>
                <c:pt idx="11">
                  <c:v>150</c:v>
                </c:pt>
                <c:pt idx="12">
                  <c:v>200</c:v>
                </c:pt>
                <c:pt idx="13">
                  <c:v>250</c:v>
                </c:pt>
                <c:pt idx="14">
                  <c:v>300</c:v>
                </c:pt>
                <c:pt idx="15">
                  <c:v>200</c:v>
                </c:pt>
                <c:pt idx="16">
                  <c:v>250</c:v>
                </c:pt>
                <c:pt idx="17">
                  <c:v>300</c:v>
                </c:pt>
                <c:pt idx="18">
                  <c:v>200</c:v>
                </c:pt>
                <c:pt idx="19">
                  <c:v>250</c:v>
                </c:pt>
                <c:pt idx="20">
                  <c:v>300</c:v>
                </c:pt>
                <c:pt idx="21">
                  <c:v>200</c:v>
                </c:pt>
                <c:pt idx="22">
                  <c:v>250</c:v>
                </c:pt>
                <c:pt idx="23">
                  <c:v>300</c:v>
                </c:pt>
              </c:numCache>
            </c:numRef>
          </c:xVal>
          <c:yVal>
            <c:numRef>
              <c:f>'Regression Interaction adressed'!$D$2:$D$25</c:f>
              <c:numCache>
                <c:formatCode>General</c:formatCode>
                <c:ptCount val="24"/>
                <c:pt idx="0">
                  <c:v>478</c:v>
                </c:pt>
                <c:pt idx="1">
                  <c:v>373</c:v>
                </c:pt>
                <c:pt idx="2">
                  <c:v>335</c:v>
                </c:pt>
                <c:pt idx="3">
                  <c:v>473</c:v>
                </c:pt>
                <c:pt idx="4">
                  <c:v>358</c:v>
                </c:pt>
                <c:pt idx="5">
                  <c:v>329</c:v>
                </c:pt>
                <c:pt idx="6">
                  <c:v>456</c:v>
                </c:pt>
                <c:pt idx="7">
                  <c:v>360</c:v>
                </c:pt>
                <c:pt idx="8">
                  <c:v>322</c:v>
                </c:pt>
                <c:pt idx="9">
                  <c:v>437</c:v>
                </c:pt>
                <c:pt idx="10">
                  <c:v>365</c:v>
                </c:pt>
                <c:pt idx="11">
                  <c:v>342</c:v>
                </c:pt>
                <c:pt idx="12">
                  <c:v>810</c:v>
                </c:pt>
                <c:pt idx="13">
                  <c:v>653</c:v>
                </c:pt>
                <c:pt idx="14">
                  <c:v>345</c:v>
                </c:pt>
                <c:pt idx="15">
                  <c:v>832</c:v>
                </c:pt>
                <c:pt idx="16">
                  <c:v>641</c:v>
                </c:pt>
                <c:pt idx="17">
                  <c:v>372</c:v>
                </c:pt>
                <c:pt idx="18">
                  <c:v>800</c:v>
                </c:pt>
                <c:pt idx="19">
                  <c:v>620</c:v>
                </c:pt>
                <c:pt idx="20">
                  <c:v>390</c:v>
                </c:pt>
                <c:pt idx="21">
                  <c:v>790</c:v>
                </c:pt>
                <c:pt idx="22">
                  <c:v>670</c:v>
                </c:pt>
                <c:pt idx="23">
                  <c:v>393</c:v>
                </c:pt>
              </c:numCache>
            </c:numRef>
          </c:yVal>
          <c:smooth val="0"/>
          <c:extLst>
            <c:ext xmlns:c16="http://schemas.microsoft.com/office/drawing/2014/chart" uri="{C3380CC4-5D6E-409C-BE32-E72D297353CC}">
              <c16:uniqueId val="{00000001-4A09-445F-9D6E-5EE4996473F3}"/>
            </c:ext>
          </c:extLst>
        </c:ser>
        <c:ser>
          <c:idx val="1"/>
          <c:order val="1"/>
          <c:tx>
            <c:v>Predicted Sales (1000s)</c:v>
          </c:tx>
          <c:spPr>
            <a:ln w="19050">
              <a:noFill/>
            </a:ln>
          </c:spPr>
          <c:xVal>
            <c:numRef>
              <c:f>'Regression Interaction adressed'!$C$2:$C$25</c:f>
              <c:numCache>
                <c:formatCode>_("$"* #,##0.00_);_("$"* \(#,##0.00\);_("$"* "-"??_);_(@_)</c:formatCode>
                <c:ptCount val="24"/>
                <c:pt idx="0">
                  <c:v>100</c:v>
                </c:pt>
                <c:pt idx="1">
                  <c:v>125</c:v>
                </c:pt>
                <c:pt idx="2">
                  <c:v>150</c:v>
                </c:pt>
                <c:pt idx="3">
                  <c:v>100</c:v>
                </c:pt>
                <c:pt idx="4">
                  <c:v>125</c:v>
                </c:pt>
                <c:pt idx="5">
                  <c:v>150</c:v>
                </c:pt>
                <c:pt idx="6">
                  <c:v>100</c:v>
                </c:pt>
                <c:pt idx="7">
                  <c:v>125</c:v>
                </c:pt>
                <c:pt idx="8">
                  <c:v>150</c:v>
                </c:pt>
                <c:pt idx="9">
                  <c:v>100</c:v>
                </c:pt>
                <c:pt idx="10">
                  <c:v>125</c:v>
                </c:pt>
                <c:pt idx="11">
                  <c:v>150</c:v>
                </c:pt>
                <c:pt idx="12">
                  <c:v>200</c:v>
                </c:pt>
                <c:pt idx="13">
                  <c:v>250</c:v>
                </c:pt>
                <c:pt idx="14">
                  <c:v>300</c:v>
                </c:pt>
                <c:pt idx="15">
                  <c:v>200</c:v>
                </c:pt>
                <c:pt idx="16">
                  <c:v>250</c:v>
                </c:pt>
                <c:pt idx="17">
                  <c:v>300</c:v>
                </c:pt>
                <c:pt idx="18">
                  <c:v>200</c:v>
                </c:pt>
                <c:pt idx="19">
                  <c:v>250</c:v>
                </c:pt>
                <c:pt idx="20">
                  <c:v>300</c:v>
                </c:pt>
                <c:pt idx="21">
                  <c:v>200</c:v>
                </c:pt>
                <c:pt idx="22">
                  <c:v>250</c:v>
                </c:pt>
                <c:pt idx="23">
                  <c:v>300</c:v>
                </c:pt>
              </c:numCache>
            </c:numRef>
          </c:xVal>
          <c:yVal>
            <c:numRef>
              <c:f>'Regression Interaction adressed'!$G$27:$G$50</c:f>
              <c:numCache>
                <c:formatCode>General</c:formatCode>
                <c:ptCount val="24"/>
                <c:pt idx="0">
                  <c:v>450.1666666666664</c:v>
                </c:pt>
                <c:pt idx="1">
                  <c:v>385.6666666666664</c:v>
                </c:pt>
                <c:pt idx="2">
                  <c:v>321.16666666666663</c:v>
                </c:pt>
                <c:pt idx="3">
                  <c:v>450.1666666666664</c:v>
                </c:pt>
                <c:pt idx="4">
                  <c:v>385.6666666666664</c:v>
                </c:pt>
                <c:pt idx="5">
                  <c:v>321.16666666666663</c:v>
                </c:pt>
                <c:pt idx="6">
                  <c:v>450.1666666666664</c:v>
                </c:pt>
                <c:pt idx="7">
                  <c:v>385.6666666666664</c:v>
                </c:pt>
                <c:pt idx="8">
                  <c:v>321.16666666666663</c:v>
                </c:pt>
                <c:pt idx="9">
                  <c:v>450.1666666666664</c:v>
                </c:pt>
                <c:pt idx="10">
                  <c:v>385.6666666666664</c:v>
                </c:pt>
                <c:pt idx="11">
                  <c:v>321.16666666666663</c:v>
                </c:pt>
                <c:pt idx="12">
                  <c:v>826.16666666666652</c:v>
                </c:pt>
                <c:pt idx="13">
                  <c:v>609.66666666666674</c:v>
                </c:pt>
                <c:pt idx="14">
                  <c:v>393.16666666666674</c:v>
                </c:pt>
                <c:pt idx="15">
                  <c:v>826.16666666666652</c:v>
                </c:pt>
                <c:pt idx="16">
                  <c:v>609.66666666666674</c:v>
                </c:pt>
                <c:pt idx="17">
                  <c:v>393.16666666666674</c:v>
                </c:pt>
                <c:pt idx="18">
                  <c:v>826.16666666666652</c:v>
                </c:pt>
                <c:pt idx="19">
                  <c:v>609.66666666666674</c:v>
                </c:pt>
                <c:pt idx="20">
                  <c:v>393.16666666666674</c:v>
                </c:pt>
                <c:pt idx="21">
                  <c:v>826.16666666666652</c:v>
                </c:pt>
                <c:pt idx="22">
                  <c:v>609.66666666666674</c:v>
                </c:pt>
                <c:pt idx="23">
                  <c:v>393.16666666666674</c:v>
                </c:pt>
              </c:numCache>
            </c:numRef>
          </c:yVal>
          <c:smooth val="0"/>
          <c:extLst>
            <c:ext xmlns:c16="http://schemas.microsoft.com/office/drawing/2014/chart" uri="{C3380CC4-5D6E-409C-BE32-E72D297353CC}">
              <c16:uniqueId val="{00000002-4A09-445F-9D6E-5EE4996473F3}"/>
            </c:ext>
          </c:extLst>
        </c:ser>
        <c:dLbls>
          <c:showLegendKey val="0"/>
          <c:showVal val="0"/>
          <c:showCatName val="0"/>
          <c:showSerName val="0"/>
          <c:showPercent val="0"/>
          <c:showBubbleSize val="0"/>
        </c:dLbls>
        <c:axId val="1637919263"/>
        <c:axId val="1215318271"/>
      </c:scatterChart>
      <c:valAx>
        <c:axId val="1637919263"/>
        <c:scaling>
          <c:orientation val="minMax"/>
        </c:scaling>
        <c:delete val="0"/>
        <c:axPos val="b"/>
        <c:title>
          <c:tx>
            <c:rich>
              <a:bodyPr/>
              <a:lstStyle/>
              <a:p>
                <a:pPr>
                  <a:defRPr/>
                </a:pPr>
                <a:r>
                  <a:rPr lang="en-US"/>
                  <a:t>x1(x2)"in thousands"</a:t>
                </a:r>
              </a:p>
            </c:rich>
          </c:tx>
          <c:overlay val="0"/>
        </c:title>
        <c:numFmt formatCode="_(&quot;$&quot;* #,##0.00_);_(&quot;$&quot;* \(#,##0.00\);_(&quot;$&quot;* &quot;-&quot;??_);_(@_)" sourceLinked="1"/>
        <c:majorTickMark val="out"/>
        <c:minorTickMark val="none"/>
        <c:tickLblPos val="nextTo"/>
        <c:crossAx val="1215318271"/>
        <c:crosses val="autoZero"/>
        <c:crossBetween val="midCat"/>
      </c:valAx>
      <c:valAx>
        <c:axId val="1215318271"/>
        <c:scaling>
          <c:orientation val="minMax"/>
        </c:scaling>
        <c:delete val="0"/>
        <c:axPos val="l"/>
        <c:title>
          <c:tx>
            <c:rich>
              <a:bodyPr/>
              <a:lstStyle/>
              <a:p>
                <a:pPr>
                  <a:defRPr/>
                </a:pPr>
                <a:r>
                  <a:rPr lang="en-US"/>
                  <a:t>Sales (1000s)</a:t>
                </a:r>
              </a:p>
            </c:rich>
          </c:tx>
          <c:overlay val="0"/>
        </c:title>
        <c:numFmt formatCode="General" sourceLinked="1"/>
        <c:majorTickMark val="out"/>
        <c:minorTickMark val="none"/>
        <c:tickLblPos val="nextTo"/>
        <c:crossAx val="163791926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'Regression Interaction adressed'!$K$27:$K$50</c:f>
              <c:numCache>
                <c:formatCode>General</c:formatCode>
                <c:ptCount val="24"/>
                <c:pt idx="0">
                  <c:v>2.0833333333333335</c:v>
                </c:pt>
                <c:pt idx="1">
                  <c:v>6.25</c:v>
                </c:pt>
                <c:pt idx="2">
                  <c:v>10.416666666666668</c:v>
                </c:pt>
                <c:pt idx="3">
                  <c:v>14.583333333333334</c:v>
                </c:pt>
                <c:pt idx="4">
                  <c:v>18.75</c:v>
                </c:pt>
                <c:pt idx="5">
                  <c:v>22.916666666666668</c:v>
                </c:pt>
                <c:pt idx="6">
                  <c:v>27.083333333333332</c:v>
                </c:pt>
                <c:pt idx="7">
                  <c:v>31.25</c:v>
                </c:pt>
                <c:pt idx="8">
                  <c:v>35.416666666666671</c:v>
                </c:pt>
                <c:pt idx="9">
                  <c:v>39.583333333333336</c:v>
                </c:pt>
                <c:pt idx="10">
                  <c:v>43.750000000000007</c:v>
                </c:pt>
                <c:pt idx="11">
                  <c:v>47.916666666666671</c:v>
                </c:pt>
                <c:pt idx="12">
                  <c:v>52.083333333333336</c:v>
                </c:pt>
                <c:pt idx="13">
                  <c:v>56.250000000000007</c:v>
                </c:pt>
                <c:pt idx="14">
                  <c:v>60.416666666666671</c:v>
                </c:pt>
                <c:pt idx="15">
                  <c:v>64.583333333333343</c:v>
                </c:pt>
                <c:pt idx="16">
                  <c:v>68.75</c:v>
                </c:pt>
                <c:pt idx="17">
                  <c:v>72.916666666666671</c:v>
                </c:pt>
                <c:pt idx="18">
                  <c:v>77.083333333333329</c:v>
                </c:pt>
                <c:pt idx="19">
                  <c:v>81.25</c:v>
                </c:pt>
                <c:pt idx="20">
                  <c:v>85.416666666666671</c:v>
                </c:pt>
                <c:pt idx="21">
                  <c:v>89.583333333333329</c:v>
                </c:pt>
                <c:pt idx="22">
                  <c:v>93.75</c:v>
                </c:pt>
                <c:pt idx="23">
                  <c:v>97.916666666666671</c:v>
                </c:pt>
              </c:numCache>
            </c:numRef>
          </c:xVal>
          <c:yVal>
            <c:numRef>
              <c:f>'Regression Interaction adressed'!$L$27:$L$50</c:f>
              <c:numCache>
                <c:formatCode>General</c:formatCode>
                <c:ptCount val="24"/>
                <c:pt idx="0">
                  <c:v>322</c:v>
                </c:pt>
                <c:pt idx="1">
                  <c:v>329</c:v>
                </c:pt>
                <c:pt idx="2">
                  <c:v>335</c:v>
                </c:pt>
                <c:pt idx="3">
                  <c:v>342</c:v>
                </c:pt>
                <c:pt idx="4">
                  <c:v>345</c:v>
                </c:pt>
                <c:pt idx="5">
                  <c:v>358</c:v>
                </c:pt>
                <c:pt idx="6">
                  <c:v>360</c:v>
                </c:pt>
                <c:pt idx="7">
                  <c:v>365</c:v>
                </c:pt>
                <c:pt idx="8">
                  <c:v>372</c:v>
                </c:pt>
                <c:pt idx="9">
                  <c:v>373</c:v>
                </c:pt>
                <c:pt idx="10">
                  <c:v>390</c:v>
                </c:pt>
                <c:pt idx="11">
                  <c:v>393</c:v>
                </c:pt>
                <c:pt idx="12">
                  <c:v>437</c:v>
                </c:pt>
                <c:pt idx="13">
                  <c:v>456</c:v>
                </c:pt>
                <c:pt idx="14">
                  <c:v>473</c:v>
                </c:pt>
                <c:pt idx="15">
                  <c:v>478</c:v>
                </c:pt>
                <c:pt idx="16">
                  <c:v>620</c:v>
                </c:pt>
                <c:pt idx="17">
                  <c:v>641</c:v>
                </c:pt>
                <c:pt idx="18">
                  <c:v>653</c:v>
                </c:pt>
                <c:pt idx="19">
                  <c:v>670</c:v>
                </c:pt>
                <c:pt idx="20">
                  <c:v>790</c:v>
                </c:pt>
                <c:pt idx="21">
                  <c:v>800</c:v>
                </c:pt>
                <c:pt idx="22">
                  <c:v>810</c:v>
                </c:pt>
                <c:pt idx="23">
                  <c:v>832</c:v>
                </c:pt>
              </c:numCache>
            </c:numRef>
          </c:yVal>
          <c:smooth val="0"/>
          <c:extLst>
            <c:ext xmlns:c16="http://schemas.microsoft.com/office/drawing/2014/chart" uri="{C3380CC4-5D6E-409C-BE32-E72D297353CC}">
              <c16:uniqueId val="{00000001-3B65-4ED9-B83B-3087518FE461}"/>
            </c:ext>
          </c:extLst>
        </c:ser>
        <c:dLbls>
          <c:showLegendKey val="0"/>
          <c:showVal val="0"/>
          <c:showCatName val="0"/>
          <c:showSerName val="0"/>
          <c:showPercent val="0"/>
          <c:showBubbleSize val="0"/>
        </c:dLbls>
        <c:axId val="1637935967"/>
        <c:axId val="1215312511"/>
      </c:scatterChart>
      <c:valAx>
        <c:axId val="1637935967"/>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215312511"/>
        <c:crosses val="autoZero"/>
        <c:crossBetween val="midCat"/>
      </c:valAx>
      <c:valAx>
        <c:axId val="1215312511"/>
        <c:scaling>
          <c:orientation val="minMax"/>
        </c:scaling>
        <c:delete val="0"/>
        <c:axPos val="l"/>
        <c:title>
          <c:tx>
            <c:rich>
              <a:bodyPr/>
              <a:lstStyle/>
              <a:p>
                <a:pPr>
                  <a:defRPr/>
                </a:pPr>
                <a:r>
                  <a:rPr lang="en-US"/>
                  <a:t>Sales (1000s)</a:t>
                </a:r>
              </a:p>
            </c:rich>
          </c:tx>
          <c:overlay val="0"/>
        </c:title>
        <c:numFmt formatCode="General" sourceLinked="1"/>
        <c:majorTickMark val="out"/>
        <c:minorTickMark val="none"/>
        <c:tickLblPos val="nextTo"/>
        <c:crossAx val="163793596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'3. Nonconstant variance'!$B$1</c:f>
              <c:strCache>
                <c:ptCount val="1"/>
                <c:pt idx="0">
                  <c:v>Miles Per Gallon</c:v>
                </c:pt>
              </c:strCache>
            </c:strRef>
          </c:tx>
          <c:spPr>
            <a:ln w="19050" cap="rnd">
              <a:noFill/>
              <a:round/>
            </a:ln>
            <a:effectLst/>
          </c:spPr>
          <c:marker>
            <c:symbol val="circle"/>
            <c:size val="5"/>
            <c:spPr>
              <a:solidFill>
                <a:schemeClr val="accent1"/>
              </a:solidFill>
              <a:ln w="9525">
                <a:solidFill>
                  <a:schemeClr val="accent1"/>
                </a:solidFill>
              </a:ln>
              <a:effectLst/>
            </c:spPr>
          </c:marker>
          <c:xVal>
            <c:numRef>
              <c:f>'3. Nonconstant variance'!$A$2:$A$13</c:f>
              <c:numCache>
                <c:formatCode>General</c:formatCode>
                <c:ptCount val="12"/>
                <c:pt idx="0">
                  <c:v>2289</c:v>
                </c:pt>
                <c:pt idx="1">
                  <c:v>2113</c:v>
                </c:pt>
                <c:pt idx="2">
                  <c:v>2180</c:v>
                </c:pt>
                <c:pt idx="3">
                  <c:v>2448</c:v>
                </c:pt>
                <c:pt idx="4">
                  <c:v>2026</c:v>
                </c:pt>
                <c:pt idx="5">
                  <c:v>2702</c:v>
                </c:pt>
                <c:pt idx="6">
                  <c:v>2657</c:v>
                </c:pt>
                <c:pt idx="7">
                  <c:v>2106</c:v>
                </c:pt>
                <c:pt idx="8">
                  <c:v>3226</c:v>
                </c:pt>
                <c:pt idx="9">
                  <c:v>3213</c:v>
                </c:pt>
                <c:pt idx="10">
                  <c:v>3607</c:v>
                </c:pt>
                <c:pt idx="11">
                  <c:v>2888</c:v>
                </c:pt>
              </c:numCache>
            </c:numRef>
          </c:xVal>
          <c:yVal>
            <c:numRef>
              <c:f>'3. Nonconstant variance'!$B$2:$B$13</c:f>
              <c:numCache>
                <c:formatCode>General</c:formatCode>
                <c:ptCount val="12"/>
                <c:pt idx="0">
                  <c:v>28.7</c:v>
                </c:pt>
                <c:pt idx="1">
                  <c:v>29.2</c:v>
                </c:pt>
                <c:pt idx="2">
                  <c:v>34.200000000000003</c:v>
                </c:pt>
                <c:pt idx="3">
                  <c:v>27.9</c:v>
                </c:pt>
                <c:pt idx="4">
                  <c:v>33.299999999999997</c:v>
                </c:pt>
                <c:pt idx="5">
                  <c:v>26.4</c:v>
                </c:pt>
                <c:pt idx="6">
                  <c:v>23.9</c:v>
                </c:pt>
                <c:pt idx="7">
                  <c:v>30.5</c:v>
                </c:pt>
                <c:pt idx="8">
                  <c:v>18.100000000000001</c:v>
                </c:pt>
                <c:pt idx="9">
                  <c:v>19.5</c:v>
                </c:pt>
                <c:pt idx="10">
                  <c:v>14.3</c:v>
                </c:pt>
                <c:pt idx="11">
                  <c:v>20.9</c:v>
                </c:pt>
              </c:numCache>
            </c:numRef>
          </c:yVal>
          <c:smooth val="0"/>
          <c:extLst>
            <c:ext xmlns:c16="http://schemas.microsoft.com/office/drawing/2014/chart" uri="{C3380CC4-5D6E-409C-BE32-E72D297353CC}">
              <c16:uniqueId val="{00000000-EE2C-480E-A1A9-A61838D47F67}"/>
            </c:ext>
          </c:extLst>
        </c:ser>
        <c:dLbls>
          <c:showLegendKey val="0"/>
          <c:showVal val="0"/>
          <c:showCatName val="0"/>
          <c:showSerName val="0"/>
          <c:showPercent val="0"/>
          <c:showBubbleSize val="0"/>
        </c:dLbls>
        <c:axId val="143180815"/>
        <c:axId val="2049610335"/>
      </c:scatterChart>
      <c:valAx>
        <c:axId val="143180815"/>
        <c:scaling>
          <c:orientation val="minMax"/>
          <c:min val="2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weight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10335"/>
        <c:crosses val="autoZero"/>
        <c:crossBetween val="midCat"/>
      </c:valAx>
      <c:valAx>
        <c:axId val="2049610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mpg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808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Weight  Residual Plot</a:t>
            </a:r>
          </a:p>
        </c:rich>
      </c:tx>
      <c:overlay val="0"/>
    </c:title>
    <c:autoTitleDeleted val="0"/>
    <c:plotArea>
      <c:layout/>
      <c:scatterChart>
        <c:scatterStyle val="lineMarker"/>
        <c:varyColors val="0"/>
        <c:ser>
          <c:idx val="0"/>
          <c:order val="0"/>
          <c:spPr>
            <a:ln w="19050">
              <a:noFill/>
            </a:ln>
          </c:spPr>
          <c:xVal>
            <c:numRef>
              <c:f>'3. Nonconstant variance'!$A$2:$A$13</c:f>
              <c:numCache>
                <c:formatCode>General</c:formatCode>
                <c:ptCount val="12"/>
                <c:pt idx="0">
                  <c:v>2289</c:v>
                </c:pt>
                <c:pt idx="1">
                  <c:v>2113</c:v>
                </c:pt>
                <c:pt idx="2">
                  <c:v>2180</c:v>
                </c:pt>
                <c:pt idx="3">
                  <c:v>2448</c:v>
                </c:pt>
                <c:pt idx="4">
                  <c:v>2026</c:v>
                </c:pt>
                <c:pt idx="5">
                  <c:v>2702</c:v>
                </c:pt>
                <c:pt idx="6">
                  <c:v>2657</c:v>
                </c:pt>
                <c:pt idx="7">
                  <c:v>2106</c:v>
                </c:pt>
                <c:pt idx="8">
                  <c:v>3226</c:v>
                </c:pt>
                <c:pt idx="9">
                  <c:v>3213</c:v>
                </c:pt>
                <c:pt idx="10">
                  <c:v>3607</c:v>
                </c:pt>
                <c:pt idx="11">
                  <c:v>2888</c:v>
                </c:pt>
              </c:numCache>
            </c:numRef>
          </c:xVal>
          <c:yVal>
            <c:numRef>
              <c:f>'3. Nonconstant variance'!$C$40:$C$51</c:f>
              <c:numCache>
                <c:formatCode>General</c:formatCode>
                <c:ptCount val="12"/>
                <c:pt idx="0">
                  <c:v>-0.74357260477352938</c:v>
                </c:pt>
                <c:pt idx="1">
                  <c:v>-2.292839056060636</c:v>
                </c:pt>
                <c:pt idx="2">
                  <c:v>3.4872794225543444</c:v>
                </c:pt>
                <c:pt idx="3">
                  <c:v>0.30775333701425112</c:v>
                </c:pt>
                <c:pt idx="4">
                  <c:v>0.79417127767811735</c:v>
                </c:pt>
                <c:pt idx="5">
                  <c:v>1.765217420121779</c:v>
                </c:pt>
                <c:pt idx="6">
                  <c:v>-1.2587427520823091</c:v>
                </c:pt>
                <c:pt idx="7">
                  <c:v>-1.0743439717368268</c:v>
                </c:pt>
                <c:pt idx="8">
                  <c:v>-0.43355746354615121</c:v>
                </c:pt>
                <c:pt idx="9">
                  <c:v>0.81507626448377835</c:v>
                </c:pt>
                <c:pt idx="10">
                  <c:v>0.20263866111513451</c:v>
                </c:pt>
                <c:pt idx="11">
                  <c:v>-1.5690805347679841</c:v>
                </c:pt>
              </c:numCache>
            </c:numRef>
          </c:yVal>
          <c:smooth val="0"/>
          <c:extLst>
            <c:ext xmlns:c16="http://schemas.microsoft.com/office/drawing/2014/chart" uri="{C3380CC4-5D6E-409C-BE32-E72D297353CC}">
              <c16:uniqueId val="{00000001-42D7-4C41-A245-ABA184B3254A}"/>
            </c:ext>
          </c:extLst>
        </c:ser>
        <c:dLbls>
          <c:showLegendKey val="0"/>
          <c:showVal val="0"/>
          <c:showCatName val="0"/>
          <c:showSerName val="0"/>
          <c:showPercent val="0"/>
          <c:showBubbleSize val="0"/>
        </c:dLbls>
        <c:axId val="10117215"/>
        <c:axId val="2049607935"/>
      </c:scatterChart>
      <c:valAx>
        <c:axId val="10117215"/>
        <c:scaling>
          <c:orientation val="minMax"/>
        </c:scaling>
        <c:delete val="0"/>
        <c:axPos val="b"/>
        <c:title>
          <c:tx>
            <c:rich>
              <a:bodyPr/>
              <a:lstStyle/>
              <a:p>
                <a:pPr>
                  <a:defRPr/>
                </a:pPr>
                <a:r>
                  <a:rPr lang="en-US"/>
                  <a:t>Weight</a:t>
                </a:r>
              </a:p>
            </c:rich>
          </c:tx>
          <c:overlay val="0"/>
        </c:title>
        <c:numFmt formatCode="General" sourceLinked="1"/>
        <c:majorTickMark val="out"/>
        <c:minorTickMark val="none"/>
        <c:tickLblPos val="nextTo"/>
        <c:crossAx val="2049607935"/>
        <c:crosses val="autoZero"/>
        <c:crossBetween val="midCat"/>
      </c:valAx>
      <c:valAx>
        <c:axId val="204960793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11721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Weight Line Fit  Plot</a:t>
            </a:r>
          </a:p>
        </c:rich>
      </c:tx>
      <c:overlay val="0"/>
    </c:title>
    <c:autoTitleDeleted val="0"/>
    <c:plotArea>
      <c:layout/>
      <c:scatterChart>
        <c:scatterStyle val="lineMarker"/>
        <c:varyColors val="0"/>
        <c:ser>
          <c:idx val="0"/>
          <c:order val="0"/>
          <c:tx>
            <c:v>Miles Per Gallon</c:v>
          </c:tx>
          <c:spPr>
            <a:ln w="19050">
              <a:noFill/>
            </a:ln>
          </c:spPr>
          <c:xVal>
            <c:numRef>
              <c:f>'3. Nonconstant variance'!$A$2:$A$13</c:f>
              <c:numCache>
                <c:formatCode>General</c:formatCode>
                <c:ptCount val="12"/>
                <c:pt idx="0">
                  <c:v>2289</c:v>
                </c:pt>
                <c:pt idx="1">
                  <c:v>2113</c:v>
                </c:pt>
                <c:pt idx="2">
                  <c:v>2180</c:v>
                </c:pt>
                <c:pt idx="3">
                  <c:v>2448</c:v>
                </c:pt>
                <c:pt idx="4">
                  <c:v>2026</c:v>
                </c:pt>
                <c:pt idx="5">
                  <c:v>2702</c:v>
                </c:pt>
                <c:pt idx="6">
                  <c:v>2657</c:v>
                </c:pt>
                <c:pt idx="7">
                  <c:v>2106</c:v>
                </c:pt>
                <c:pt idx="8">
                  <c:v>3226</c:v>
                </c:pt>
                <c:pt idx="9">
                  <c:v>3213</c:v>
                </c:pt>
                <c:pt idx="10">
                  <c:v>3607</c:v>
                </c:pt>
                <c:pt idx="11">
                  <c:v>2888</c:v>
                </c:pt>
              </c:numCache>
            </c:numRef>
          </c:xVal>
          <c:yVal>
            <c:numRef>
              <c:f>'3. Nonconstant variance'!$B$2:$B$13</c:f>
              <c:numCache>
                <c:formatCode>General</c:formatCode>
                <c:ptCount val="12"/>
                <c:pt idx="0">
                  <c:v>28.7</c:v>
                </c:pt>
                <c:pt idx="1">
                  <c:v>29.2</c:v>
                </c:pt>
                <c:pt idx="2">
                  <c:v>34.200000000000003</c:v>
                </c:pt>
                <c:pt idx="3">
                  <c:v>27.9</c:v>
                </c:pt>
                <c:pt idx="4">
                  <c:v>33.299999999999997</c:v>
                </c:pt>
                <c:pt idx="5">
                  <c:v>26.4</c:v>
                </c:pt>
                <c:pt idx="6">
                  <c:v>23.9</c:v>
                </c:pt>
                <c:pt idx="7">
                  <c:v>30.5</c:v>
                </c:pt>
                <c:pt idx="8">
                  <c:v>18.100000000000001</c:v>
                </c:pt>
                <c:pt idx="9">
                  <c:v>19.5</c:v>
                </c:pt>
                <c:pt idx="10">
                  <c:v>14.3</c:v>
                </c:pt>
                <c:pt idx="11">
                  <c:v>20.9</c:v>
                </c:pt>
              </c:numCache>
            </c:numRef>
          </c:yVal>
          <c:smooth val="0"/>
          <c:extLst>
            <c:ext xmlns:c16="http://schemas.microsoft.com/office/drawing/2014/chart" uri="{C3380CC4-5D6E-409C-BE32-E72D297353CC}">
              <c16:uniqueId val="{00000001-0CB3-45FB-AAB7-77E0BD0B48FC}"/>
            </c:ext>
          </c:extLst>
        </c:ser>
        <c:ser>
          <c:idx val="1"/>
          <c:order val="1"/>
          <c:tx>
            <c:v>Predicted Miles Per Gallon</c:v>
          </c:tx>
          <c:spPr>
            <a:ln w="19050">
              <a:noFill/>
            </a:ln>
          </c:spPr>
          <c:xVal>
            <c:numRef>
              <c:f>'3. Nonconstant variance'!$A$2:$A$13</c:f>
              <c:numCache>
                <c:formatCode>General</c:formatCode>
                <c:ptCount val="12"/>
                <c:pt idx="0">
                  <c:v>2289</c:v>
                </c:pt>
                <c:pt idx="1">
                  <c:v>2113</c:v>
                </c:pt>
                <c:pt idx="2">
                  <c:v>2180</c:v>
                </c:pt>
                <c:pt idx="3">
                  <c:v>2448</c:v>
                </c:pt>
                <c:pt idx="4">
                  <c:v>2026</c:v>
                </c:pt>
                <c:pt idx="5">
                  <c:v>2702</c:v>
                </c:pt>
                <c:pt idx="6">
                  <c:v>2657</c:v>
                </c:pt>
                <c:pt idx="7">
                  <c:v>2106</c:v>
                </c:pt>
                <c:pt idx="8">
                  <c:v>3226</c:v>
                </c:pt>
                <c:pt idx="9">
                  <c:v>3213</c:v>
                </c:pt>
                <c:pt idx="10">
                  <c:v>3607</c:v>
                </c:pt>
                <c:pt idx="11">
                  <c:v>2888</c:v>
                </c:pt>
              </c:numCache>
            </c:numRef>
          </c:xVal>
          <c:yVal>
            <c:numRef>
              <c:f>'3. Nonconstant variance'!$B$40:$B$51</c:f>
              <c:numCache>
                <c:formatCode>General</c:formatCode>
                <c:ptCount val="12"/>
                <c:pt idx="0">
                  <c:v>29.443572604773529</c:v>
                </c:pt>
                <c:pt idx="1">
                  <c:v>31.492839056060635</c:v>
                </c:pt>
                <c:pt idx="2">
                  <c:v>30.712720577445658</c:v>
                </c:pt>
                <c:pt idx="3">
                  <c:v>27.592246662985747</c:v>
                </c:pt>
                <c:pt idx="4">
                  <c:v>32.50582872232188</c:v>
                </c:pt>
                <c:pt idx="5">
                  <c:v>24.63478257987822</c:v>
                </c:pt>
                <c:pt idx="6">
                  <c:v>25.158742752082308</c:v>
                </c:pt>
                <c:pt idx="7">
                  <c:v>31.574343971736827</c:v>
                </c:pt>
                <c:pt idx="8">
                  <c:v>18.533557463546153</c:v>
                </c:pt>
                <c:pt idx="9">
                  <c:v>18.684923735516222</c:v>
                </c:pt>
                <c:pt idx="10">
                  <c:v>14.097361338884866</c:v>
                </c:pt>
                <c:pt idx="11">
                  <c:v>22.469080534767983</c:v>
                </c:pt>
              </c:numCache>
            </c:numRef>
          </c:yVal>
          <c:smooth val="0"/>
          <c:extLst>
            <c:ext xmlns:c16="http://schemas.microsoft.com/office/drawing/2014/chart" uri="{C3380CC4-5D6E-409C-BE32-E72D297353CC}">
              <c16:uniqueId val="{00000002-0CB3-45FB-AAB7-77E0BD0B48FC}"/>
            </c:ext>
          </c:extLst>
        </c:ser>
        <c:dLbls>
          <c:showLegendKey val="0"/>
          <c:showVal val="0"/>
          <c:showCatName val="0"/>
          <c:showSerName val="0"/>
          <c:showPercent val="0"/>
          <c:showBubbleSize val="0"/>
        </c:dLbls>
        <c:axId val="10104223"/>
        <c:axId val="2049624735"/>
      </c:scatterChart>
      <c:valAx>
        <c:axId val="10104223"/>
        <c:scaling>
          <c:orientation val="minMax"/>
        </c:scaling>
        <c:delete val="0"/>
        <c:axPos val="b"/>
        <c:title>
          <c:tx>
            <c:rich>
              <a:bodyPr/>
              <a:lstStyle/>
              <a:p>
                <a:pPr>
                  <a:defRPr/>
                </a:pPr>
                <a:r>
                  <a:rPr lang="en-US"/>
                  <a:t>Weight</a:t>
                </a:r>
              </a:p>
            </c:rich>
          </c:tx>
          <c:overlay val="0"/>
        </c:title>
        <c:numFmt formatCode="General" sourceLinked="1"/>
        <c:majorTickMark val="out"/>
        <c:minorTickMark val="none"/>
        <c:tickLblPos val="nextTo"/>
        <c:crossAx val="2049624735"/>
        <c:crosses val="autoZero"/>
        <c:crossBetween val="midCat"/>
      </c:valAx>
      <c:valAx>
        <c:axId val="2049624735"/>
        <c:scaling>
          <c:orientation val="minMax"/>
        </c:scaling>
        <c:delete val="0"/>
        <c:axPos val="l"/>
        <c:title>
          <c:tx>
            <c:rich>
              <a:bodyPr/>
              <a:lstStyle/>
              <a:p>
                <a:pPr>
                  <a:defRPr/>
                </a:pPr>
                <a:r>
                  <a:rPr lang="en-US"/>
                  <a:t>Miles Per Gallon</a:t>
                </a:r>
              </a:p>
            </c:rich>
          </c:tx>
          <c:overlay val="0"/>
        </c:title>
        <c:numFmt formatCode="General" sourceLinked="1"/>
        <c:majorTickMark val="out"/>
        <c:minorTickMark val="none"/>
        <c:tickLblPos val="nextTo"/>
        <c:crossAx val="1010422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'3. Nonconstant variance'!$F$40:$F$51</c:f>
              <c:numCache>
                <c:formatCode>General</c:formatCode>
                <c:ptCount val="12"/>
                <c:pt idx="0">
                  <c:v>4.166666666666667</c:v>
                </c:pt>
                <c:pt idx="1">
                  <c:v>12.5</c:v>
                </c:pt>
                <c:pt idx="2">
                  <c:v>20.833333333333336</c:v>
                </c:pt>
                <c:pt idx="3">
                  <c:v>29.166666666666668</c:v>
                </c:pt>
                <c:pt idx="4">
                  <c:v>37.5</c:v>
                </c:pt>
                <c:pt idx="5">
                  <c:v>45.833333333333336</c:v>
                </c:pt>
                <c:pt idx="6">
                  <c:v>54.166666666666664</c:v>
                </c:pt>
                <c:pt idx="7">
                  <c:v>62.5</c:v>
                </c:pt>
                <c:pt idx="8">
                  <c:v>70.833333333333343</c:v>
                </c:pt>
                <c:pt idx="9">
                  <c:v>79.166666666666671</c:v>
                </c:pt>
                <c:pt idx="10">
                  <c:v>87.500000000000014</c:v>
                </c:pt>
                <c:pt idx="11">
                  <c:v>95.833333333333343</c:v>
                </c:pt>
              </c:numCache>
            </c:numRef>
          </c:xVal>
          <c:yVal>
            <c:numRef>
              <c:f>'3. Nonconstant variance'!$G$40:$G$51</c:f>
              <c:numCache>
                <c:formatCode>General</c:formatCode>
                <c:ptCount val="12"/>
                <c:pt idx="0">
                  <c:v>14.3</c:v>
                </c:pt>
                <c:pt idx="1">
                  <c:v>18.100000000000001</c:v>
                </c:pt>
                <c:pt idx="2">
                  <c:v>19.5</c:v>
                </c:pt>
                <c:pt idx="3">
                  <c:v>20.9</c:v>
                </c:pt>
                <c:pt idx="4">
                  <c:v>23.9</c:v>
                </c:pt>
                <c:pt idx="5">
                  <c:v>26.4</c:v>
                </c:pt>
                <c:pt idx="6">
                  <c:v>27.9</c:v>
                </c:pt>
                <c:pt idx="7">
                  <c:v>28.7</c:v>
                </c:pt>
                <c:pt idx="8">
                  <c:v>29.2</c:v>
                </c:pt>
                <c:pt idx="9">
                  <c:v>30.5</c:v>
                </c:pt>
                <c:pt idx="10">
                  <c:v>33.299999999999997</c:v>
                </c:pt>
                <c:pt idx="11">
                  <c:v>34.200000000000003</c:v>
                </c:pt>
              </c:numCache>
            </c:numRef>
          </c:yVal>
          <c:smooth val="0"/>
          <c:extLst>
            <c:ext xmlns:c16="http://schemas.microsoft.com/office/drawing/2014/chart" uri="{C3380CC4-5D6E-409C-BE32-E72D297353CC}">
              <c16:uniqueId val="{00000001-1377-454D-8B1F-5FA067F30570}"/>
            </c:ext>
          </c:extLst>
        </c:ser>
        <c:dLbls>
          <c:showLegendKey val="0"/>
          <c:showVal val="0"/>
          <c:showCatName val="0"/>
          <c:showSerName val="0"/>
          <c:showPercent val="0"/>
          <c:showBubbleSize val="0"/>
        </c:dLbls>
        <c:axId val="10107935"/>
        <c:axId val="2049608895"/>
      </c:scatterChart>
      <c:valAx>
        <c:axId val="10107935"/>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2049608895"/>
        <c:crosses val="autoZero"/>
        <c:crossBetween val="midCat"/>
      </c:valAx>
      <c:valAx>
        <c:axId val="2049608895"/>
        <c:scaling>
          <c:orientation val="minMax"/>
        </c:scaling>
        <c:delete val="0"/>
        <c:axPos val="l"/>
        <c:title>
          <c:tx>
            <c:rich>
              <a:bodyPr/>
              <a:lstStyle/>
              <a:p>
                <a:pPr>
                  <a:defRPr/>
                </a:pPr>
                <a:r>
                  <a:rPr lang="en-US"/>
                  <a:t>Miles Per Gallon</a:t>
                </a:r>
              </a:p>
            </c:rich>
          </c:tx>
          <c:overlay val="0"/>
        </c:title>
        <c:numFmt formatCode="General" sourceLinked="1"/>
        <c:majorTickMark val="out"/>
        <c:minorTickMark val="none"/>
        <c:tickLblPos val="nextTo"/>
        <c:crossAx val="1010793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'3. Nonconstant variance'!$B$40:$B$51</c:f>
              <c:numCache>
                <c:formatCode>General</c:formatCode>
                <c:ptCount val="12"/>
                <c:pt idx="0">
                  <c:v>29.443572604773529</c:v>
                </c:pt>
                <c:pt idx="1">
                  <c:v>31.492839056060635</c:v>
                </c:pt>
                <c:pt idx="2">
                  <c:v>30.712720577445658</c:v>
                </c:pt>
                <c:pt idx="3">
                  <c:v>27.592246662985747</c:v>
                </c:pt>
                <c:pt idx="4">
                  <c:v>32.50582872232188</c:v>
                </c:pt>
                <c:pt idx="5">
                  <c:v>24.63478257987822</c:v>
                </c:pt>
                <c:pt idx="6">
                  <c:v>25.158742752082308</c:v>
                </c:pt>
                <c:pt idx="7">
                  <c:v>31.574343971736827</c:v>
                </c:pt>
                <c:pt idx="8">
                  <c:v>18.533557463546153</c:v>
                </c:pt>
                <c:pt idx="9">
                  <c:v>18.684923735516222</c:v>
                </c:pt>
                <c:pt idx="10">
                  <c:v>14.097361338884866</c:v>
                </c:pt>
                <c:pt idx="11">
                  <c:v>22.469080534767983</c:v>
                </c:pt>
              </c:numCache>
            </c:numRef>
          </c:xVal>
          <c:yVal>
            <c:numRef>
              <c:f>'3. Nonconstant variance'!$D$40:$D$51</c:f>
              <c:numCache>
                <c:formatCode>General</c:formatCode>
                <c:ptCount val="12"/>
                <c:pt idx="0">
                  <c:v>-0.46683816947691587</c:v>
                </c:pt>
                <c:pt idx="1">
                  <c:v>-1.4395161695911793</c:v>
                </c:pt>
                <c:pt idx="2">
                  <c:v>2.1894232407548504</c:v>
                </c:pt>
                <c:pt idx="3">
                  <c:v>0.1932171836076497</c:v>
                </c:pt>
                <c:pt idx="4">
                  <c:v>0.49860560104324347</c:v>
                </c:pt>
                <c:pt idx="5">
                  <c:v>1.1082587817895784</c:v>
                </c:pt>
                <c:pt idx="6">
                  <c:v>-0.79027812274420095</c:v>
                </c:pt>
                <c:pt idx="7">
                  <c:v>-0.67450679319598605</c:v>
                </c:pt>
                <c:pt idx="8">
                  <c:v>-0.27220095434605934</c:v>
                </c:pt>
                <c:pt idx="9">
                  <c:v>0.5117304064901389</c:v>
                </c:pt>
                <c:pt idx="10">
                  <c:v>0.12722289795635322</c:v>
                </c:pt>
                <c:pt idx="11">
                  <c:v>-0.98511790228749241</c:v>
                </c:pt>
              </c:numCache>
            </c:numRef>
          </c:yVal>
          <c:smooth val="0"/>
          <c:extLst>
            <c:ext xmlns:c16="http://schemas.microsoft.com/office/drawing/2014/chart" uri="{C3380CC4-5D6E-409C-BE32-E72D297353CC}">
              <c16:uniqueId val="{00000000-F320-4277-B940-D8D6D76055A4}"/>
            </c:ext>
          </c:extLst>
        </c:ser>
        <c:dLbls>
          <c:showLegendKey val="0"/>
          <c:showVal val="0"/>
          <c:showCatName val="0"/>
          <c:showSerName val="0"/>
          <c:showPercent val="0"/>
          <c:showBubbleSize val="0"/>
        </c:dLbls>
        <c:axId val="232058351"/>
        <c:axId val="214063199"/>
      </c:scatterChart>
      <c:valAx>
        <c:axId val="232058351"/>
        <c:scaling>
          <c:orientation val="minMax"/>
          <c:min val="13"/>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a:t>
                </a:r>
                <a:r>
                  <a:rPr lang="en-US" baseline="0"/>
                  <a:t> y value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63199"/>
        <c:crosses val="autoZero"/>
        <c:crossBetween val="midCat"/>
        <c:majorUnit val="1"/>
      </c:valAx>
      <c:valAx>
        <c:axId val="21406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Standard</a:t>
                </a:r>
                <a:r>
                  <a:rPr lang="en-US" baseline="0"/>
                  <a:t> 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058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Weight  Residual Plot</a:t>
            </a:r>
          </a:p>
        </c:rich>
      </c:tx>
      <c:overlay val="0"/>
    </c:title>
    <c:autoTitleDeleted val="0"/>
    <c:plotArea>
      <c:layout/>
      <c:scatterChart>
        <c:scatterStyle val="lineMarker"/>
        <c:varyColors val="0"/>
        <c:ser>
          <c:idx val="0"/>
          <c:order val="0"/>
          <c:spPr>
            <a:ln w="19050">
              <a:noFill/>
            </a:ln>
          </c:spPr>
          <c:xVal>
            <c:numRef>
              <c:f>'Adressed nonconstant variance'!$A$2:$A$13</c:f>
              <c:numCache>
                <c:formatCode>General</c:formatCode>
                <c:ptCount val="12"/>
                <c:pt idx="0">
                  <c:v>2289</c:v>
                </c:pt>
                <c:pt idx="1">
                  <c:v>2113</c:v>
                </c:pt>
                <c:pt idx="2">
                  <c:v>2180</c:v>
                </c:pt>
                <c:pt idx="3">
                  <c:v>2448</c:v>
                </c:pt>
                <c:pt idx="4">
                  <c:v>2026</c:v>
                </c:pt>
                <c:pt idx="5">
                  <c:v>2702</c:v>
                </c:pt>
                <c:pt idx="6">
                  <c:v>2657</c:v>
                </c:pt>
                <c:pt idx="7">
                  <c:v>2106</c:v>
                </c:pt>
                <c:pt idx="8">
                  <c:v>3226</c:v>
                </c:pt>
                <c:pt idx="9">
                  <c:v>3213</c:v>
                </c:pt>
                <c:pt idx="10">
                  <c:v>3607</c:v>
                </c:pt>
                <c:pt idx="11">
                  <c:v>2888</c:v>
                </c:pt>
              </c:numCache>
            </c:numRef>
          </c:xVal>
          <c:yVal>
            <c:numRef>
              <c:f>'Adressed nonconstant variance'!$C$40:$C$51</c:f>
              <c:numCache>
                <c:formatCode>General</c:formatCode>
                <c:ptCount val="12"/>
                <c:pt idx="0">
                  <c:v>-2.032383911690161E-2</c:v>
                </c:pt>
                <c:pt idx="1">
                  <c:v>-9.1245235830716531E-2</c:v>
                </c:pt>
                <c:pt idx="2">
                  <c:v>0.10038516416761745</c:v>
                </c:pt>
                <c:pt idx="3">
                  <c:v>3.1080069742420502E-2</c:v>
                </c:pt>
                <c:pt idx="4">
                  <c:v>-3.4519432342099421E-3</c:v>
                </c:pt>
                <c:pt idx="5">
                  <c:v>0.10309590094526211</c:v>
                </c:pt>
                <c:pt idx="6">
                  <c:v>-1.8938992570744606E-2</c:v>
                </c:pt>
                <c:pt idx="7">
                  <c:v>-5.1194936960662574E-2</c:v>
                </c:pt>
                <c:pt idx="8">
                  <c:v>-1.1781607250130222E-2</c:v>
                </c:pt>
                <c:pt idx="9">
                  <c:v>5.620666560522114E-2</c:v>
                </c:pt>
                <c:pt idx="10">
                  <c:v>-5.6516243439212577E-2</c:v>
                </c:pt>
                <c:pt idx="11">
                  <c:v>-3.7315002057945357E-2</c:v>
                </c:pt>
              </c:numCache>
            </c:numRef>
          </c:yVal>
          <c:smooth val="0"/>
          <c:extLst>
            <c:ext xmlns:c16="http://schemas.microsoft.com/office/drawing/2014/chart" uri="{C3380CC4-5D6E-409C-BE32-E72D297353CC}">
              <c16:uniqueId val="{00000001-493D-4C3F-BDC1-6C75D3C5F054}"/>
            </c:ext>
          </c:extLst>
        </c:ser>
        <c:dLbls>
          <c:showLegendKey val="0"/>
          <c:showVal val="0"/>
          <c:showCatName val="0"/>
          <c:showSerName val="0"/>
          <c:showPercent val="0"/>
          <c:showBubbleSize val="0"/>
        </c:dLbls>
        <c:axId val="278441343"/>
        <c:axId val="218079679"/>
      </c:scatterChart>
      <c:valAx>
        <c:axId val="278441343"/>
        <c:scaling>
          <c:orientation val="minMax"/>
        </c:scaling>
        <c:delete val="0"/>
        <c:axPos val="b"/>
        <c:title>
          <c:tx>
            <c:rich>
              <a:bodyPr/>
              <a:lstStyle/>
              <a:p>
                <a:pPr>
                  <a:defRPr/>
                </a:pPr>
                <a:r>
                  <a:rPr lang="en-US"/>
                  <a:t>Weight</a:t>
                </a:r>
              </a:p>
            </c:rich>
          </c:tx>
          <c:overlay val="0"/>
        </c:title>
        <c:numFmt formatCode="General" sourceLinked="1"/>
        <c:majorTickMark val="out"/>
        <c:minorTickMark val="none"/>
        <c:tickLblPos val="nextTo"/>
        <c:crossAx val="218079679"/>
        <c:crosses val="autoZero"/>
        <c:crossBetween val="midCat"/>
      </c:valAx>
      <c:valAx>
        <c:axId val="21807967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27844134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Weight Line Fit  Plot</a:t>
            </a:r>
          </a:p>
        </c:rich>
      </c:tx>
      <c:overlay val="0"/>
    </c:title>
    <c:autoTitleDeleted val="0"/>
    <c:plotArea>
      <c:layout/>
      <c:scatterChart>
        <c:scatterStyle val="lineMarker"/>
        <c:varyColors val="0"/>
        <c:ser>
          <c:idx val="0"/>
          <c:order val="0"/>
          <c:tx>
            <c:v>MPG natural log</c:v>
          </c:tx>
          <c:spPr>
            <a:ln w="19050">
              <a:noFill/>
            </a:ln>
          </c:spPr>
          <c:xVal>
            <c:numRef>
              <c:f>'Adressed nonconstant variance'!$A$2:$A$13</c:f>
              <c:numCache>
                <c:formatCode>General</c:formatCode>
                <c:ptCount val="12"/>
                <c:pt idx="0">
                  <c:v>2289</c:v>
                </c:pt>
                <c:pt idx="1">
                  <c:v>2113</c:v>
                </c:pt>
                <c:pt idx="2">
                  <c:v>2180</c:v>
                </c:pt>
                <c:pt idx="3">
                  <c:v>2448</c:v>
                </c:pt>
                <c:pt idx="4">
                  <c:v>2026</c:v>
                </c:pt>
                <c:pt idx="5">
                  <c:v>2702</c:v>
                </c:pt>
                <c:pt idx="6">
                  <c:v>2657</c:v>
                </c:pt>
                <c:pt idx="7">
                  <c:v>2106</c:v>
                </c:pt>
                <c:pt idx="8">
                  <c:v>3226</c:v>
                </c:pt>
                <c:pt idx="9">
                  <c:v>3213</c:v>
                </c:pt>
                <c:pt idx="10">
                  <c:v>3607</c:v>
                </c:pt>
                <c:pt idx="11">
                  <c:v>2888</c:v>
                </c:pt>
              </c:numCache>
            </c:numRef>
          </c:xVal>
          <c:yVal>
            <c:numRef>
              <c:f>'Adressed nonconstant variance'!$B$2:$B$13</c:f>
              <c:numCache>
                <c:formatCode>General</c:formatCode>
                <c:ptCount val="12"/>
                <c:pt idx="0">
                  <c:v>3.3568971227655755</c:v>
                </c:pt>
                <c:pt idx="1">
                  <c:v>3.3741687092742358</c:v>
                </c:pt>
                <c:pt idx="2">
                  <c:v>3.5322256440685598</c:v>
                </c:pt>
                <c:pt idx="3">
                  <c:v>3.3286266888273199</c:v>
                </c:pt>
                <c:pt idx="4">
                  <c:v>3.505557396986398</c:v>
                </c:pt>
                <c:pt idx="5">
                  <c:v>3.2733640101522705</c:v>
                </c:pt>
                <c:pt idx="6">
                  <c:v>3.1738784589374651</c:v>
                </c:pt>
                <c:pt idx="7">
                  <c:v>3.417726683613366</c:v>
                </c:pt>
                <c:pt idx="8">
                  <c:v>2.8959119382717802</c:v>
                </c:pt>
                <c:pt idx="9">
                  <c:v>2.9704144655697009</c:v>
                </c:pt>
                <c:pt idx="10">
                  <c:v>2.6602595372658615</c:v>
                </c:pt>
                <c:pt idx="11">
                  <c:v>3.039749158970765</c:v>
                </c:pt>
              </c:numCache>
            </c:numRef>
          </c:yVal>
          <c:smooth val="0"/>
          <c:extLst>
            <c:ext xmlns:c16="http://schemas.microsoft.com/office/drawing/2014/chart" uri="{C3380CC4-5D6E-409C-BE32-E72D297353CC}">
              <c16:uniqueId val="{00000001-7A68-41A5-82B4-FAA26332119C}"/>
            </c:ext>
          </c:extLst>
        </c:ser>
        <c:ser>
          <c:idx val="1"/>
          <c:order val="1"/>
          <c:tx>
            <c:v>Predicted MPG natural log</c:v>
          </c:tx>
          <c:spPr>
            <a:ln w="19050">
              <a:noFill/>
            </a:ln>
          </c:spPr>
          <c:xVal>
            <c:numRef>
              <c:f>'Adressed nonconstant variance'!$A$2:$A$13</c:f>
              <c:numCache>
                <c:formatCode>General</c:formatCode>
                <c:ptCount val="12"/>
                <c:pt idx="0">
                  <c:v>2289</c:v>
                </c:pt>
                <c:pt idx="1">
                  <c:v>2113</c:v>
                </c:pt>
                <c:pt idx="2">
                  <c:v>2180</c:v>
                </c:pt>
                <c:pt idx="3">
                  <c:v>2448</c:v>
                </c:pt>
                <c:pt idx="4">
                  <c:v>2026</c:v>
                </c:pt>
                <c:pt idx="5">
                  <c:v>2702</c:v>
                </c:pt>
                <c:pt idx="6">
                  <c:v>2657</c:v>
                </c:pt>
                <c:pt idx="7">
                  <c:v>2106</c:v>
                </c:pt>
                <c:pt idx="8">
                  <c:v>3226</c:v>
                </c:pt>
                <c:pt idx="9">
                  <c:v>3213</c:v>
                </c:pt>
                <c:pt idx="10">
                  <c:v>3607</c:v>
                </c:pt>
                <c:pt idx="11">
                  <c:v>2888</c:v>
                </c:pt>
              </c:numCache>
            </c:numRef>
          </c:xVal>
          <c:yVal>
            <c:numRef>
              <c:f>'Adressed nonconstant variance'!$B$40:$B$51</c:f>
              <c:numCache>
                <c:formatCode>General</c:formatCode>
                <c:ptCount val="12"/>
                <c:pt idx="0">
                  <c:v>3.3772209618824771</c:v>
                </c:pt>
                <c:pt idx="1">
                  <c:v>3.4654139451049524</c:v>
                </c:pt>
                <c:pt idx="2">
                  <c:v>3.4318404799009423</c:v>
                </c:pt>
                <c:pt idx="3">
                  <c:v>3.2975466190848994</c:v>
                </c:pt>
                <c:pt idx="4">
                  <c:v>3.509009340220608</c:v>
                </c:pt>
                <c:pt idx="5">
                  <c:v>3.1702681092070084</c:v>
                </c:pt>
                <c:pt idx="6">
                  <c:v>3.1928174515082097</c:v>
                </c:pt>
                <c:pt idx="7">
                  <c:v>3.4689216205740285</c:v>
                </c:pt>
                <c:pt idx="8">
                  <c:v>2.9076935455219104</c:v>
                </c:pt>
                <c:pt idx="9">
                  <c:v>2.9142077999644798</c:v>
                </c:pt>
                <c:pt idx="10">
                  <c:v>2.7167757807050741</c:v>
                </c:pt>
                <c:pt idx="11">
                  <c:v>3.0770641610287104</c:v>
                </c:pt>
              </c:numCache>
            </c:numRef>
          </c:yVal>
          <c:smooth val="0"/>
          <c:extLst>
            <c:ext xmlns:c16="http://schemas.microsoft.com/office/drawing/2014/chart" uri="{C3380CC4-5D6E-409C-BE32-E72D297353CC}">
              <c16:uniqueId val="{00000002-7A68-41A5-82B4-FAA26332119C}"/>
            </c:ext>
          </c:extLst>
        </c:ser>
        <c:dLbls>
          <c:showLegendKey val="0"/>
          <c:showVal val="0"/>
          <c:showCatName val="0"/>
          <c:showSerName val="0"/>
          <c:showPercent val="0"/>
          <c:showBubbleSize val="0"/>
        </c:dLbls>
        <c:axId val="278332767"/>
        <c:axId val="218099839"/>
      </c:scatterChart>
      <c:valAx>
        <c:axId val="278332767"/>
        <c:scaling>
          <c:orientation val="minMax"/>
        </c:scaling>
        <c:delete val="0"/>
        <c:axPos val="b"/>
        <c:title>
          <c:tx>
            <c:rich>
              <a:bodyPr/>
              <a:lstStyle/>
              <a:p>
                <a:pPr>
                  <a:defRPr/>
                </a:pPr>
                <a:r>
                  <a:rPr lang="en-US"/>
                  <a:t>Weight</a:t>
                </a:r>
              </a:p>
            </c:rich>
          </c:tx>
          <c:overlay val="0"/>
        </c:title>
        <c:numFmt formatCode="General" sourceLinked="1"/>
        <c:majorTickMark val="out"/>
        <c:minorTickMark val="none"/>
        <c:tickLblPos val="nextTo"/>
        <c:crossAx val="218099839"/>
        <c:crosses val="autoZero"/>
        <c:crossBetween val="midCat"/>
      </c:valAx>
      <c:valAx>
        <c:axId val="218099839"/>
        <c:scaling>
          <c:orientation val="minMax"/>
        </c:scaling>
        <c:delete val="0"/>
        <c:axPos val="l"/>
        <c:title>
          <c:tx>
            <c:rich>
              <a:bodyPr/>
              <a:lstStyle/>
              <a:p>
                <a:pPr>
                  <a:defRPr/>
                </a:pPr>
                <a:r>
                  <a:rPr lang="en-US"/>
                  <a:t>MPG natural log</a:t>
                </a:r>
              </a:p>
            </c:rich>
          </c:tx>
          <c:overlay val="0"/>
        </c:title>
        <c:numFmt formatCode="General" sourceLinked="1"/>
        <c:majorTickMark val="out"/>
        <c:minorTickMark val="none"/>
        <c:tickLblPos val="nextTo"/>
        <c:crossAx val="278332767"/>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'Adressed nonconstant variance'!$F$40:$F$51</c:f>
              <c:numCache>
                <c:formatCode>General</c:formatCode>
                <c:ptCount val="12"/>
                <c:pt idx="0">
                  <c:v>4.166666666666667</c:v>
                </c:pt>
                <c:pt idx="1">
                  <c:v>12.5</c:v>
                </c:pt>
                <c:pt idx="2">
                  <c:v>20.833333333333336</c:v>
                </c:pt>
                <c:pt idx="3">
                  <c:v>29.166666666666668</c:v>
                </c:pt>
                <c:pt idx="4">
                  <c:v>37.5</c:v>
                </c:pt>
                <c:pt idx="5">
                  <c:v>45.833333333333336</c:v>
                </c:pt>
                <c:pt idx="6">
                  <c:v>54.166666666666664</c:v>
                </c:pt>
                <c:pt idx="7">
                  <c:v>62.5</c:v>
                </c:pt>
                <c:pt idx="8">
                  <c:v>70.833333333333343</c:v>
                </c:pt>
                <c:pt idx="9">
                  <c:v>79.166666666666671</c:v>
                </c:pt>
                <c:pt idx="10">
                  <c:v>87.500000000000014</c:v>
                </c:pt>
                <c:pt idx="11">
                  <c:v>95.833333333333343</c:v>
                </c:pt>
              </c:numCache>
            </c:numRef>
          </c:xVal>
          <c:yVal>
            <c:numRef>
              <c:f>'Adressed nonconstant variance'!$G$40:$G$51</c:f>
              <c:numCache>
                <c:formatCode>General</c:formatCode>
                <c:ptCount val="12"/>
                <c:pt idx="0">
                  <c:v>2.6602595372658615</c:v>
                </c:pt>
                <c:pt idx="1">
                  <c:v>2.8959119382717802</c:v>
                </c:pt>
                <c:pt idx="2">
                  <c:v>2.9704144655697009</c:v>
                </c:pt>
                <c:pt idx="3">
                  <c:v>3.039749158970765</c:v>
                </c:pt>
                <c:pt idx="4">
                  <c:v>3.1738784589374651</c:v>
                </c:pt>
                <c:pt idx="5">
                  <c:v>3.2733640101522705</c:v>
                </c:pt>
                <c:pt idx="6">
                  <c:v>3.3286266888273199</c:v>
                </c:pt>
                <c:pt idx="7">
                  <c:v>3.3568971227655755</c:v>
                </c:pt>
                <c:pt idx="8">
                  <c:v>3.3741687092742358</c:v>
                </c:pt>
                <c:pt idx="9">
                  <c:v>3.417726683613366</c:v>
                </c:pt>
                <c:pt idx="10">
                  <c:v>3.505557396986398</c:v>
                </c:pt>
                <c:pt idx="11">
                  <c:v>3.5322256440685598</c:v>
                </c:pt>
              </c:numCache>
            </c:numRef>
          </c:yVal>
          <c:smooth val="0"/>
          <c:extLst>
            <c:ext xmlns:c16="http://schemas.microsoft.com/office/drawing/2014/chart" uri="{C3380CC4-5D6E-409C-BE32-E72D297353CC}">
              <c16:uniqueId val="{00000001-F4A0-4ED1-8809-DE48755EFCEB}"/>
            </c:ext>
          </c:extLst>
        </c:ser>
        <c:dLbls>
          <c:showLegendKey val="0"/>
          <c:showVal val="0"/>
          <c:showCatName val="0"/>
          <c:showSerName val="0"/>
          <c:showPercent val="0"/>
          <c:showBubbleSize val="0"/>
        </c:dLbls>
        <c:axId val="278332767"/>
        <c:axId val="218080639"/>
      </c:scatterChart>
      <c:valAx>
        <c:axId val="278332767"/>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218080639"/>
        <c:crosses val="autoZero"/>
        <c:crossBetween val="midCat"/>
      </c:valAx>
      <c:valAx>
        <c:axId val="218080639"/>
        <c:scaling>
          <c:orientation val="minMax"/>
        </c:scaling>
        <c:delete val="0"/>
        <c:axPos val="l"/>
        <c:title>
          <c:tx>
            <c:rich>
              <a:bodyPr/>
              <a:lstStyle/>
              <a:p>
                <a:pPr>
                  <a:defRPr/>
                </a:pPr>
                <a:r>
                  <a:rPr lang="en-US"/>
                  <a:t>MPG natural log</a:t>
                </a:r>
              </a:p>
            </c:rich>
          </c:tx>
          <c:overlay val="0"/>
        </c:title>
        <c:numFmt formatCode="General" sourceLinked="1"/>
        <c:majorTickMark val="out"/>
        <c:minorTickMark val="none"/>
        <c:tickLblPos val="nextTo"/>
        <c:crossAx val="27833276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'Adressed nonconstant variance'!$B$40:$B$51</c:f>
              <c:numCache>
                <c:formatCode>General</c:formatCode>
                <c:ptCount val="12"/>
                <c:pt idx="0">
                  <c:v>3.3772209618824771</c:v>
                </c:pt>
                <c:pt idx="1">
                  <c:v>3.4654139451049524</c:v>
                </c:pt>
                <c:pt idx="2">
                  <c:v>3.4318404799009423</c:v>
                </c:pt>
                <c:pt idx="3">
                  <c:v>3.2975466190848994</c:v>
                </c:pt>
                <c:pt idx="4">
                  <c:v>3.509009340220608</c:v>
                </c:pt>
                <c:pt idx="5">
                  <c:v>3.1702681092070084</c:v>
                </c:pt>
                <c:pt idx="6">
                  <c:v>3.1928174515082097</c:v>
                </c:pt>
                <c:pt idx="7">
                  <c:v>3.4689216205740285</c:v>
                </c:pt>
                <c:pt idx="8">
                  <c:v>2.9076935455219104</c:v>
                </c:pt>
                <c:pt idx="9">
                  <c:v>2.9142077999644798</c:v>
                </c:pt>
                <c:pt idx="10">
                  <c:v>2.7167757807050741</c:v>
                </c:pt>
                <c:pt idx="11">
                  <c:v>3.0770641610287104</c:v>
                </c:pt>
              </c:numCache>
            </c:numRef>
          </c:xVal>
          <c:yVal>
            <c:numRef>
              <c:f>'Adressed nonconstant variance'!$D$40:$D$51</c:f>
              <c:numCache>
                <c:formatCode>General</c:formatCode>
                <c:ptCount val="12"/>
                <c:pt idx="0">
                  <c:v>-0.33173943513627402</c:v>
                </c:pt>
                <c:pt idx="1">
                  <c:v>-1.4893663947666917</c:v>
                </c:pt>
                <c:pt idx="2">
                  <c:v>1.6385544810445454</c:v>
                </c:pt>
                <c:pt idx="3">
                  <c:v>0.50730989952445671</c:v>
                </c:pt>
                <c:pt idx="4">
                  <c:v>-5.6344949989638952E-2</c:v>
                </c:pt>
                <c:pt idx="5">
                  <c:v>1.6828009584077284</c:v>
                </c:pt>
                <c:pt idx="6">
                  <c:v>-0.30913503405190934</c:v>
                </c:pt>
                <c:pt idx="7">
                  <c:v>-0.83563835412590559</c:v>
                </c:pt>
                <c:pt idx="8">
                  <c:v>-0.19230735451479375</c:v>
                </c:pt>
                <c:pt idx="9">
                  <c:v>0.91744317554960553</c:v>
                </c:pt>
                <c:pt idx="10">
                  <c:v>-0.92249631414159639</c:v>
                </c:pt>
                <c:pt idx="11">
                  <c:v>-0.60908067779956254</c:v>
                </c:pt>
              </c:numCache>
            </c:numRef>
          </c:yVal>
          <c:smooth val="0"/>
          <c:extLst>
            <c:ext xmlns:c16="http://schemas.microsoft.com/office/drawing/2014/chart" uri="{C3380CC4-5D6E-409C-BE32-E72D297353CC}">
              <c16:uniqueId val="{00000002-7525-46AC-AC15-9FCD1A3396F0}"/>
            </c:ext>
          </c:extLst>
        </c:ser>
        <c:dLbls>
          <c:showLegendKey val="0"/>
          <c:showVal val="0"/>
          <c:showCatName val="0"/>
          <c:showSerName val="0"/>
          <c:showPercent val="0"/>
          <c:showBubbleSize val="0"/>
        </c:dLbls>
        <c:axId val="170365839"/>
        <c:axId val="214036799"/>
      </c:scatterChart>
      <c:valAx>
        <c:axId val="170365839"/>
        <c:scaling>
          <c:orientation val="minMax"/>
          <c:min val="2.7"/>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a:t>
                </a:r>
                <a:r>
                  <a:rPr lang="en-US" baseline="0"/>
                  <a:t> Natural Log mpg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36799"/>
        <c:crosses val="autoZero"/>
        <c:crossBetween val="midCat"/>
      </c:valAx>
      <c:valAx>
        <c:axId val="214036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Standard</a:t>
                </a:r>
                <a:r>
                  <a:rPr lang="en-US" baseline="0"/>
                  <a:t> 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658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'Adressed nonconstant variance'!$D$55:$D$66</c:f>
              <c:numCache>
                <c:formatCode>General</c:formatCode>
                <c:ptCount val="12"/>
                <c:pt idx="0">
                  <c:v>29.289261931843949</c:v>
                </c:pt>
                <c:pt idx="1">
                  <c:v>31.989699012097368</c:v>
                </c:pt>
                <c:pt idx="2">
                  <c:v>30.933522917412976</c:v>
                </c:pt>
                <c:pt idx="3">
                  <c:v>27.046202819626775</c:v>
                </c:pt>
                <c:pt idx="4">
                  <c:v>33.415148338121107</c:v>
                </c:pt>
                <c:pt idx="5">
                  <c:v>23.813868217928118</c:v>
                </c:pt>
                <c:pt idx="6">
                  <c:v>24.356955401394451</c:v>
                </c:pt>
                <c:pt idx="7">
                  <c:v>32.102105522111977</c:v>
                </c:pt>
                <c:pt idx="8">
                  <c:v>18.314508235869233</c:v>
                </c:pt>
                <c:pt idx="9">
                  <c:v>18.434203040438877</c:v>
                </c:pt>
                <c:pt idx="10">
                  <c:v>15.13145637653888</c:v>
                </c:pt>
                <c:pt idx="11">
                  <c:v>21.694616908264678</c:v>
                </c:pt>
              </c:numCache>
            </c:numRef>
          </c:xVal>
          <c:yVal>
            <c:numRef>
              <c:f>'Adressed nonconstant variance'!$D$40:$D$51</c:f>
              <c:numCache>
                <c:formatCode>General</c:formatCode>
                <c:ptCount val="12"/>
                <c:pt idx="0">
                  <c:v>-0.33173943513627402</c:v>
                </c:pt>
                <c:pt idx="1">
                  <c:v>-1.4893663947666917</c:v>
                </c:pt>
                <c:pt idx="2">
                  <c:v>1.6385544810445454</c:v>
                </c:pt>
                <c:pt idx="3">
                  <c:v>0.50730989952445671</c:v>
                </c:pt>
                <c:pt idx="4">
                  <c:v>-5.6344949989638952E-2</c:v>
                </c:pt>
                <c:pt idx="5">
                  <c:v>1.6828009584077284</c:v>
                </c:pt>
                <c:pt idx="6">
                  <c:v>-0.30913503405190934</c:v>
                </c:pt>
                <c:pt idx="7">
                  <c:v>-0.83563835412590559</c:v>
                </c:pt>
                <c:pt idx="8">
                  <c:v>-0.19230735451479375</c:v>
                </c:pt>
                <c:pt idx="9">
                  <c:v>0.91744317554960553</c:v>
                </c:pt>
                <c:pt idx="10">
                  <c:v>-0.92249631414159639</c:v>
                </c:pt>
                <c:pt idx="11">
                  <c:v>-0.60908067779956254</c:v>
                </c:pt>
              </c:numCache>
            </c:numRef>
          </c:yVal>
          <c:smooth val="0"/>
          <c:extLst>
            <c:ext xmlns:c16="http://schemas.microsoft.com/office/drawing/2014/chart" uri="{C3380CC4-5D6E-409C-BE32-E72D297353CC}">
              <c16:uniqueId val="{00000000-8511-43B5-B4AC-F32DF6C33E16}"/>
            </c:ext>
          </c:extLst>
        </c:ser>
        <c:dLbls>
          <c:showLegendKey val="0"/>
          <c:showVal val="0"/>
          <c:showCatName val="0"/>
          <c:showSerName val="0"/>
          <c:showPercent val="0"/>
          <c:showBubbleSize val="0"/>
        </c:dLbls>
        <c:axId val="1063959855"/>
        <c:axId val="218090719"/>
      </c:scatterChart>
      <c:valAx>
        <c:axId val="1063959855"/>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a:t>
                </a:r>
                <a:r>
                  <a:rPr lang="en-US" baseline="0"/>
                  <a:t> MPG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90719"/>
        <c:crosses val="autoZero"/>
        <c:crossBetween val="midCat"/>
      </c:valAx>
      <c:valAx>
        <c:axId val="218090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Standard</a:t>
                </a:r>
                <a:r>
                  <a:rPr lang="en-US" baseline="0"/>
                  <a:t> Residuals</a:t>
                </a:r>
              </a:p>
            </c:rich>
          </c:tx>
          <c:layout>
            <c:manualLayout>
              <c:xMode val="edge"/>
              <c:yMode val="edge"/>
              <c:x val="3.0410983112079258E-2"/>
              <c:y val="0.272326115485564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959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x1  Residual Plot</a:t>
            </a:r>
          </a:p>
        </c:rich>
      </c:tx>
      <c:overlay val="0"/>
    </c:title>
    <c:autoTitleDeleted val="0"/>
    <c:plotArea>
      <c:layout/>
      <c:scatterChart>
        <c:scatterStyle val="lineMarker"/>
        <c:varyColors val="0"/>
        <c:ser>
          <c:idx val="0"/>
          <c:order val="0"/>
          <c:spPr>
            <a:ln w="19050">
              <a:noFill/>
            </a:ln>
          </c:spPr>
          <c:xVal>
            <c:numRef>
              <c:f>'4. Change by percentage (20%)'!$A$2:$A$9</c:f>
              <c:numCache>
                <c:formatCode>General</c:formatCode>
                <c:ptCount val="8"/>
                <c:pt idx="0">
                  <c:v>1</c:v>
                </c:pt>
                <c:pt idx="1">
                  <c:v>2</c:v>
                </c:pt>
                <c:pt idx="2">
                  <c:v>3</c:v>
                </c:pt>
                <c:pt idx="3">
                  <c:v>4</c:v>
                </c:pt>
                <c:pt idx="4">
                  <c:v>5</c:v>
                </c:pt>
                <c:pt idx="5">
                  <c:v>6</c:v>
                </c:pt>
                <c:pt idx="6">
                  <c:v>7</c:v>
                </c:pt>
                <c:pt idx="7">
                  <c:v>8</c:v>
                </c:pt>
              </c:numCache>
            </c:numRef>
          </c:xVal>
          <c:yVal>
            <c:numRef>
              <c:f>'4. Change by percentage (20%)'!$C$38:$C$45</c:f>
              <c:numCache>
                <c:formatCode>General</c:formatCode>
                <c:ptCount val="8"/>
                <c:pt idx="0">
                  <c:v>125.13727999999981</c:v>
                </c:pt>
                <c:pt idx="1">
                  <c:v>27.260525714285563</c:v>
                </c:pt>
                <c:pt idx="2">
                  <c:v>-46.616228571428678</c:v>
                </c:pt>
                <c:pt idx="3">
                  <c:v>-91.692982857143079</c:v>
                </c:pt>
                <c:pt idx="4">
                  <c:v>-102.20973714285719</c:v>
                </c:pt>
                <c:pt idx="5">
                  <c:v>-71.254491428571555</c:v>
                </c:pt>
                <c:pt idx="6">
                  <c:v>9.4671542857142867</c:v>
                </c:pt>
                <c:pt idx="7">
                  <c:v>149.9084799999996</c:v>
                </c:pt>
              </c:numCache>
            </c:numRef>
          </c:yVal>
          <c:smooth val="0"/>
          <c:extLst>
            <c:ext xmlns:c16="http://schemas.microsoft.com/office/drawing/2014/chart" uri="{C3380CC4-5D6E-409C-BE32-E72D297353CC}">
              <c16:uniqueId val="{00000001-4D16-4D9C-8472-360B05E49CE1}"/>
            </c:ext>
          </c:extLst>
        </c:ser>
        <c:dLbls>
          <c:showLegendKey val="0"/>
          <c:showVal val="0"/>
          <c:showCatName val="0"/>
          <c:showSerName val="0"/>
          <c:showPercent val="0"/>
          <c:showBubbleSize val="0"/>
        </c:dLbls>
        <c:axId val="1059184975"/>
        <c:axId val="15533599"/>
      </c:scatterChart>
      <c:valAx>
        <c:axId val="1059184975"/>
        <c:scaling>
          <c:orientation val="minMax"/>
        </c:scaling>
        <c:delete val="0"/>
        <c:axPos val="b"/>
        <c:title>
          <c:tx>
            <c:rich>
              <a:bodyPr/>
              <a:lstStyle/>
              <a:p>
                <a:pPr>
                  <a:defRPr/>
                </a:pPr>
                <a:r>
                  <a:rPr lang="en-US"/>
                  <a:t>x1</a:t>
                </a:r>
              </a:p>
            </c:rich>
          </c:tx>
          <c:overlay val="0"/>
        </c:title>
        <c:numFmt formatCode="General" sourceLinked="1"/>
        <c:majorTickMark val="out"/>
        <c:minorTickMark val="none"/>
        <c:tickLblPos val="nextTo"/>
        <c:crossAx val="15533599"/>
        <c:crosses val="autoZero"/>
        <c:crossBetween val="midCat"/>
      </c:valAx>
      <c:valAx>
        <c:axId val="1553359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5918497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x1 Line Fit  Plot</a:t>
            </a:r>
          </a:p>
        </c:rich>
      </c:tx>
      <c:overlay val="0"/>
    </c:title>
    <c:autoTitleDeleted val="0"/>
    <c:plotArea>
      <c:layout/>
      <c:scatterChart>
        <c:scatterStyle val="lineMarker"/>
        <c:varyColors val="0"/>
        <c:ser>
          <c:idx val="0"/>
          <c:order val="0"/>
          <c:tx>
            <c:v>y observed</c:v>
          </c:tx>
          <c:spPr>
            <a:ln w="19050">
              <a:noFill/>
            </a:ln>
          </c:spPr>
          <c:xVal>
            <c:numRef>
              <c:f>'4. Change by percentage (20%)'!$A$2:$A$9</c:f>
              <c:numCache>
                <c:formatCode>General</c:formatCode>
                <c:ptCount val="8"/>
                <c:pt idx="0">
                  <c:v>1</c:v>
                </c:pt>
                <c:pt idx="1">
                  <c:v>2</c:v>
                </c:pt>
                <c:pt idx="2">
                  <c:v>3</c:v>
                </c:pt>
                <c:pt idx="3">
                  <c:v>4</c:v>
                </c:pt>
                <c:pt idx="4">
                  <c:v>5</c:v>
                </c:pt>
                <c:pt idx="5">
                  <c:v>6</c:v>
                </c:pt>
                <c:pt idx="6">
                  <c:v>7</c:v>
                </c:pt>
                <c:pt idx="7">
                  <c:v>8</c:v>
                </c:pt>
              </c:numCache>
            </c:numRef>
          </c:xVal>
          <c:yVal>
            <c:numRef>
              <c:f>'4. Change by percentage (20%)'!$D$2:$D$9</c:f>
              <c:numCache>
                <c:formatCode>General</c:formatCode>
                <c:ptCount val="8"/>
                <c:pt idx="0">
                  <c:v>600</c:v>
                </c:pt>
                <c:pt idx="1">
                  <c:v>720</c:v>
                </c:pt>
                <c:pt idx="2">
                  <c:v>864</c:v>
                </c:pt>
                <c:pt idx="3">
                  <c:v>1036.8</c:v>
                </c:pt>
                <c:pt idx="4">
                  <c:v>1244.1599999999999</c:v>
                </c:pt>
                <c:pt idx="5">
                  <c:v>1492.992</c:v>
                </c:pt>
                <c:pt idx="6">
                  <c:v>1791.5903999999998</c:v>
                </c:pt>
                <c:pt idx="7">
                  <c:v>2149.9084799999996</c:v>
                </c:pt>
              </c:numCache>
            </c:numRef>
          </c:yVal>
          <c:smooth val="0"/>
          <c:extLst>
            <c:ext xmlns:c16="http://schemas.microsoft.com/office/drawing/2014/chart" uri="{C3380CC4-5D6E-409C-BE32-E72D297353CC}">
              <c16:uniqueId val="{00000001-7E2E-4ED3-9619-302B606A34E3}"/>
            </c:ext>
          </c:extLst>
        </c:ser>
        <c:ser>
          <c:idx val="1"/>
          <c:order val="1"/>
          <c:tx>
            <c:v>Predicted y observed</c:v>
          </c:tx>
          <c:spPr>
            <a:ln w="19050">
              <a:noFill/>
            </a:ln>
          </c:spPr>
          <c:xVal>
            <c:numRef>
              <c:f>'4. Change by percentage (20%)'!$A$2:$A$9</c:f>
              <c:numCache>
                <c:formatCode>General</c:formatCode>
                <c:ptCount val="8"/>
                <c:pt idx="0">
                  <c:v>1</c:v>
                </c:pt>
                <c:pt idx="1">
                  <c:v>2</c:v>
                </c:pt>
                <c:pt idx="2">
                  <c:v>3</c:v>
                </c:pt>
                <c:pt idx="3">
                  <c:v>4</c:v>
                </c:pt>
                <c:pt idx="4">
                  <c:v>5</c:v>
                </c:pt>
                <c:pt idx="5">
                  <c:v>6</c:v>
                </c:pt>
                <c:pt idx="6">
                  <c:v>7</c:v>
                </c:pt>
                <c:pt idx="7">
                  <c:v>8</c:v>
                </c:pt>
              </c:numCache>
            </c:numRef>
          </c:xVal>
          <c:yVal>
            <c:numRef>
              <c:f>'4. Change by percentage (20%)'!$B$38:$B$45</c:f>
              <c:numCache>
                <c:formatCode>General</c:formatCode>
                <c:ptCount val="8"/>
                <c:pt idx="0">
                  <c:v>474.86272000000019</c:v>
                </c:pt>
                <c:pt idx="1">
                  <c:v>692.73947428571444</c:v>
                </c:pt>
                <c:pt idx="2">
                  <c:v>910.61622857142868</c:v>
                </c:pt>
                <c:pt idx="3">
                  <c:v>1128.492982857143</c:v>
                </c:pt>
                <c:pt idx="4">
                  <c:v>1346.369737142857</c:v>
                </c:pt>
                <c:pt idx="5">
                  <c:v>1564.2464914285715</c:v>
                </c:pt>
                <c:pt idx="6">
                  <c:v>1782.1232457142855</c:v>
                </c:pt>
                <c:pt idx="7">
                  <c:v>2000</c:v>
                </c:pt>
              </c:numCache>
            </c:numRef>
          </c:yVal>
          <c:smooth val="0"/>
          <c:extLst>
            <c:ext xmlns:c16="http://schemas.microsoft.com/office/drawing/2014/chart" uri="{C3380CC4-5D6E-409C-BE32-E72D297353CC}">
              <c16:uniqueId val="{00000002-7E2E-4ED3-9619-302B606A34E3}"/>
            </c:ext>
          </c:extLst>
        </c:ser>
        <c:dLbls>
          <c:showLegendKey val="0"/>
          <c:showVal val="0"/>
          <c:showCatName val="0"/>
          <c:showSerName val="0"/>
          <c:showPercent val="0"/>
          <c:showBubbleSize val="0"/>
        </c:dLbls>
        <c:axId val="1059179871"/>
        <c:axId val="10649823"/>
      </c:scatterChart>
      <c:valAx>
        <c:axId val="1059179871"/>
        <c:scaling>
          <c:orientation val="minMax"/>
        </c:scaling>
        <c:delete val="0"/>
        <c:axPos val="b"/>
        <c:title>
          <c:tx>
            <c:rich>
              <a:bodyPr/>
              <a:lstStyle/>
              <a:p>
                <a:pPr>
                  <a:defRPr/>
                </a:pPr>
                <a:r>
                  <a:rPr lang="en-US"/>
                  <a:t>x1</a:t>
                </a:r>
              </a:p>
            </c:rich>
          </c:tx>
          <c:overlay val="0"/>
        </c:title>
        <c:numFmt formatCode="General" sourceLinked="1"/>
        <c:majorTickMark val="out"/>
        <c:minorTickMark val="none"/>
        <c:tickLblPos val="nextTo"/>
        <c:crossAx val="10649823"/>
        <c:crosses val="autoZero"/>
        <c:crossBetween val="midCat"/>
      </c:valAx>
      <c:valAx>
        <c:axId val="10649823"/>
        <c:scaling>
          <c:orientation val="minMax"/>
        </c:scaling>
        <c:delete val="0"/>
        <c:axPos val="l"/>
        <c:title>
          <c:tx>
            <c:rich>
              <a:bodyPr/>
              <a:lstStyle/>
              <a:p>
                <a:pPr>
                  <a:defRPr/>
                </a:pPr>
                <a:r>
                  <a:rPr lang="en-US"/>
                  <a:t>y observed</a:t>
                </a:r>
              </a:p>
            </c:rich>
          </c:tx>
          <c:overlay val="0"/>
        </c:title>
        <c:numFmt formatCode="General" sourceLinked="1"/>
        <c:majorTickMark val="out"/>
        <c:minorTickMark val="none"/>
        <c:tickLblPos val="nextTo"/>
        <c:crossAx val="105917987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'4. Change by percentage (20%)'!$F$38:$F$45</c:f>
              <c:numCache>
                <c:formatCode>General</c:formatCode>
                <c:ptCount val="8"/>
                <c:pt idx="0">
                  <c:v>6.25</c:v>
                </c:pt>
                <c:pt idx="1">
                  <c:v>18.75</c:v>
                </c:pt>
                <c:pt idx="2">
                  <c:v>31.25</c:v>
                </c:pt>
                <c:pt idx="3">
                  <c:v>43.75</c:v>
                </c:pt>
                <c:pt idx="4">
                  <c:v>56.25</c:v>
                </c:pt>
                <c:pt idx="5">
                  <c:v>68.75</c:v>
                </c:pt>
                <c:pt idx="6">
                  <c:v>81.25</c:v>
                </c:pt>
                <c:pt idx="7">
                  <c:v>93.75</c:v>
                </c:pt>
              </c:numCache>
            </c:numRef>
          </c:xVal>
          <c:yVal>
            <c:numRef>
              <c:f>'4. Change by percentage (20%)'!$G$38:$G$45</c:f>
              <c:numCache>
                <c:formatCode>General</c:formatCode>
                <c:ptCount val="8"/>
                <c:pt idx="0">
                  <c:v>600</c:v>
                </c:pt>
                <c:pt idx="1">
                  <c:v>720</c:v>
                </c:pt>
                <c:pt idx="2">
                  <c:v>864</c:v>
                </c:pt>
                <c:pt idx="3">
                  <c:v>1036.8</c:v>
                </c:pt>
                <c:pt idx="4">
                  <c:v>1244.1599999999999</c:v>
                </c:pt>
                <c:pt idx="5">
                  <c:v>1492.992</c:v>
                </c:pt>
                <c:pt idx="6">
                  <c:v>1791.5903999999998</c:v>
                </c:pt>
                <c:pt idx="7">
                  <c:v>2149.9084799999996</c:v>
                </c:pt>
              </c:numCache>
            </c:numRef>
          </c:yVal>
          <c:smooth val="0"/>
          <c:extLst>
            <c:ext xmlns:c16="http://schemas.microsoft.com/office/drawing/2014/chart" uri="{C3380CC4-5D6E-409C-BE32-E72D297353CC}">
              <c16:uniqueId val="{00000001-0F52-459B-8BEB-E3C109C25E46}"/>
            </c:ext>
          </c:extLst>
        </c:ser>
        <c:dLbls>
          <c:showLegendKey val="0"/>
          <c:showVal val="0"/>
          <c:showCatName val="0"/>
          <c:showSerName val="0"/>
          <c:showPercent val="0"/>
          <c:showBubbleSize val="0"/>
        </c:dLbls>
        <c:axId val="502186351"/>
        <c:axId val="504262927"/>
      </c:scatterChart>
      <c:valAx>
        <c:axId val="502186351"/>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504262927"/>
        <c:crosses val="autoZero"/>
        <c:crossBetween val="midCat"/>
      </c:valAx>
      <c:valAx>
        <c:axId val="504262927"/>
        <c:scaling>
          <c:orientation val="minMax"/>
        </c:scaling>
        <c:delete val="0"/>
        <c:axPos val="l"/>
        <c:title>
          <c:tx>
            <c:rich>
              <a:bodyPr/>
              <a:lstStyle/>
              <a:p>
                <a:pPr>
                  <a:defRPr/>
                </a:pPr>
                <a:r>
                  <a:rPr lang="en-US"/>
                  <a:t>y observed</a:t>
                </a:r>
              </a:p>
            </c:rich>
          </c:tx>
          <c:overlay val="0"/>
        </c:title>
        <c:numFmt formatCode="General" sourceLinked="1"/>
        <c:majorTickMark val="out"/>
        <c:minorTickMark val="none"/>
        <c:tickLblPos val="nextTo"/>
        <c:crossAx val="50218635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x1  Residual Plot</a:t>
            </a:r>
          </a:p>
        </c:rich>
      </c:tx>
      <c:overlay val="0"/>
    </c:title>
    <c:autoTitleDeleted val="0"/>
    <c:plotArea>
      <c:layout/>
      <c:scatterChart>
        <c:scatterStyle val="lineMarker"/>
        <c:varyColors val="0"/>
        <c:ser>
          <c:idx val="0"/>
          <c:order val="0"/>
          <c:spPr>
            <a:ln w="19050">
              <a:noFill/>
            </a:ln>
          </c:spPr>
          <c:xVal>
            <c:numRef>
              <c:f>'4. Change by percentage (20%)'!$M$2:$M$9</c:f>
              <c:numCache>
                <c:formatCode>General</c:formatCode>
                <c:ptCount val="8"/>
                <c:pt idx="0">
                  <c:v>1</c:v>
                </c:pt>
                <c:pt idx="1">
                  <c:v>2</c:v>
                </c:pt>
                <c:pt idx="2">
                  <c:v>3</c:v>
                </c:pt>
                <c:pt idx="3">
                  <c:v>4</c:v>
                </c:pt>
                <c:pt idx="4">
                  <c:v>5</c:v>
                </c:pt>
                <c:pt idx="5">
                  <c:v>6</c:v>
                </c:pt>
                <c:pt idx="6">
                  <c:v>7</c:v>
                </c:pt>
                <c:pt idx="7">
                  <c:v>8</c:v>
                </c:pt>
              </c:numCache>
            </c:numRef>
          </c:xVal>
          <c:yVal>
            <c:numRef>
              <c:f>'4. Change by percentage (20%)'!$N$36:$N$43</c:f>
              <c:numCache>
                <c:formatCode>General</c:formatCode>
                <c:ptCount val="8"/>
                <c:pt idx="0">
                  <c:v>-8.8817841970012523E-16</c:v>
                </c:pt>
                <c:pt idx="1">
                  <c:v>-8.8817841970012523E-16</c:v>
                </c:pt>
                <c:pt idx="2">
                  <c:v>-8.8817841970012523E-16</c:v>
                </c:pt>
                <c:pt idx="3">
                  <c:v>-8.8817841970012523E-16</c:v>
                </c:pt>
                <c:pt idx="4">
                  <c:v>-8.8817841970012523E-16</c:v>
                </c:pt>
                <c:pt idx="5">
                  <c:v>-1.7763568394002505E-15</c:v>
                </c:pt>
                <c:pt idx="6">
                  <c:v>-8.8817841970012523E-16</c:v>
                </c:pt>
                <c:pt idx="7">
                  <c:v>0</c:v>
                </c:pt>
              </c:numCache>
            </c:numRef>
          </c:yVal>
          <c:smooth val="0"/>
          <c:extLst>
            <c:ext xmlns:c16="http://schemas.microsoft.com/office/drawing/2014/chart" uri="{C3380CC4-5D6E-409C-BE32-E72D297353CC}">
              <c16:uniqueId val="{00000001-A10B-4E10-9D0E-4541C28F83B7}"/>
            </c:ext>
          </c:extLst>
        </c:ser>
        <c:dLbls>
          <c:showLegendKey val="0"/>
          <c:showVal val="0"/>
          <c:showCatName val="0"/>
          <c:showSerName val="0"/>
          <c:showPercent val="0"/>
          <c:showBubbleSize val="0"/>
        </c:dLbls>
        <c:axId val="170362127"/>
        <c:axId val="2051111807"/>
      </c:scatterChart>
      <c:valAx>
        <c:axId val="170362127"/>
        <c:scaling>
          <c:orientation val="minMax"/>
        </c:scaling>
        <c:delete val="0"/>
        <c:axPos val="b"/>
        <c:title>
          <c:tx>
            <c:rich>
              <a:bodyPr/>
              <a:lstStyle/>
              <a:p>
                <a:pPr>
                  <a:defRPr/>
                </a:pPr>
                <a:r>
                  <a:rPr lang="en-US"/>
                  <a:t>x1</a:t>
                </a:r>
              </a:p>
            </c:rich>
          </c:tx>
          <c:overlay val="0"/>
        </c:title>
        <c:numFmt formatCode="General" sourceLinked="1"/>
        <c:majorTickMark val="out"/>
        <c:minorTickMark val="none"/>
        <c:tickLblPos val="nextTo"/>
        <c:crossAx val="2051111807"/>
        <c:crosses val="autoZero"/>
        <c:crossBetween val="midCat"/>
      </c:valAx>
      <c:valAx>
        <c:axId val="205111180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036212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x1 Line Fit  Plot</a:t>
            </a:r>
          </a:p>
        </c:rich>
      </c:tx>
      <c:overlay val="0"/>
    </c:title>
    <c:autoTitleDeleted val="0"/>
    <c:plotArea>
      <c:layout/>
      <c:scatterChart>
        <c:scatterStyle val="lineMarker"/>
        <c:varyColors val="0"/>
        <c:ser>
          <c:idx val="0"/>
          <c:order val="0"/>
          <c:tx>
            <c:v>Log y observed</c:v>
          </c:tx>
          <c:spPr>
            <a:ln w="19050">
              <a:noFill/>
            </a:ln>
          </c:spPr>
          <c:xVal>
            <c:numRef>
              <c:f>'4. Change by percentage (20%)'!$M$2:$M$9</c:f>
              <c:numCache>
                <c:formatCode>General</c:formatCode>
                <c:ptCount val="8"/>
                <c:pt idx="0">
                  <c:v>1</c:v>
                </c:pt>
                <c:pt idx="1">
                  <c:v>2</c:v>
                </c:pt>
                <c:pt idx="2">
                  <c:v>3</c:v>
                </c:pt>
                <c:pt idx="3">
                  <c:v>4</c:v>
                </c:pt>
                <c:pt idx="4">
                  <c:v>5</c:v>
                </c:pt>
                <c:pt idx="5">
                  <c:v>6</c:v>
                </c:pt>
                <c:pt idx="6">
                  <c:v>7</c:v>
                </c:pt>
                <c:pt idx="7">
                  <c:v>8</c:v>
                </c:pt>
              </c:numCache>
            </c:numRef>
          </c:xVal>
          <c:yVal>
            <c:numRef>
              <c:f>'4. Change by percentage (20%)'!$N$2:$N$9</c:f>
              <c:numCache>
                <c:formatCode>General</c:formatCode>
                <c:ptCount val="8"/>
                <c:pt idx="0">
                  <c:v>6.396929251529043</c:v>
                </c:pt>
                <c:pt idx="1">
                  <c:v>6.5792507968173428</c:v>
                </c:pt>
                <c:pt idx="2">
                  <c:v>6.7615723421056435</c:v>
                </c:pt>
                <c:pt idx="3">
                  <c:v>6.9438938873939433</c:v>
                </c:pt>
                <c:pt idx="4">
                  <c:v>7.126215432682244</c:v>
                </c:pt>
                <c:pt idx="5">
                  <c:v>7.3085369779705438</c:v>
                </c:pt>
                <c:pt idx="6">
                  <c:v>7.4908585232588445</c:v>
                </c:pt>
                <c:pt idx="7">
                  <c:v>7.6731800685471452</c:v>
                </c:pt>
              </c:numCache>
            </c:numRef>
          </c:yVal>
          <c:smooth val="0"/>
          <c:extLst>
            <c:ext xmlns:c16="http://schemas.microsoft.com/office/drawing/2014/chart" uri="{C3380CC4-5D6E-409C-BE32-E72D297353CC}">
              <c16:uniqueId val="{00000001-4EE9-40C0-87C5-EED97BD687CC}"/>
            </c:ext>
          </c:extLst>
        </c:ser>
        <c:ser>
          <c:idx val="1"/>
          <c:order val="1"/>
          <c:tx>
            <c:v>Predicted Log y observed</c:v>
          </c:tx>
          <c:spPr>
            <a:ln w="19050">
              <a:noFill/>
            </a:ln>
          </c:spPr>
          <c:xVal>
            <c:numRef>
              <c:f>'4. Change by percentage (20%)'!$M$2:$M$9</c:f>
              <c:numCache>
                <c:formatCode>General</c:formatCode>
                <c:ptCount val="8"/>
                <c:pt idx="0">
                  <c:v>1</c:v>
                </c:pt>
                <c:pt idx="1">
                  <c:v>2</c:v>
                </c:pt>
                <c:pt idx="2">
                  <c:v>3</c:v>
                </c:pt>
                <c:pt idx="3">
                  <c:v>4</c:v>
                </c:pt>
                <c:pt idx="4">
                  <c:v>5</c:v>
                </c:pt>
                <c:pt idx="5">
                  <c:v>6</c:v>
                </c:pt>
                <c:pt idx="6">
                  <c:v>7</c:v>
                </c:pt>
                <c:pt idx="7">
                  <c:v>8</c:v>
                </c:pt>
              </c:numCache>
            </c:numRef>
          </c:xVal>
          <c:yVal>
            <c:numRef>
              <c:f>'4. Change by percentage (20%)'!$M$36:$M$43</c:f>
              <c:numCache>
                <c:formatCode>General</c:formatCode>
                <c:ptCount val="8"/>
                <c:pt idx="0">
                  <c:v>6.3969292515290404</c:v>
                </c:pt>
                <c:pt idx="1">
                  <c:v>6.5792507968173437</c:v>
                </c:pt>
                <c:pt idx="2">
                  <c:v>6.7615723421056444</c:v>
                </c:pt>
                <c:pt idx="3">
                  <c:v>6.9438938873939442</c:v>
                </c:pt>
                <c:pt idx="4">
                  <c:v>7.1262154326822449</c:v>
                </c:pt>
                <c:pt idx="5">
                  <c:v>7.3085369779705456</c:v>
                </c:pt>
                <c:pt idx="6">
                  <c:v>7.4908585232588454</c:v>
                </c:pt>
                <c:pt idx="7">
                  <c:v>7.6731800685471452</c:v>
                </c:pt>
              </c:numCache>
            </c:numRef>
          </c:yVal>
          <c:smooth val="0"/>
          <c:extLst>
            <c:ext xmlns:c16="http://schemas.microsoft.com/office/drawing/2014/chart" uri="{C3380CC4-5D6E-409C-BE32-E72D297353CC}">
              <c16:uniqueId val="{00000002-4EE9-40C0-87C5-EED97BD687CC}"/>
            </c:ext>
          </c:extLst>
        </c:ser>
        <c:dLbls>
          <c:showLegendKey val="0"/>
          <c:showVal val="0"/>
          <c:showCatName val="0"/>
          <c:showSerName val="0"/>
          <c:showPercent val="0"/>
          <c:showBubbleSize val="0"/>
        </c:dLbls>
        <c:axId val="170363055"/>
        <c:axId val="154190943"/>
      </c:scatterChart>
      <c:valAx>
        <c:axId val="170363055"/>
        <c:scaling>
          <c:orientation val="minMax"/>
        </c:scaling>
        <c:delete val="0"/>
        <c:axPos val="b"/>
        <c:title>
          <c:tx>
            <c:rich>
              <a:bodyPr/>
              <a:lstStyle/>
              <a:p>
                <a:pPr>
                  <a:defRPr/>
                </a:pPr>
                <a:r>
                  <a:rPr lang="en-US"/>
                  <a:t>x1</a:t>
                </a:r>
              </a:p>
            </c:rich>
          </c:tx>
          <c:overlay val="0"/>
        </c:title>
        <c:numFmt formatCode="General" sourceLinked="1"/>
        <c:majorTickMark val="out"/>
        <c:minorTickMark val="none"/>
        <c:tickLblPos val="nextTo"/>
        <c:crossAx val="154190943"/>
        <c:crosses val="autoZero"/>
        <c:crossBetween val="midCat"/>
      </c:valAx>
      <c:valAx>
        <c:axId val="154190943"/>
        <c:scaling>
          <c:orientation val="minMax"/>
        </c:scaling>
        <c:delete val="0"/>
        <c:axPos val="l"/>
        <c:title>
          <c:tx>
            <c:rich>
              <a:bodyPr/>
              <a:lstStyle/>
              <a:p>
                <a:pPr>
                  <a:defRPr/>
                </a:pPr>
                <a:r>
                  <a:rPr lang="en-US"/>
                  <a:t>Log y observed</a:t>
                </a:r>
              </a:p>
            </c:rich>
          </c:tx>
          <c:overlay val="0"/>
        </c:title>
        <c:numFmt formatCode="General" sourceLinked="1"/>
        <c:majorTickMark val="out"/>
        <c:minorTickMark val="none"/>
        <c:tickLblPos val="nextTo"/>
        <c:crossAx val="17036305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'4. Change by percentage (20%)'!$Q$36:$Q$43</c:f>
              <c:numCache>
                <c:formatCode>General</c:formatCode>
                <c:ptCount val="8"/>
                <c:pt idx="0">
                  <c:v>6.25</c:v>
                </c:pt>
                <c:pt idx="1">
                  <c:v>18.75</c:v>
                </c:pt>
                <c:pt idx="2">
                  <c:v>31.25</c:v>
                </c:pt>
                <c:pt idx="3">
                  <c:v>43.75</c:v>
                </c:pt>
                <c:pt idx="4">
                  <c:v>56.25</c:v>
                </c:pt>
                <c:pt idx="5">
                  <c:v>68.75</c:v>
                </c:pt>
                <c:pt idx="6">
                  <c:v>81.25</c:v>
                </c:pt>
                <c:pt idx="7">
                  <c:v>93.75</c:v>
                </c:pt>
              </c:numCache>
            </c:numRef>
          </c:xVal>
          <c:yVal>
            <c:numRef>
              <c:f>'4. Change by percentage (20%)'!$R$36:$R$43</c:f>
              <c:numCache>
                <c:formatCode>General</c:formatCode>
                <c:ptCount val="8"/>
                <c:pt idx="0">
                  <c:v>6.396929251529043</c:v>
                </c:pt>
                <c:pt idx="1">
                  <c:v>6.5792507968173428</c:v>
                </c:pt>
                <c:pt idx="2">
                  <c:v>6.7615723421056435</c:v>
                </c:pt>
                <c:pt idx="3">
                  <c:v>6.9438938873939433</c:v>
                </c:pt>
                <c:pt idx="4">
                  <c:v>7.126215432682244</c:v>
                </c:pt>
                <c:pt idx="5">
                  <c:v>7.3085369779705438</c:v>
                </c:pt>
                <c:pt idx="6">
                  <c:v>7.4908585232588445</c:v>
                </c:pt>
                <c:pt idx="7">
                  <c:v>7.6731800685471452</c:v>
                </c:pt>
              </c:numCache>
            </c:numRef>
          </c:yVal>
          <c:smooth val="0"/>
          <c:extLst>
            <c:ext xmlns:c16="http://schemas.microsoft.com/office/drawing/2014/chart" uri="{C3380CC4-5D6E-409C-BE32-E72D297353CC}">
              <c16:uniqueId val="{00000001-C726-4F10-8343-560438E5CC8F}"/>
            </c:ext>
          </c:extLst>
        </c:ser>
        <c:dLbls>
          <c:showLegendKey val="0"/>
          <c:showVal val="0"/>
          <c:showCatName val="0"/>
          <c:showSerName val="0"/>
          <c:showPercent val="0"/>
          <c:showBubbleSize val="0"/>
        </c:dLbls>
        <c:axId val="398075503"/>
        <c:axId val="579383247"/>
      </c:scatterChart>
      <c:valAx>
        <c:axId val="398075503"/>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579383247"/>
        <c:crosses val="autoZero"/>
        <c:crossBetween val="midCat"/>
      </c:valAx>
      <c:valAx>
        <c:axId val="579383247"/>
        <c:scaling>
          <c:orientation val="minMax"/>
        </c:scaling>
        <c:delete val="0"/>
        <c:axPos val="l"/>
        <c:title>
          <c:tx>
            <c:rich>
              <a:bodyPr/>
              <a:lstStyle/>
              <a:p>
                <a:pPr>
                  <a:defRPr/>
                </a:pPr>
                <a:r>
                  <a:rPr lang="en-US"/>
                  <a:t>Log y observed</a:t>
                </a:r>
              </a:p>
            </c:rich>
          </c:tx>
          <c:overlay val="0"/>
        </c:title>
        <c:numFmt formatCode="General" sourceLinked="1"/>
        <c:majorTickMark val="out"/>
        <c:minorTickMark val="none"/>
        <c:tickLblPos val="nextTo"/>
        <c:crossAx val="39807550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X1 Residual</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'4. Change by percentage (20%)'!$M$2:$M$9</c:f>
              <c:numCache>
                <c:formatCode>General</c:formatCode>
                <c:ptCount val="8"/>
                <c:pt idx="0">
                  <c:v>1</c:v>
                </c:pt>
                <c:pt idx="1">
                  <c:v>2</c:v>
                </c:pt>
                <c:pt idx="2">
                  <c:v>3</c:v>
                </c:pt>
                <c:pt idx="3">
                  <c:v>4</c:v>
                </c:pt>
                <c:pt idx="4">
                  <c:v>5</c:v>
                </c:pt>
                <c:pt idx="5">
                  <c:v>6</c:v>
                </c:pt>
                <c:pt idx="6">
                  <c:v>7</c:v>
                </c:pt>
                <c:pt idx="7">
                  <c:v>8</c:v>
                </c:pt>
              </c:numCache>
            </c:numRef>
          </c:xVal>
          <c:yVal>
            <c:numRef>
              <c:f>'4. Change by percentage (20%)'!$Q$2:$Q$9</c:f>
              <c:numCache>
                <c:formatCode>General</c:formatCode>
                <c:ptCount val="8"/>
                <c:pt idx="0">
                  <c:v>2.4221221474363119E-4</c:v>
                </c:pt>
                <c:pt idx="1">
                  <c:v>2.98938723176434E-4</c:v>
                </c:pt>
                <c:pt idx="2">
                  <c:v>3.6866734865270701E-4</c:v>
                </c:pt>
                <c:pt idx="3">
                  <c:v>4.5432987599269836E-4</c:v>
                </c:pt>
                <c:pt idx="4">
                  <c:v>5.5951071931303886E-4</c:v>
                </c:pt>
                <c:pt idx="5">
                  <c:v>6.8859070461257943E-4</c:v>
                </c:pt>
                <c:pt idx="6">
                  <c:v>8.4692225664184662E-4</c:v>
                </c:pt>
                <c:pt idx="7">
                  <c:v>1.0410428008071904E-3</c:v>
                </c:pt>
              </c:numCache>
            </c:numRef>
          </c:yVal>
          <c:smooth val="0"/>
          <c:extLst>
            <c:ext xmlns:c16="http://schemas.microsoft.com/office/drawing/2014/chart" uri="{C3380CC4-5D6E-409C-BE32-E72D297353CC}">
              <c16:uniqueId val="{00000000-2722-4B67-8DA8-6F98F796C111}"/>
            </c:ext>
          </c:extLst>
        </c:ser>
        <c:dLbls>
          <c:showLegendKey val="0"/>
          <c:showVal val="0"/>
          <c:showCatName val="0"/>
          <c:showSerName val="0"/>
          <c:showPercent val="0"/>
          <c:showBubbleSize val="0"/>
        </c:dLbls>
        <c:axId val="892674671"/>
        <c:axId val="1484835791"/>
      </c:scatterChart>
      <c:valAx>
        <c:axId val="89267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35791"/>
        <c:crosses val="autoZero"/>
        <c:crossBetween val="midCat"/>
      </c:valAx>
      <c:valAx>
        <c:axId val="148483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746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5" Type="http://schemas.openxmlformats.org/officeDocument/2006/relationships/chart" Target="../charts/chart24.xml"/><Relationship Id="rId4"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9.xml"/><Relationship Id="rId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2.xml"/><Relationship Id="rId7" Type="http://schemas.openxmlformats.org/officeDocument/2006/relationships/chart" Target="../charts/chart36.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5" Type="http://schemas.openxmlformats.org/officeDocument/2006/relationships/chart" Target="../charts/chart34.xml"/><Relationship Id="rId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6</xdr:col>
      <xdr:colOff>342900</xdr:colOff>
      <xdr:row>0</xdr:row>
      <xdr:rowOff>0</xdr:rowOff>
    </xdr:from>
    <xdr:to>
      <xdr:col>14</xdr:col>
      <xdr:colOff>38101</xdr:colOff>
      <xdr:row>14</xdr:row>
      <xdr:rowOff>76200</xdr:rowOff>
    </xdr:to>
    <xdr:graphicFrame macro="">
      <xdr:nvGraphicFramePr>
        <xdr:cNvPr id="2" name="Chart 1">
          <a:extLst>
            <a:ext uri="{FF2B5EF4-FFF2-40B4-BE49-F238E27FC236}">
              <a16:creationId xmlns:a16="http://schemas.microsoft.com/office/drawing/2014/main" id="{F097B012-A4B8-5D43-797B-F411B3C6A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209549</xdr:colOff>
      <xdr:row>15</xdr:row>
      <xdr:rowOff>142875</xdr:rowOff>
    </xdr:from>
    <xdr:to>
      <xdr:col>13</xdr:col>
      <xdr:colOff>209549</xdr:colOff>
      <xdr:row>25</xdr:row>
      <xdr:rowOff>154081</xdr:rowOff>
    </xdr:to>
    <xdr:graphicFrame macro="">
      <xdr:nvGraphicFramePr>
        <xdr:cNvPr id="16" name="Chart 15">
          <a:extLst>
            <a:ext uri="{FF2B5EF4-FFF2-40B4-BE49-F238E27FC236}">
              <a16:creationId xmlns:a16="http://schemas.microsoft.com/office/drawing/2014/main" id="{1616FB67-716C-9CA6-D52B-CD4707837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254373</xdr:colOff>
      <xdr:row>29</xdr:row>
      <xdr:rowOff>53226</xdr:rowOff>
    </xdr:from>
    <xdr:to>
      <xdr:col>18</xdr:col>
      <xdr:colOff>425823</xdr:colOff>
      <xdr:row>44</xdr:row>
      <xdr:rowOff>112058</xdr:rowOff>
    </xdr:to>
    <xdr:graphicFrame macro="">
      <xdr:nvGraphicFramePr>
        <xdr:cNvPr id="17" name="Chart 16">
          <a:extLst>
            <a:ext uri="{FF2B5EF4-FFF2-40B4-BE49-F238E27FC236}">
              <a16:creationId xmlns:a16="http://schemas.microsoft.com/office/drawing/2014/main" id="{E971FFB4-25E9-B920-9725-E6E7565B8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456080</xdr:colOff>
      <xdr:row>14</xdr:row>
      <xdr:rowOff>30816</xdr:rowOff>
    </xdr:from>
    <xdr:to>
      <xdr:col>20</xdr:col>
      <xdr:colOff>456080</xdr:colOff>
      <xdr:row>24</xdr:row>
      <xdr:rowOff>53228</xdr:rowOff>
    </xdr:to>
    <xdr:graphicFrame macro="">
      <xdr:nvGraphicFramePr>
        <xdr:cNvPr id="18" name="Chart 17">
          <a:extLst>
            <a:ext uri="{FF2B5EF4-FFF2-40B4-BE49-F238E27FC236}">
              <a16:creationId xmlns:a16="http://schemas.microsoft.com/office/drawing/2014/main" id="{0D95E79E-94A4-818F-D054-6760F74DC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582242</xdr:colOff>
      <xdr:row>3</xdr:row>
      <xdr:rowOff>133116</xdr:rowOff>
    </xdr:from>
    <xdr:to>
      <xdr:col>13</xdr:col>
      <xdr:colOff>113652</xdr:colOff>
      <xdr:row>11</xdr:row>
      <xdr:rowOff>58869</xdr:rowOff>
    </xdr:to>
    <xdr:sp macro="" textlink="">
      <xdr:nvSpPr>
        <xdr:cNvPr id="6" name="Arc 5">
          <a:extLst>
            <a:ext uri="{FF2B5EF4-FFF2-40B4-BE49-F238E27FC236}">
              <a16:creationId xmlns:a16="http://schemas.microsoft.com/office/drawing/2014/main" id="{B7A61AE4-8965-EFAB-0A74-B7C9D8C070B5}"/>
            </a:ext>
          </a:extLst>
        </xdr:cNvPr>
        <xdr:cNvSpPr/>
      </xdr:nvSpPr>
      <xdr:spPr>
        <a:xfrm rot="19188506">
          <a:off x="5657706" y="704616"/>
          <a:ext cx="3205339" cy="1449753"/>
        </a:xfrm>
        <a:custGeom>
          <a:avLst/>
          <a:gdLst>
            <a:gd name="connsiteX0" fmla="*/ 2871426 w 5742853"/>
            <a:gd name="connsiteY0" fmla="*/ 0 h 2234572"/>
            <a:gd name="connsiteX1" fmla="*/ 3983820 w 5742853"/>
            <a:gd name="connsiteY1" fmla="*/ 87247 h 2234572"/>
            <a:gd name="connsiteX2" fmla="*/ 5688236 w 5742853"/>
            <a:gd name="connsiteY2" fmla="*/ 1334164 h 2234572"/>
            <a:gd name="connsiteX3" fmla="*/ 2871427 w 5742853"/>
            <a:gd name="connsiteY3" fmla="*/ 1117286 h 2234572"/>
            <a:gd name="connsiteX4" fmla="*/ 2871426 w 5742853"/>
            <a:gd name="connsiteY4" fmla="*/ 0 h 2234572"/>
            <a:gd name="connsiteX0" fmla="*/ 2871426 w 5742853"/>
            <a:gd name="connsiteY0" fmla="*/ 0 h 2234572"/>
            <a:gd name="connsiteX1" fmla="*/ 3983820 w 5742853"/>
            <a:gd name="connsiteY1" fmla="*/ 87247 h 2234572"/>
            <a:gd name="connsiteX2" fmla="*/ 5688236 w 5742853"/>
            <a:gd name="connsiteY2" fmla="*/ 1334164 h 2234572"/>
            <a:gd name="connsiteX0" fmla="*/ 0 w 3205339"/>
            <a:gd name="connsiteY0" fmla="*/ 0 h 1449753"/>
            <a:gd name="connsiteX1" fmla="*/ 1112394 w 3205339"/>
            <a:gd name="connsiteY1" fmla="*/ 87247 h 1449753"/>
            <a:gd name="connsiteX2" fmla="*/ 2816810 w 3205339"/>
            <a:gd name="connsiteY2" fmla="*/ 1334164 h 1449753"/>
            <a:gd name="connsiteX3" fmla="*/ 1 w 3205339"/>
            <a:gd name="connsiteY3" fmla="*/ 1117286 h 1449753"/>
            <a:gd name="connsiteX4" fmla="*/ 0 w 3205339"/>
            <a:gd name="connsiteY4" fmla="*/ 0 h 1449753"/>
            <a:gd name="connsiteX0" fmla="*/ 0 w 3205339"/>
            <a:gd name="connsiteY0" fmla="*/ 0 h 1449753"/>
            <a:gd name="connsiteX1" fmla="*/ 1112394 w 3205339"/>
            <a:gd name="connsiteY1" fmla="*/ 87247 h 1449753"/>
            <a:gd name="connsiteX2" fmla="*/ 3164483 w 3205339"/>
            <a:gd name="connsiteY2" fmla="*/ 1449753 h 1449753"/>
          </a:gdLst>
          <a:ahLst/>
          <a:cxnLst>
            <a:cxn ang="0">
              <a:pos x="connsiteX0" y="connsiteY0"/>
            </a:cxn>
            <a:cxn ang="0">
              <a:pos x="connsiteX1" y="connsiteY1"/>
            </a:cxn>
            <a:cxn ang="0">
              <a:pos x="connsiteX2" y="connsiteY2"/>
            </a:cxn>
          </a:cxnLst>
          <a:rect l="l" t="t" r="r" b="b"/>
          <a:pathLst>
            <a:path w="3205339" h="1449753" stroke="0" extrusionOk="0">
              <a:moveTo>
                <a:pt x="0" y="0"/>
              </a:moveTo>
              <a:cubicBezTo>
                <a:pt x="382022" y="0"/>
                <a:pt x="760204" y="29662"/>
                <a:pt x="1112394" y="87247"/>
              </a:cubicBezTo>
              <a:cubicBezTo>
                <a:pt x="2369228" y="292749"/>
                <a:pt x="3081442" y="813791"/>
                <a:pt x="2816810" y="1334164"/>
              </a:cubicBezTo>
              <a:lnTo>
                <a:pt x="1" y="1117286"/>
              </a:lnTo>
              <a:cubicBezTo>
                <a:pt x="1" y="744857"/>
                <a:pt x="0" y="372429"/>
                <a:pt x="0" y="0"/>
              </a:cubicBezTo>
              <a:close/>
            </a:path>
            <a:path w="3205339" h="1449753" fill="none">
              <a:moveTo>
                <a:pt x="0" y="0"/>
              </a:moveTo>
              <a:cubicBezTo>
                <a:pt x="382022" y="0"/>
                <a:pt x="760204" y="29662"/>
                <a:pt x="1112394" y="87247"/>
              </a:cubicBezTo>
              <a:cubicBezTo>
                <a:pt x="2369228" y="292749"/>
                <a:pt x="3429115" y="929380"/>
                <a:pt x="3164483" y="1449753"/>
              </a:cubicBezTo>
            </a:path>
          </a:pathLst>
        </a:cu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504825</xdr:colOff>
      <xdr:row>0</xdr:row>
      <xdr:rowOff>161925</xdr:rowOff>
    </xdr:from>
    <xdr:to>
      <xdr:col>18</xdr:col>
      <xdr:colOff>104775</xdr:colOff>
      <xdr:row>9</xdr:row>
      <xdr:rowOff>161925</xdr:rowOff>
    </xdr:to>
    <xdr:graphicFrame macro="">
      <xdr:nvGraphicFramePr>
        <xdr:cNvPr id="29" name="Chart 28">
          <a:extLst>
            <a:ext uri="{FF2B5EF4-FFF2-40B4-BE49-F238E27FC236}">
              <a16:creationId xmlns:a16="http://schemas.microsoft.com/office/drawing/2014/main" id="{956E3AED-1565-E6F8-D990-62433F561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285750</xdr:colOff>
      <xdr:row>15</xdr:row>
      <xdr:rowOff>85725</xdr:rowOff>
    </xdr:from>
    <xdr:to>
      <xdr:col>11</xdr:col>
      <xdr:colOff>76200</xdr:colOff>
      <xdr:row>25</xdr:row>
      <xdr:rowOff>85725</xdr:rowOff>
    </xdr:to>
    <xdr:graphicFrame macro="">
      <xdr:nvGraphicFramePr>
        <xdr:cNvPr id="30" name="Chart 29">
          <a:extLst>
            <a:ext uri="{FF2B5EF4-FFF2-40B4-BE49-F238E27FC236}">
              <a16:creationId xmlns:a16="http://schemas.microsoft.com/office/drawing/2014/main" id="{3500C821-FFCE-EB78-2BC7-53C3FB4CC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552450</xdr:colOff>
      <xdr:row>12</xdr:row>
      <xdr:rowOff>142875</xdr:rowOff>
    </xdr:from>
    <xdr:to>
      <xdr:col>18</xdr:col>
      <xdr:colOff>552450</xdr:colOff>
      <xdr:row>22</xdr:row>
      <xdr:rowOff>161925</xdr:rowOff>
    </xdr:to>
    <xdr:graphicFrame macro="">
      <xdr:nvGraphicFramePr>
        <xdr:cNvPr id="31" name="Chart 30">
          <a:extLst>
            <a:ext uri="{FF2B5EF4-FFF2-40B4-BE49-F238E27FC236}">
              <a16:creationId xmlns:a16="http://schemas.microsoft.com/office/drawing/2014/main" id="{26A856FD-56CD-049D-F635-98D43CD2C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161925</xdr:colOff>
      <xdr:row>0</xdr:row>
      <xdr:rowOff>9525</xdr:rowOff>
    </xdr:from>
    <xdr:to>
      <xdr:col>11</xdr:col>
      <xdr:colOff>123825</xdr:colOff>
      <xdr:row>12</xdr:row>
      <xdr:rowOff>76200</xdr:rowOff>
    </xdr:to>
    <xdr:graphicFrame macro="">
      <xdr:nvGraphicFramePr>
        <xdr:cNvPr id="32" name="Chart 31">
          <a:extLst>
            <a:ext uri="{FF2B5EF4-FFF2-40B4-BE49-F238E27FC236}">
              <a16:creationId xmlns:a16="http://schemas.microsoft.com/office/drawing/2014/main" id="{891F2F92-1520-A88F-A49A-EB19DE8A2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304800</xdr:colOff>
      <xdr:row>25</xdr:row>
      <xdr:rowOff>9525</xdr:rowOff>
    </xdr:from>
    <xdr:to>
      <xdr:col>22</xdr:col>
      <xdr:colOff>304800</xdr:colOff>
      <xdr:row>35</xdr:row>
      <xdr:rowOff>9525</xdr:rowOff>
    </xdr:to>
    <xdr:graphicFrame macro="">
      <xdr:nvGraphicFramePr>
        <xdr:cNvPr id="33" name="Chart 32">
          <a:extLst>
            <a:ext uri="{FF2B5EF4-FFF2-40B4-BE49-F238E27FC236}">
              <a16:creationId xmlns:a16="http://schemas.microsoft.com/office/drawing/2014/main" id="{6BD3BD81-A9D2-F4F8-D0C8-19DA93639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495300</xdr:colOff>
      <xdr:row>33</xdr:row>
      <xdr:rowOff>57149</xdr:rowOff>
    </xdr:from>
    <xdr:to>
      <xdr:col>13</xdr:col>
      <xdr:colOff>9525</xdr:colOff>
      <xdr:row>41</xdr:row>
      <xdr:rowOff>66674</xdr:rowOff>
    </xdr:to>
    <xdr:sp macro="" textlink="">
      <xdr:nvSpPr>
        <xdr:cNvPr id="2" name="TextBox 1">
          <a:extLst>
            <a:ext uri="{FF2B5EF4-FFF2-40B4-BE49-F238E27FC236}">
              <a16:creationId xmlns:a16="http://schemas.microsoft.com/office/drawing/2014/main" id="{42394C4E-8852-AB71-BBA6-FD327BDB2251}"/>
            </a:ext>
          </a:extLst>
        </xdr:cNvPr>
        <xdr:cNvSpPr txBox="1"/>
      </xdr:nvSpPr>
      <xdr:spPr>
        <a:xfrm>
          <a:off x="7248525" y="6610349"/>
          <a:ext cx="1952625"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textbook says that since the p value is 0.002 is less than 0.05,</a:t>
          </a:r>
          <a:r>
            <a:rPr lang="en-US" sz="1100" baseline="0"/>
            <a:t> we can conlude that adding the month square to the model is signficiant.</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1009726</xdr:colOff>
      <xdr:row>9</xdr:row>
      <xdr:rowOff>67400</xdr:rowOff>
    </xdr:from>
    <xdr:to>
      <xdr:col>11</xdr:col>
      <xdr:colOff>1003644</xdr:colOff>
      <xdr:row>23</xdr:row>
      <xdr:rowOff>119666</xdr:rowOff>
    </xdr:to>
    <xdr:graphicFrame macro="">
      <xdr:nvGraphicFramePr>
        <xdr:cNvPr id="2" name="Chart 1">
          <a:extLst>
            <a:ext uri="{FF2B5EF4-FFF2-40B4-BE49-F238E27FC236}">
              <a16:creationId xmlns:a16="http://schemas.microsoft.com/office/drawing/2014/main" id="{921CD247-BA10-22A9-F054-71EA0F887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48091</xdr:colOff>
      <xdr:row>14</xdr:row>
      <xdr:rowOff>69318</xdr:rowOff>
    </xdr:from>
    <xdr:to>
      <xdr:col>6</xdr:col>
      <xdr:colOff>67141</xdr:colOff>
      <xdr:row>17</xdr:row>
      <xdr:rowOff>93009</xdr:rowOff>
    </xdr:to>
    <xdr:cxnSp macro="">
      <xdr:nvCxnSpPr>
        <xdr:cNvPr id="4" name="Straight Arrow Connector 3">
          <a:extLst>
            <a:ext uri="{FF2B5EF4-FFF2-40B4-BE49-F238E27FC236}">
              <a16:creationId xmlns:a16="http://schemas.microsoft.com/office/drawing/2014/main" id="{240977B5-FB70-A579-2BE0-2459B93BBCFC}"/>
            </a:ext>
          </a:extLst>
        </xdr:cNvPr>
        <xdr:cNvCxnSpPr/>
      </xdr:nvCxnSpPr>
      <xdr:spPr>
        <a:xfrm flipH="1">
          <a:off x="5998123" y="2914448"/>
          <a:ext cx="19050" cy="580347"/>
        </a:xfrm>
        <a:prstGeom prst="straightConnector1">
          <a:avLst/>
        </a:prstGeom>
        <a:ln>
          <a:headEnd type="triangle"/>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6</xdr:col>
      <xdr:colOff>202490</xdr:colOff>
      <xdr:row>12</xdr:row>
      <xdr:rowOff>155847</xdr:rowOff>
    </xdr:from>
    <xdr:to>
      <xdr:col>7</xdr:col>
      <xdr:colOff>296882</xdr:colOff>
      <xdr:row>14</xdr:row>
      <xdr:rowOff>160811</xdr:rowOff>
    </xdr:to>
    <xdr:sp macro="" textlink="">
      <xdr:nvSpPr>
        <xdr:cNvPr id="5" name="TextBox 4">
          <a:extLst>
            <a:ext uri="{FF2B5EF4-FFF2-40B4-BE49-F238E27FC236}">
              <a16:creationId xmlns:a16="http://schemas.microsoft.com/office/drawing/2014/main" id="{1AA18829-8E21-52E9-4F91-F652961285C2}"/>
            </a:ext>
          </a:extLst>
        </xdr:cNvPr>
        <xdr:cNvSpPr txBox="1"/>
      </xdr:nvSpPr>
      <xdr:spPr>
        <a:xfrm>
          <a:off x="6152522" y="2629873"/>
          <a:ext cx="675789" cy="376068"/>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Difference = 347</a:t>
          </a:r>
        </a:p>
        <a:p>
          <a:endParaRPr lang="en-US" sz="1100"/>
        </a:p>
      </xdr:txBody>
    </xdr:sp>
    <xdr:clientData/>
  </xdr:twoCellAnchor>
  <xdr:twoCellAnchor>
    <xdr:from>
      <xdr:col>4</xdr:col>
      <xdr:colOff>156860</xdr:colOff>
      <xdr:row>14</xdr:row>
      <xdr:rowOff>140945</xdr:rowOff>
    </xdr:from>
    <xdr:to>
      <xdr:col>5</xdr:col>
      <xdr:colOff>1071813</xdr:colOff>
      <xdr:row>21</xdr:row>
      <xdr:rowOff>93321</xdr:rowOff>
    </xdr:to>
    <xdr:sp macro="" textlink="">
      <xdr:nvSpPr>
        <xdr:cNvPr id="12" name="TextBox 11">
          <a:extLst>
            <a:ext uri="{FF2B5EF4-FFF2-40B4-BE49-F238E27FC236}">
              <a16:creationId xmlns:a16="http://schemas.microsoft.com/office/drawing/2014/main" id="{421A6AFC-D2D0-E532-BFCE-C24C3BD23363}"/>
            </a:ext>
          </a:extLst>
        </xdr:cNvPr>
        <xdr:cNvSpPr txBox="1"/>
      </xdr:nvSpPr>
      <xdr:spPr>
        <a:xfrm>
          <a:off x="3475571" y="3048577"/>
          <a:ext cx="1326031" cy="1305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plot shows the interaction between advertising expenditure and price</a:t>
          </a:r>
          <a:r>
            <a:rPr lang="en-US" sz="1100" baseline="0"/>
            <a:t> for the unit sales.</a:t>
          </a:r>
        </a:p>
        <a:p>
          <a:endParaRPr lang="en-US" sz="1100" baseline="0"/>
        </a:p>
      </xdr:txBody>
    </xdr:sp>
    <xdr:clientData/>
  </xdr:twoCellAnchor>
  <xdr:twoCellAnchor editAs="oneCell">
    <xdr:from>
      <xdr:col>11</xdr:col>
      <xdr:colOff>355394</xdr:colOff>
      <xdr:row>0</xdr:row>
      <xdr:rowOff>297380</xdr:rowOff>
    </xdr:from>
    <xdr:to>
      <xdr:col>12</xdr:col>
      <xdr:colOff>86591</xdr:colOff>
      <xdr:row>7</xdr:row>
      <xdr:rowOff>111332</xdr:rowOff>
    </xdr:to>
    <mc:AlternateContent xmlns:mc="http://schemas.openxmlformats.org/markup-compatibility/2006" xmlns:a14="http://schemas.microsoft.com/office/drawing/2010/main">
      <mc:Choice Requires="a14">
        <xdr:graphicFrame macro="">
          <xdr:nvGraphicFramePr>
            <xdr:cNvPr id="3" name="Advertising Expenditure ($1000s)">
              <a:extLst>
                <a:ext uri="{FF2B5EF4-FFF2-40B4-BE49-F238E27FC236}">
                  <a16:creationId xmlns:a16="http://schemas.microsoft.com/office/drawing/2014/main" id="{77FE4662-74B0-0BF2-7738-2E036F41A8F6}"/>
                </a:ext>
              </a:extLst>
            </xdr:cNvPr>
            <xdr:cNvGraphicFramePr/>
          </xdr:nvGraphicFramePr>
          <xdr:xfrm>
            <a:off x="0" y="0"/>
            <a:ext cx="0" cy="0"/>
          </xdr:xfrm>
          <a:graphic>
            <a:graphicData uri="http://schemas.microsoft.com/office/drawing/2010/slicer">
              <sle:slicer xmlns:sle="http://schemas.microsoft.com/office/drawing/2010/slicer" name="Advertising Expenditure ($1000s)"/>
            </a:graphicData>
          </a:graphic>
        </xdr:graphicFrame>
      </mc:Choice>
      <mc:Fallback xmlns="">
        <xdr:sp macro="" textlink="">
          <xdr:nvSpPr>
            <xdr:cNvPr id="0" name=""/>
            <xdr:cNvSpPr>
              <a:spLocks noTextEdit="1"/>
            </xdr:cNvSpPr>
          </xdr:nvSpPr>
          <xdr:spPr>
            <a:xfrm>
              <a:off x="9039225" y="297380"/>
              <a:ext cx="1574346" cy="1360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414337</xdr:colOff>
      <xdr:row>0</xdr:row>
      <xdr:rowOff>176212</xdr:rowOff>
    </xdr:from>
    <xdr:to>
      <xdr:col>11</xdr:col>
      <xdr:colOff>109537</xdr:colOff>
      <xdr:row>11</xdr:row>
      <xdr:rowOff>61912</xdr:rowOff>
    </xdr:to>
    <xdr:graphicFrame macro="">
      <xdr:nvGraphicFramePr>
        <xdr:cNvPr id="2" name="Chart 1">
          <a:extLst>
            <a:ext uri="{FF2B5EF4-FFF2-40B4-BE49-F238E27FC236}">
              <a16:creationId xmlns:a16="http://schemas.microsoft.com/office/drawing/2014/main" id="{E348D3E5-38AB-69AA-2672-EDD433C03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404812</xdr:colOff>
      <xdr:row>11</xdr:row>
      <xdr:rowOff>166687</xdr:rowOff>
    </xdr:from>
    <xdr:to>
      <xdr:col>11</xdr:col>
      <xdr:colOff>100012</xdr:colOff>
      <xdr:row>26</xdr:row>
      <xdr:rowOff>52387</xdr:rowOff>
    </xdr:to>
    <xdr:graphicFrame macro="">
      <xdr:nvGraphicFramePr>
        <xdr:cNvPr id="4" name="Chart 3">
          <a:extLst>
            <a:ext uri="{FF2B5EF4-FFF2-40B4-BE49-F238E27FC236}">
              <a16:creationId xmlns:a16="http://schemas.microsoft.com/office/drawing/2014/main" id="{E131A881-2105-D285-0F88-D4C55DCC1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419100</xdr:colOff>
      <xdr:row>0</xdr:row>
      <xdr:rowOff>0</xdr:rowOff>
    </xdr:from>
    <xdr:to>
      <xdr:col>21</xdr:col>
      <xdr:colOff>419100</xdr:colOff>
      <xdr:row>10</xdr:row>
      <xdr:rowOff>0</xdr:rowOff>
    </xdr:to>
    <xdr:graphicFrame macro="">
      <xdr:nvGraphicFramePr>
        <xdr:cNvPr id="2" name="Chart 1">
          <a:extLst>
            <a:ext uri="{FF2B5EF4-FFF2-40B4-BE49-F238E27FC236}">
              <a16:creationId xmlns:a16="http://schemas.microsoft.com/office/drawing/2014/main" id="{D50A22CB-C1D9-A518-C3CD-A3046D1B0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438150</xdr:colOff>
      <xdr:row>10</xdr:row>
      <xdr:rowOff>123825</xdr:rowOff>
    </xdr:from>
    <xdr:to>
      <xdr:col>21</xdr:col>
      <xdr:colOff>590550</xdr:colOff>
      <xdr:row>21</xdr:row>
      <xdr:rowOff>38100</xdr:rowOff>
    </xdr:to>
    <xdr:graphicFrame macro="">
      <xdr:nvGraphicFramePr>
        <xdr:cNvPr id="3" name="Chart 2">
          <a:extLst>
            <a:ext uri="{FF2B5EF4-FFF2-40B4-BE49-F238E27FC236}">
              <a16:creationId xmlns:a16="http://schemas.microsoft.com/office/drawing/2014/main" id="{0078141F-2081-C37F-4B08-6F7234DB6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371474</xdr:colOff>
      <xdr:row>34</xdr:row>
      <xdr:rowOff>95250</xdr:rowOff>
    </xdr:from>
    <xdr:to>
      <xdr:col>22</xdr:col>
      <xdr:colOff>304799</xdr:colOff>
      <xdr:row>47</xdr:row>
      <xdr:rowOff>161925</xdr:rowOff>
    </xdr:to>
    <xdr:graphicFrame macro="">
      <xdr:nvGraphicFramePr>
        <xdr:cNvPr id="4" name="Chart 3">
          <a:extLst>
            <a:ext uri="{FF2B5EF4-FFF2-40B4-BE49-F238E27FC236}">
              <a16:creationId xmlns:a16="http://schemas.microsoft.com/office/drawing/2014/main" id="{F4E24FC9-437E-5BC9-06E5-902784B34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466725</xdr:colOff>
      <xdr:row>22</xdr:row>
      <xdr:rowOff>76200</xdr:rowOff>
    </xdr:from>
    <xdr:to>
      <xdr:col>21</xdr:col>
      <xdr:colOff>466725</xdr:colOff>
      <xdr:row>32</xdr:row>
      <xdr:rowOff>104775</xdr:rowOff>
    </xdr:to>
    <xdr:graphicFrame macro="">
      <xdr:nvGraphicFramePr>
        <xdr:cNvPr id="5" name="Chart 4">
          <a:extLst>
            <a:ext uri="{FF2B5EF4-FFF2-40B4-BE49-F238E27FC236}">
              <a16:creationId xmlns:a16="http://schemas.microsoft.com/office/drawing/2014/main" id="{1717950A-83C8-B11B-9E39-6522255D9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85725</xdr:colOff>
      <xdr:row>24</xdr:row>
      <xdr:rowOff>142874</xdr:rowOff>
    </xdr:from>
    <xdr:to>
      <xdr:col>30</xdr:col>
      <xdr:colOff>542925</xdr:colOff>
      <xdr:row>40</xdr:row>
      <xdr:rowOff>9524</xdr:rowOff>
    </xdr:to>
    <xdr:graphicFrame macro="">
      <xdr:nvGraphicFramePr>
        <xdr:cNvPr id="6" name="Chart 5">
          <a:extLst>
            <a:ext uri="{FF2B5EF4-FFF2-40B4-BE49-F238E27FC236}">
              <a16:creationId xmlns:a16="http://schemas.microsoft.com/office/drawing/2014/main" id="{E87AC5D6-8D91-DA53-A17D-1B2DB8269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533400</xdr:colOff>
      <xdr:row>9</xdr:row>
      <xdr:rowOff>123826</xdr:rowOff>
    </xdr:from>
    <xdr:to>
      <xdr:col>29</xdr:col>
      <xdr:colOff>342900</xdr:colOff>
      <xdr:row>20</xdr:row>
      <xdr:rowOff>142876</xdr:rowOff>
    </xdr:to>
    <xdr:graphicFrame macro="">
      <xdr:nvGraphicFramePr>
        <xdr:cNvPr id="7" name="Chart 6">
          <a:extLst>
            <a:ext uri="{FF2B5EF4-FFF2-40B4-BE49-F238E27FC236}">
              <a16:creationId xmlns:a16="http://schemas.microsoft.com/office/drawing/2014/main" id="{BA2E69F9-EA4B-0C81-CAB0-7A5B2A943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19049</xdr:colOff>
      <xdr:row>0</xdr:row>
      <xdr:rowOff>57150</xdr:rowOff>
    </xdr:from>
    <xdr:to>
      <xdr:col>29</xdr:col>
      <xdr:colOff>371474</xdr:colOff>
      <xdr:row>8</xdr:row>
      <xdr:rowOff>66675</xdr:rowOff>
    </xdr:to>
    <xdr:graphicFrame macro="">
      <xdr:nvGraphicFramePr>
        <xdr:cNvPr id="8" name="Chart 7">
          <a:extLst>
            <a:ext uri="{FF2B5EF4-FFF2-40B4-BE49-F238E27FC236}">
              <a16:creationId xmlns:a16="http://schemas.microsoft.com/office/drawing/2014/main" id="{26883656-3D82-315B-6BD3-F99790116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114300</xdr:colOff>
      <xdr:row>20</xdr:row>
      <xdr:rowOff>180974</xdr:rowOff>
    </xdr:from>
    <xdr:to>
      <xdr:col>15</xdr:col>
      <xdr:colOff>447675</xdr:colOff>
      <xdr:row>29</xdr:row>
      <xdr:rowOff>104774</xdr:rowOff>
    </xdr:to>
    <xdr:sp macro="" textlink="">
      <xdr:nvSpPr>
        <xdr:cNvPr id="9" name="TextBox 8">
          <a:extLst>
            <a:ext uri="{FF2B5EF4-FFF2-40B4-BE49-F238E27FC236}">
              <a16:creationId xmlns:a16="http://schemas.microsoft.com/office/drawing/2014/main" id="{B2E9D40C-FC03-3FC0-56F9-3E9D36F10B84}"/>
            </a:ext>
          </a:extLst>
        </xdr:cNvPr>
        <xdr:cNvSpPr txBox="1"/>
      </xdr:nvSpPr>
      <xdr:spPr>
        <a:xfrm>
          <a:off x="10544175" y="4600574"/>
          <a:ext cx="2162175" cy="164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Since the t test for x1(x2)</a:t>
          </a:r>
          <a:r>
            <a:rPr lang="en-US" sz="1100" baseline="0"/>
            <a:t> is 0.0000... we can conclude that the interaction is significant given the linear effect of the price of the product and the advertising expenditure. Thus, the regression results show that the effect of advertising expenditure on sales depends on the price. </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xdr:colOff>
      <xdr:row>0</xdr:row>
      <xdr:rowOff>33337</xdr:rowOff>
    </xdr:from>
    <xdr:to>
      <xdr:col>12</xdr:col>
      <xdr:colOff>323850</xdr:colOff>
      <xdr:row>14</xdr:row>
      <xdr:rowOff>109537</xdr:rowOff>
    </xdr:to>
    <xdr:graphicFrame macro="">
      <xdr:nvGraphicFramePr>
        <xdr:cNvPr id="2" name="Chart 1">
          <a:extLst>
            <a:ext uri="{FF2B5EF4-FFF2-40B4-BE49-F238E27FC236}">
              <a16:creationId xmlns:a16="http://schemas.microsoft.com/office/drawing/2014/main" id="{5078C685-389B-DF43-819E-D9DC06950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238125</xdr:colOff>
      <xdr:row>15</xdr:row>
      <xdr:rowOff>180975</xdr:rowOff>
    </xdr:from>
    <xdr:to>
      <xdr:col>15</xdr:col>
      <xdr:colOff>238125</xdr:colOff>
      <xdr:row>25</xdr:row>
      <xdr:rowOff>180975</xdr:rowOff>
    </xdr:to>
    <xdr:graphicFrame macro="">
      <xdr:nvGraphicFramePr>
        <xdr:cNvPr id="3" name="Chart 2">
          <a:extLst>
            <a:ext uri="{FF2B5EF4-FFF2-40B4-BE49-F238E27FC236}">
              <a16:creationId xmlns:a16="http://schemas.microsoft.com/office/drawing/2014/main" id="{801A90E1-3222-21FD-C763-644C82B22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26</xdr:row>
      <xdr:rowOff>85725</xdr:rowOff>
    </xdr:from>
    <xdr:to>
      <xdr:col>15</xdr:col>
      <xdr:colOff>171450</xdr:colOff>
      <xdr:row>36</xdr:row>
      <xdr:rowOff>76200</xdr:rowOff>
    </xdr:to>
    <xdr:graphicFrame macro="">
      <xdr:nvGraphicFramePr>
        <xdr:cNvPr id="4" name="Chart 3">
          <a:extLst>
            <a:ext uri="{FF2B5EF4-FFF2-40B4-BE49-F238E27FC236}">
              <a16:creationId xmlns:a16="http://schemas.microsoft.com/office/drawing/2014/main" id="{F205F833-348B-46A4-74A7-2B8FCC9BF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285750</xdr:colOff>
      <xdr:row>25</xdr:row>
      <xdr:rowOff>152400</xdr:rowOff>
    </xdr:from>
    <xdr:to>
      <xdr:col>22</xdr:col>
      <xdr:colOff>285750</xdr:colOff>
      <xdr:row>35</xdr:row>
      <xdr:rowOff>152400</xdr:rowOff>
    </xdr:to>
    <xdr:graphicFrame macro="">
      <xdr:nvGraphicFramePr>
        <xdr:cNvPr id="5" name="Chart 4">
          <a:extLst>
            <a:ext uri="{FF2B5EF4-FFF2-40B4-BE49-F238E27FC236}">
              <a16:creationId xmlns:a16="http://schemas.microsoft.com/office/drawing/2014/main" id="{F66162D8-90C7-85A3-2E94-D6ABBED26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466725</xdr:colOff>
      <xdr:row>36</xdr:row>
      <xdr:rowOff>142875</xdr:rowOff>
    </xdr:from>
    <xdr:to>
      <xdr:col>23</xdr:col>
      <xdr:colOff>457200</xdr:colOff>
      <xdr:row>52</xdr:row>
      <xdr:rowOff>123825</xdr:rowOff>
    </xdr:to>
    <xdr:sp macro="" textlink="">
      <xdr:nvSpPr>
        <xdr:cNvPr id="7" name="TextBox 6">
          <a:extLst>
            <a:ext uri="{FF2B5EF4-FFF2-40B4-BE49-F238E27FC236}">
              <a16:creationId xmlns:a16="http://schemas.microsoft.com/office/drawing/2014/main" id="{62E46CCA-134F-6E26-9F58-BF9B7E6BD9D0}"/>
            </a:ext>
          </a:extLst>
        </xdr:cNvPr>
        <xdr:cNvSpPr txBox="1"/>
      </xdr:nvSpPr>
      <xdr:spPr>
        <a:xfrm>
          <a:off x="10829925" y="7058025"/>
          <a:ext cx="4257675" cy="30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a:t>
          </a:r>
          <a:r>
            <a:rPr lang="en-US" sz="1100" baseline="0"/>
            <a:t> have to make this plot myself, but this is with excel standardized residuals which are calculated differently than the textbooks. Dont feel like calculating it as they are similar</a:t>
          </a:r>
          <a:r>
            <a:rPr lang="en-US" sz="1100" baseline="0">
              <a:solidFill>
                <a:srgbClr val="FFFF00"/>
              </a:solidFill>
            </a:rPr>
            <a:t>. </a:t>
          </a:r>
          <a:r>
            <a:rPr lang="en-US" sz="1100" b="1" baseline="0">
              <a:solidFill>
                <a:sysClr val="windowText" lastClr="000000"/>
              </a:solidFill>
            </a:rPr>
            <a:t>This shows increase variability as the value of y prediction increases.</a:t>
          </a:r>
        </a:p>
        <a:p>
          <a:r>
            <a:rPr lang="en-US" b="1">
              <a:solidFill>
                <a:sysClr val="windowText" lastClr="000000"/>
              </a:solidFill>
            </a:rPr>
            <a:t>We are not justified in reaching any conclusions about the statistical significance of the resulting estimated regression equation when the underlying assumptions for the tests of significance do not appear to be satisfied.</a:t>
          </a:r>
        </a:p>
        <a:p>
          <a:r>
            <a:rPr lang="en-US"/>
            <a:t>Often the problem of nonconstant variance can be corrected by </a:t>
          </a:r>
          <a:r>
            <a:rPr lang="en-US" sz="1100" baseline="0">
              <a:solidFill>
                <a:sysClr val="windowText" lastClr="000000"/>
              </a:solidFill>
              <a:latin typeface="+mn-lt"/>
              <a:ea typeface="+mn-ea"/>
              <a:cs typeface="+mn-cs"/>
            </a:rPr>
            <a:t>transforming</a:t>
          </a:r>
          <a:r>
            <a:rPr lang="en-US"/>
            <a:t> the dependent variable to a different scale. For instance, if we work with the logarithm of the dependent variable instead of the original dependent variable, the effect will be to compress the values of the dependent variable and thus diminish the effects of nonconstant variance. Most statistical packages provide the ability to apply logarithmic transformations using either the base 10 (common logarithm) or the base e 2.71828 . . . (natural logarithm).</a:t>
          </a:r>
          <a:endParaRPr lang="en-US" sz="1100" baseline="0"/>
        </a:p>
      </xdr:txBody>
    </xdr:sp>
    <xdr:clientData/>
  </xdr:twoCellAnchor>
  <xdr:twoCellAnchor>
    <xdr:from>
      <xdr:col>9</xdr:col>
      <xdr:colOff>138112</xdr:colOff>
      <xdr:row>37</xdr:row>
      <xdr:rowOff>157162</xdr:rowOff>
    </xdr:from>
    <xdr:to>
      <xdr:col>16</xdr:col>
      <xdr:colOff>442912</xdr:colOff>
      <xdr:row>52</xdr:row>
      <xdr:rowOff>23812</xdr:rowOff>
    </xdr:to>
    <xdr:graphicFrame macro="">
      <xdr:nvGraphicFramePr>
        <xdr:cNvPr id="9" name="Chart 8">
          <a:extLst>
            <a:ext uri="{FF2B5EF4-FFF2-40B4-BE49-F238E27FC236}">
              <a16:creationId xmlns:a16="http://schemas.microsoft.com/office/drawing/2014/main" id="{A084E5E3-0D23-E03B-13C2-CADD092E7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314325</xdr:colOff>
      <xdr:row>1</xdr:row>
      <xdr:rowOff>38100</xdr:rowOff>
    </xdr:from>
    <xdr:to>
      <xdr:col>15</xdr:col>
      <xdr:colOff>314325</xdr:colOff>
      <xdr:row>11</xdr:row>
      <xdr:rowOff>66675</xdr:rowOff>
    </xdr:to>
    <xdr:graphicFrame macro="">
      <xdr:nvGraphicFramePr>
        <xdr:cNvPr id="2" name="Chart 1">
          <a:extLst>
            <a:ext uri="{FF2B5EF4-FFF2-40B4-BE49-F238E27FC236}">
              <a16:creationId xmlns:a16="http://schemas.microsoft.com/office/drawing/2014/main" id="{BFE83B38-8C69-3701-4B2B-9203087C5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238125</xdr:colOff>
      <xdr:row>17</xdr:row>
      <xdr:rowOff>180975</xdr:rowOff>
    </xdr:from>
    <xdr:to>
      <xdr:col>16</xdr:col>
      <xdr:colOff>238125</xdr:colOff>
      <xdr:row>27</xdr:row>
      <xdr:rowOff>180975</xdr:rowOff>
    </xdr:to>
    <xdr:graphicFrame macro="">
      <xdr:nvGraphicFramePr>
        <xdr:cNvPr id="3" name="Chart 2">
          <a:extLst>
            <a:ext uri="{FF2B5EF4-FFF2-40B4-BE49-F238E27FC236}">
              <a16:creationId xmlns:a16="http://schemas.microsoft.com/office/drawing/2014/main" id="{83F3BE3A-F775-8068-E477-9B255BE84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xdr:colOff>
      <xdr:row>29</xdr:row>
      <xdr:rowOff>28575</xdr:rowOff>
    </xdr:from>
    <xdr:to>
      <xdr:col>16</xdr:col>
      <xdr:colOff>47625</xdr:colOff>
      <xdr:row>39</xdr:row>
      <xdr:rowOff>28575</xdr:rowOff>
    </xdr:to>
    <xdr:graphicFrame macro="">
      <xdr:nvGraphicFramePr>
        <xdr:cNvPr id="4" name="Chart 3">
          <a:extLst>
            <a:ext uri="{FF2B5EF4-FFF2-40B4-BE49-F238E27FC236}">
              <a16:creationId xmlns:a16="http://schemas.microsoft.com/office/drawing/2014/main" id="{C9D5980E-38D5-2A5D-8D03-3ECD352F4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395287</xdr:colOff>
      <xdr:row>39</xdr:row>
      <xdr:rowOff>157162</xdr:rowOff>
    </xdr:from>
    <xdr:to>
      <xdr:col>16</xdr:col>
      <xdr:colOff>305519</xdr:colOff>
      <xdr:row>54</xdr:row>
      <xdr:rowOff>33337</xdr:rowOff>
    </xdr:to>
    <xdr:graphicFrame macro="">
      <xdr:nvGraphicFramePr>
        <xdr:cNvPr id="5" name="Chart 4">
          <a:extLst>
            <a:ext uri="{FF2B5EF4-FFF2-40B4-BE49-F238E27FC236}">
              <a16:creationId xmlns:a16="http://schemas.microsoft.com/office/drawing/2014/main" id="{1DE82CCE-E5AA-B8C5-02E7-E7DC77F46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557122</xdr:colOff>
      <xdr:row>40</xdr:row>
      <xdr:rowOff>3236</xdr:rowOff>
    </xdr:from>
    <xdr:to>
      <xdr:col>23</xdr:col>
      <xdr:colOff>161745</xdr:colOff>
      <xdr:row>53</xdr:row>
      <xdr:rowOff>275328</xdr:rowOff>
    </xdr:to>
    <xdr:graphicFrame macro="">
      <xdr:nvGraphicFramePr>
        <xdr:cNvPr id="6" name="Chart 5">
          <a:extLst>
            <a:ext uri="{FF2B5EF4-FFF2-40B4-BE49-F238E27FC236}">
              <a16:creationId xmlns:a16="http://schemas.microsoft.com/office/drawing/2014/main" id="{7B624426-148A-97EC-5ED3-7AC79552C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28</xdr:col>
      <xdr:colOff>221019</xdr:colOff>
      <xdr:row>0</xdr:row>
      <xdr:rowOff>718652</xdr:rowOff>
    </xdr:from>
    <xdr:to>
      <xdr:col>34</xdr:col>
      <xdr:colOff>524847</xdr:colOff>
      <xdr:row>9</xdr:row>
      <xdr:rowOff>190694</xdr:rowOff>
    </xdr:to>
    <xdr:sp macro="" textlink="">
      <xdr:nvSpPr>
        <xdr:cNvPr id="2" name="TextBox 1">
          <a:extLst>
            <a:ext uri="{FF2B5EF4-FFF2-40B4-BE49-F238E27FC236}">
              <a16:creationId xmlns:a16="http://schemas.microsoft.com/office/drawing/2014/main" id="{7C44825B-7A1F-0F9A-C971-4218C27A49C9}"/>
            </a:ext>
          </a:extLst>
        </xdr:cNvPr>
        <xdr:cNvSpPr txBox="1"/>
      </xdr:nvSpPr>
      <xdr:spPr>
        <a:xfrm>
          <a:off x="21282932" y="718652"/>
          <a:ext cx="3977757" cy="1765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that this is a linear model with just x1</a:t>
          </a:r>
          <a:r>
            <a:rPr lang="en-US" sz="1100" baseline="0"/>
            <a:t> as an independent and observed as y.</a:t>
          </a:r>
        </a:p>
        <a:p>
          <a:endParaRPr lang="en-US" sz="1100" baseline="0"/>
        </a:p>
        <a:p>
          <a:r>
            <a:rPr lang="en-US" sz="1100" baseline="0"/>
            <a:t>So for the regression </a:t>
          </a:r>
          <a:r>
            <a:rPr lang="en-US" sz="1100" baseline="0">
              <a:solidFill>
                <a:schemeClr val="accent6">
                  <a:lumMod val="75000"/>
                </a:schemeClr>
              </a:solidFill>
            </a:rPr>
            <a:t>good </a:t>
          </a:r>
          <a:r>
            <a:rPr lang="en-US" sz="1100" baseline="0"/>
            <a:t>model only input x1, and log y observed, where log y observed is equal to log bo +log b1 * x1.</a:t>
          </a:r>
        </a:p>
        <a:p>
          <a:endParaRPr lang="en-US" sz="1100" baseline="0"/>
        </a:p>
        <a:p>
          <a:r>
            <a:rPr lang="en-US" sz="1100" baseline="0"/>
            <a:t>A linear regression: y hat = bo + b1(x1)</a:t>
          </a:r>
        </a:p>
        <a:p>
          <a:endParaRPr lang="en-US" sz="1100" baseline="0"/>
        </a:p>
        <a:p>
          <a:r>
            <a:rPr lang="en-US" sz="1100" baseline="0"/>
            <a:t>Multiple Regression: Y hat = b0 + b1(x1)+b2(x2)...bp(xp)</a:t>
          </a:r>
        </a:p>
      </xdr:txBody>
    </xdr:sp>
    <xdr:clientData/>
  </xdr:twoCellAnchor>
  <xdr:twoCellAnchor>
    <xdr:from>
      <xdr:col>2</xdr:col>
      <xdr:colOff>371475</xdr:colOff>
      <xdr:row>12</xdr:row>
      <xdr:rowOff>9525</xdr:rowOff>
    </xdr:from>
    <xdr:to>
      <xdr:col>10</xdr:col>
      <xdr:colOff>285750</xdr:colOff>
      <xdr:row>22</xdr:row>
      <xdr:rowOff>19050</xdr:rowOff>
    </xdr:to>
    <xdr:graphicFrame macro="">
      <xdr:nvGraphicFramePr>
        <xdr:cNvPr id="3" name="Chart 2">
          <a:extLst>
            <a:ext uri="{FF2B5EF4-FFF2-40B4-BE49-F238E27FC236}">
              <a16:creationId xmlns:a16="http://schemas.microsoft.com/office/drawing/2014/main" id="{C3880EAB-A350-261C-FDC1-DF7E6C7A2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46</xdr:row>
      <xdr:rowOff>28575</xdr:rowOff>
    </xdr:from>
    <xdr:to>
      <xdr:col>9</xdr:col>
      <xdr:colOff>342900</xdr:colOff>
      <xdr:row>60</xdr:row>
      <xdr:rowOff>0</xdr:rowOff>
    </xdr:to>
    <xdr:graphicFrame macro="">
      <xdr:nvGraphicFramePr>
        <xdr:cNvPr id="4" name="Chart 3">
          <a:extLst>
            <a:ext uri="{FF2B5EF4-FFF2-40B4-BE49-F238E27FC236}">
              <a16:creationId xmlns:a16="http://schemas.microsoft.com/office/drawing/2014/main" id="{1EF81D40-E0DF-DBE6-1528-C76A7B6F7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46</xdr:row>
      <xdr:rowOff>0</xdr:rowOff>
    </xdr:from>
    <xdr:to>
      <xdr:col>3</xdr:col>
      <xdr:colOff>314325</xdr:colOff>
      <xdr:row>56</xdr:row>
      <xdr:rowOff>28575</xdr:rowOff>
    </xdr:to>
    <xdr:graphicFrame macro="">
      <xdr:nvGraphicFramePr>
        <xdr:cNvPr id="5" name="Chart 4">
          <a:extLst>
            <a:ext uri="{FF2B5EF4-FFF2-40B4-BE49-F238E27FC236}">
              <a16:creationId xmlns:a16="http://schemas.microsoft.com/office/drawing/2014/main" id="{FBF7ADA8-93A0-A678-F982-8F58CA8FA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257175</xdr:colOff>
      <xdr:row>43</xdr:row>
      <xdr:rowOff>133350</xdr:rowOff>
    </xdr:from>
    <xdr:to>
      <xdr:col>14</xdr:col>
      <xdr:colOff>866775</xdr:colOff>
      <xdr:row>53</xdr:row>
      <xdr:rowOff>142875</xdr:rowOff>
    </xdr:to>
    <xdr:sp macro="" textlink="">
      <xdr:nvSpPr>
        <xdr:cNvPr id="21" name="TextBox 20">
          <a:extLst>
            <a:ext uri="{FF2B5EF4-FFF2-40B4-BE49-F238E27FC236}">
              <a16:creationId xmlns:a16="http://schemas.microsoft.com/office/drawing/2014/main" id="{8DA88590-38C1-3D57-C206-CD902490A5DF}"/>
            </a:ext>
          </a:extLst>
        </xdr:cNvPr>
        <xdr:cNvSpPr txBox="1"/>
      </xdr:nvSpPr>
      <xdr:spPr>
        <a:xfrm>
          <a:off x="10267950" y="9124950"/>
          <a:ext cx="2028825" cy="192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residuals</a:t>
          </a:r>
          <a:r>
            <a:rPr lang="en-US" sz="1100" baseline="0"/>
            <a:t> are: </a:t>
          </a:r>
        </a:p>
        <a:p>
          <a:endParaRPr lang="en-US" sz="1100"/>
        </a:p>
        <a:p>
          <a:r>
            <a:rPr lang="en-US" sz="1100"/>
            <a:t>0.0000000000000008817 </a:t>
          </a:r>
        </a:p>
        <a:p>
          <a:endParaRPr lang="en-US" sz="1100"/>
        </a:p>
        <a:p>
          <a:r>
            <a:rPr lang="en-US" sz="1100"/>
            <a:t>repeated 6 times,</a:t>
          </a:r>
        </a:p>
        <a:p>
          <a:endParaRPr lang="en-US" sz="1100"/>
        </a:p>
        <a:p>
          <a:endParaRPr lang="en-US" sz="1100"/>
        </a:p>
        <a:p>
          <a:r>
            <a:rPr lang="en-US" sz="1100"/>
            <a:t>0.00000000000000178, and zero. All basically</a:t>
          </a:r>
          <a:r>
            <a:rPr lang="en-US" sz="1100" baseline="0"/>
            <a:t> zero. So the performance is really good. Same with standard residuals.</a:t>
          </a:r>
          <a:endParaRPr lang="en-US" sz="1100"/>
        </a:p>
      </xdr:txBody>
    </xdr:sp>
    <xdr:clientData/>
  </xdr:twoCellAnchor>
  <xdr:twoCellAnchor>
    <xdr:from>
      <xdr:col>20</xdr:col>
      <xdr:colOff>257175</xdr:colOff>
      <xdr:row>35</xdr:row>
      <xdr:rowOff>104775</xdr:rowOff>
    </xdr:from>
    <xdr:to>
      <xdr:col>26</xdr:col>
      <xdr:colOff>257175</xdr:colOff>
      <xdr:row>45</xdr:row>
      <xdr:rowOff>114300</xdr:rowOff>
    </xdr:to>
    <xdr:graphicFrame macro="">
      <xdr:nvGraphicFramePr>
        <xdr:cNvPr id="25" name="Chart 24">
          <a:extLst>
            <a:ext uri="{FF2B5EF4-FFF2-40B4-BE49-F238E27FC236}">
              <a16:creationId xmlns:a16="http://schemas.microsoft.com/office/drawing/2014/main" id="{160A8D3E-7290-C2B0-D70C-6B0A998BB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323850</xdr:colOff>
      <xdr:row>25</xdr:row>
      <xdr:rowOff>76200</xdr:rowOff>
    </xdr:from>
    <xdr:to>
      <xdr:col>26</xdr:col>
      <xdr:colOff>323850</xdr:colOff>
      <xdr:row>34</xdr:row>
      <xdr:rowOff>247650</xdr:rowOff>
    </xdr:to>
    <xdr:graphicFrame macro="">
      <xdr:nvGraphicFramePr>
        <xdr:cNvPr id="26" name="Chart 25">
          <a:extLst>
            <a:ext uri="{FF2B5EF4-FFF2-40B4-BE49-F238E27FC236}">
              <a16:creationId xmlns:a16="http://schemas.microsoft.com/office/drawing/2014/main" id="{0DA471BA-3B2A-DBE6-D75E-4A231E37F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523875</xdr:colOff>
      <xdr:row>14</xdr:row>
      <xdr:rowOff>180975</xdr:rowOff>
    </xdr:from>
    <xdr:to>
      <xdr:col>24</xdr:col>
      <xdr:colOff>523875</xdr:colOff>
      <xdr:row>24</xdr:row>
      <xdr:rowOff>180975</xdr:rowOff>
    </xdr:to>
    <xdr:graphicFrame macro="">
      <xdr:nvGraphicFramePr>
        <xdr:cNvPr id="27" name="Chart 26">
          <a:extLst>
            <a:ext uri="{FF2B5EF4-FFF2-40B4-BE49-F238E27FC236}">
              <a16:creationId xmlns:a16="http://schemas.microsoft.com/office/drawing/2014/main" id="{8542B319-E11F-96E9-9E17-C0E33C5D8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133350</xdr:colOff>
      <xdr:row>0</xdr:row>
      <xdr:rowOff>471487</xdr:rowOff>
    </xdr:from>
    <xdr:to>
      <xdr:col>27</xdr:col>
      <xdr:colOff>438150</xdr:colOff>
      <xdr:row>13</xdr:row>
      <xdr:rowOff>176212</xdr:rowOff>
    </xdr:to>
    <xdr:graphicFrame macro="">
      <xdr:nvGraphicFramePr>
        <xdr:cNvPr id="6" name="Chart 5">
          <a:extLst>
            <a:ext uri="{FF2B5EF4-FFF2-40B4-BE49-F238E27FC236}">
              <a16:creationId xmlns:a16="http://schemas.microsoft.com/office/drawing/2014/main" id="{B4D5A7FB-4E82-9017-D297-110E69D0D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349898</xdr:colOff>
      <xdr:row>10</xdr:row>
      <xdr:rowOff>48599</xdr:rowOff>
    </xdr:from>
    <xdr:to>
      <xdr:col>3</xdr:col>
      <xdr:colOff>612322</xdr:colOff>
      <xdr:row>11</xdr:row>
      <xdr:rowOff>126353</xdr:rowOff>
    </xdr:to>
    <xdr:sp macro="" textlink="">
      <xdr:nvSpPr>
        <xdr:cNvPr id="7" name="TextBox 6">
          <a:extLst>
            <a:ext uri="{FF2B5EF4-FFF2-40B4-BE49-F238E27FC236}">
              <a16:creationId xmlns:a16="http://schemas.microsoft.com/office/drawing/2014/main" id="{0FFFC058-FB6D-20BA-BE62-22BF2813DCC3}"/>
            </a:ext>
          </a:extLst>
        </xdr:cNvPr>
        <xdr:cNvSpPr txBox="1"/>
      </xdr:nvSpPr>
      <xdr:spPr>
        <a:xfrm>
          <a:off x="1166327" y="2536762"/>
          <a:ext cx="1487066" cy="272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a:t>
          </a:r>
          <a:r>
            <a:rPr lang="en-US" sz="1100" baseline="0"/>
            <a:t> PERCENT INCREASE</a:t>
          </a:r>
        </a:p>
        <a:p>
          <a:endParaRPr lang="en-US" sz="1100"/>
        </a:p>
      </xdr:txBody>
    </xdr:sp>
    <xdr:clientData/>
  </xdr:twoCellAnchor>
  <xdr:twoCellAnchor>
    <xdr:from>
      <xdr:col>2</xdr:col>
      <xdr:colOff>340179</xdr:colOff>
      <xdr:row>9</xdr:row>
      <xdr:rowOff>19438</xdr:rowOff>
    </xdr:from>
    <xdr:to>
      <xdr:col>2</xdr:col>
      <xdr:colOff>398495</xdr:colOff>
      <xdr:row>10</xdr:row>
      <xdr:rowOff>38878</xdr:rowOff>
    </xdr:to>
    <xdr:cxnSp macro="">
      <xdr:nvCxnSpPr>
        <xdr:cNvPr id="9" name="Straight Arrow Connector 8">
          <a:extLst>
            <a:ext uri="{FF2B5EF4-FFF2-40B4-BE49-F238E27FC236}">
              <a16:creationId xmlns:a16="http://schemas.microsoft.com/office/drawing/2014/main" id="{CDAC5CAF-69B3-66AE-514B-D099C5744E83}"/>
            </a:ext>
          </a:extLst>
        </xdr:cNvPr>
        <xdr:cNvCxnSpPr/>
      </xdr:nvCxnSpPr>
      <xdr:spPr>
        <a:xfrm flipV="1">
          <a:off x="1768929" y="2313214"/>
          <a:ext cx="58316" cy="2138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592883</xdr:colOff>
      <xdr:row>0</xdr:row>
      <xdr:rowOff>1</xdr:rowOff>
    </xdr:from>
    <xdr:to>
      <xdr:col>3</xdr:col>
      <xdr:colOff>466531</xdr:colOff>
      <xdr:row>0</xdr:row>
      <xdr:rowOff>709515</xdr:rowOff>
    </xdr:to>
    <xdr:sp macro="" textlink="">
      <xdr:nvSpPr>
        <xdr:cNvPr id="8" name="TextBox 7">
          <a:extLst>
            <a:ext uri="{FF2B5EF4-FFF2-40B4-BE49-F238E27FC236}">
              <a16:creationId xmlns:a16="http://schemas.microsoft.com/office/drawing/2014/main" id="{40A3CD91-54C1-9B90-2A90-6384D0FF3AB8}"/>
            </a:ext>
          </a:extLst>
        </xdr:cNvPr>
        <xdr:cNvSpPr txBox="1"/>
      </xdr:nvSpPr>
      <xdr:spPr>
        <a:xfrm>
          <a:off x="592883" y="1"/>
          <a:ext cx="1914719" cy="70951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Models in</a:t>
          </a:r>
          <a:r>
            <a:rPr lang="en-US" sz="900" baseline="0"/>
            <a:t> which parameters B0,B1,B2...Bp have exponents other than one are nonlinear models. y=B0*B1^x</a:t>
          </a:r>
          <a:endParaRPr lang="en-US" sz="9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6692" refreshedDate="45177.541045949074" createdVersion="8" refreshedVersion="8" minRefreshableVersion="3" recordCount="24" xr:uid="{0C07773F-304C-47F1-ACB3-674AEB36A137}">
  <cacheSource type="worksheet">
    <worksheetSource ref="A1:C25" sheet="Interaction pivot table &amp; long"/>
  </cacheSource>
  <cacheFields count="3">
    <cacheField name="Price" numFmtId="0">
      <sharedItems containsSemiMixedTypes="0" containsString="0" containsNumber="1" minValue="2" maxValue="3" count="3">
        <n v="2"/>
        <n v="2.5"/>
        <n v="3"/>
      </sharedItems>
    </cacheField>
    <cacheField name="Advertising Expenditure ($1000s)" numFmtId="0">
      <sharedItems containsSemiMixedTypes="0" containsString="0" containsNumber="1" containsInteger="1" minValue="50" maxValue="100" count="2">
        <n v="50"/>
        <n v="100"/>
      </sharedItems>
    </cacheField>
    <cacheField name="Sales (1000s)" numFmtId="0">
      <sharedItems containsSemiMixedTypes="0" containsString="0" containsNumber="1" containsInteger="1" minValue="322" maxValue="832"/>
    </cacheField>
  </cacheFields>
  <extLst>
    <ext xmlns:x14="http://schemas.microsoft.com/office/spreadsheetml/2009/9/main" uri="{725AE2AE-9491-48be-B2B4-4EB974FC3084}">
      <x14:pivotCacheDefinition pivotCacheId="1917476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478"/>
  </r>
  <r>
    <x v="1"/>
    <x v="0"/>
    <n v="373"/>
  </r>
  <r>
    <x v="2"/>
    <x v="0"/>
    <n v="335"/>
  </r>
  <r>
    <x v="0"/>
    <x v="0"/>
    <n v="473"/>
  </r>
  <r>
    <x v="1"/>
    <x v="0"/>
    <n v="358"/>
  </r>
  <r>
    <x v="2"/>
    <x v="0"/>
    <n v="329"/>
  </r>
  <r>
    <x v="0"/>
    <x v="0"/>
    <n v="456"/>
  </r>
  <r>
    <x v="1"/>
    <x v="0"/>
    <n v="360"/>
  </r>
  <r>
    <x v="2"/>
    <x v="0"/>
    <n v="322"/>
  </r>
  <r>
    <x v="0"/>
    <x v="0"/>
    <n v="437"/>
  </r>
  <r>
    <x v="1"/>
    <x v="0"/>
    <n v="365"/>
  </r>
  <r>
    <x v="2"/>
    <x v="0"/>
    <n v="342"/>
  </r>
  <r>
    <x v="0"/>
    <x v="1"/>
    <n v="810"/>
  </r>
  <r>
    <x v="1"/>
    <x v="1"/>
    <n v="653"/>
  </r>
  <r>
    <x v="2"/>
    <x v="1"/>
    <n v="345"/>
  </r>
  <r>
    <x v="0"/>
    <x v="1"/>
    <n v="832"/>
  </r>
  <r>
    <x v="1"/>
    <x v="1"/>
    <n v="641"/>
  </r>
  <r>
    <x v="2"/>
    <x v="1"/>
    <n v="372"/>
  </r>
  <r>
    <x v="0"/>
    <x v="1"/>
    <n v="800"/>
  </r>
  <r>
    <x v="1"/>
    <x v="1"/>
    <n v="620"/>
  </r>
  <r>
    <x v="2"/>
    <x v="1"/>
    <n v="390"/>
  </r>
  <r>
    <x v="0"/>
    <x v="1"/>
    <n v="790"/>
  </r>
  <r>
    <x v="1"/>
    <x v="1"/>
    <n v="670"/>
  </r>
  <r>
    <x v="2"/>
    <x v="1"/>
    <n v="3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E1AAA5-7288-4C8E-B888-8D79F474447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F3:I6" firstHeaderRow="1" firstDataRow="2" firstDataCol="1"/>
  <pivotFields count="3">
    <pivotField axis="axisCol" compact="0" numFmtId="167" showAll="0">
      <items count="4">
        <item x="0"/>
        <item x="1"/>
        <item x="2"/>
        <item t="default"/>
      </items>
    </pivotField>
    <pivotField axis="axisRow" compact="0" showAll="0">
      <items count="3">
        <item x="0"/>
        <item x="1"/>
        <item t="default"/>
      </items>
    </pivotField>
    <pivotField dataField="1" compact="0" showAll="0"/>
  </pivotFields>
  <rowFields count="1">
    <field x="1"/>
  </rowFields>
  <rowItems count="2">
    <i>
      <x/>
    </i>
    <i>
      <x v="1"/>
    </i>
  </rowItems>
  <colFields count="1">
    <field x="0"/>
  </colFields>
  <colItems count="3">
    <i>
      <x/>
    </i>
    <i>
      <x v="1"/>
    </i>
    <i>
      <x v="2"/>
    </i>
  </colItems>
  <dataFields count="1">
    <dataField name="Average of Sales (1000s)" fld="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vertising_Expenditure___1000s" xr10:uid="{427006C9-9C1E-4772-A58C-45CE1BAC5B4D}" sourceName="Advertising Expenditure ($1000s)">
  <pivotTables>
    <pivotTable tabId="5" name="PivotTable2"/>
  </pivotTables>
  <data>
    <tabular pivotCacheId="19174766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vertising Expenditure ($1000s)" xr10:uid="{2E1BF58A-4BD8-4AE6-9899-87EAEB0B35E6}" cache="Slicer_Advertising_Expenditure___1000s" caption="Advertising Expenditure ($1000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3424-AFF2-4C72-AF6B-D062CFD67FE3}">
  <dimension ref="A1:AF16"/>
  <sheetViews>
    <sheetView zoomScale="89" zoomScaleNormal="89" workbookViewId="0">
      <selection activeCell="G7" sqref="G7"/>
    </sheetView>
  </sheetViews>
  <sheetFormatPr defaultRowHeight="15" x14ac:dyDescent="0.25"/>
  <cols>
    <col min="1" max="1" width="19.140625" customWidth="1"/>
    <col min="2" max="2" width="14.28515625" customWidth="1"/>
  </cols>
  <sheetData>
    <row r="1" spans="1:32" x14ac:dyDescent="0.25">
      <c r="A1" s="10" t="s">
        <v>0</v>
      </c>
      <c r="B1" s="10" t="s">
        <v>1</v>
      </c>
      <c r="C1" s="38">
        <v>41</v>
      </c>
      <c r="D1" s="38">
        <v>275</v>
      </c>
      <c r="E1" s="38">
        <v>106</v>
      </c>
      <c r="F1" s="38">
        <v>296</v>
      </c>
      <c r="G1" s="38">
        <v>76</v>
      </c>
      <c r="H1" s="38">
        <v>317</v>
      </c>
      <c r="I1" s="38">
        <v>10</v>
      </c>
      <c r="J1" s="38">
        <v>376</v>
      </c>
      <c r="K1" s="38">
        <v>22</v>
      </c>
      <c r="L1" s="38">
        <v>162</v>
      </c>
      <c r="M1" s="38">
        <v>12</v>
      </c>
      <c r="N1" s="38">
        <v>150</v>
      </c>
      <c r="O1" s="38">
        <v>85</v>
      </c>
      <c r="P1" s="38">
        <v>367</v>
      </c>
      <c r="Q1" s="38">
        <v>111</v>
      </c>
      <c r="R1" s="38">
        <v>308</v>
      </c>
      <c r="S1" s="38">
        <v>40</v>
      </c>
      <c r="T1" s="38">
        <v>189</v>
      </c>
      <c r="U1" s="38">
        <v>51</v>
      </c>
      <c r="V1" s="38">
        <v>235</v>
      </c>
      <c r="W1" s="38">
        <v>9</v>
      </c>
      <c r="X1" s="38">
        <v>83</v>
      </c>
      <c r="Y1" s="38">
        <v>12</v>
      </c>
      <c r="Z1" s="38">
        <v>112</v>
      </c>
      <c r="AA1" s="38">
        <v>6</v>
      </c>
      <c r="AB1" s="38">
        <v>67</v>
      </c>
      <c r="AC1" s="38">
        <v>56</v>
      </c>
      <c r="AD1" s="38">
        <v>325</v>
      </c>
      <c r="AE1" s="38">
        <v>19</v>
      </c>
      <c r="AF1" s="38">
        <v>189</v>
      </c>
    </row>
    <row r="2" spans="1:32" x14ac:dyDescent="0.25">
      <c r="A2" s="37" cm="1">
        <f t="array" ref="A2">INDEX($1:$1,ROW($A$1),(C2))</f>
        <v>41</v>
      </c>
      <c r="B2" s="37" cm="1">
        <f t="array" ref="B2">INDEX($1:$1,ROW($A$1),(D2))</f>
        <v>275</v>
      </c>
      <c r="C2" s="35">
        <v>3</v>
      </c>
      <c r="D2" s="36">
        <v>4</v>
      </c>
      <c r="E2" s="36">
        <v>5</v>
      </c>
      <c r="F2" s="35">
        <v>6</v>
      </c>
      <c r="G2" s="35">
        <v>7</v>
      </c>
      <c r="H2" s="36">
        <v>8</v>
      </c>
      <c r="I2" s="36">
        <v>9</v>
      </c>
      <c r="J2" s="35">
        <v>10</v>
      </c>
      <c r="K2" s="35">
        <v>11</v>
      </c>
      <c r="L2" s="36">
        <v>12</v>
      </c>
      <c r="M2" s="36">
        <v>13</v>
      </c>
      <c r="N2" s="35">
        <v>14</v>
      </c>
      <c r="O2" s="35">
        <v>15</v>
      </c>
      <c r="P2" s="36">
        <v>16</v>
      </c>
      <c r="Q2" s="36">
        <v>17</v>
      </c>
      <c r="R2" s="35">
        <v>18</v>
      </c>
      <c r="S2" s="35">
        <v>19</v>
      </c>
      <c r="T2" s="36">
        <v>20</v>
      </c>
      <c r="U2" s="36">
        <v>21</v>
      </c>
      <c r="V2" s="35">
        <v>22</v>
      </c>
      <c r="W2" s="35">
        <v>23</v>
      </c>
      <c r="X2" s="36">
        <v>24</v>
      </c>
      <c r="Y2" s="36">
        <v>25</v>
      </c>
      <c r="Z2" s="35">
        <v>26</v>
      </c>
      <c r="AA2" s="35">
        <v>27</v>
      </c>
      <c r="AB2" s="36">
        <v>28</v>
      </c>
      <c r="AC2" s="36">
        <v>29</v>
      </c>
      <c r="AD2" s="35">
        <v>30</v>
      </c>
      <c r="AE2" s="35">
        <v>31</v>
      </c>
      <c r="AF2" s="36">
        <v>32</v>
      </c>
    </row>
    <row r="3" spans="1:32" x14ac:dyDescent="0.25">
      <c r="A3" s="37" cm="1">
        <f t="array" ref="A3">INDEX($1:$1,ROW($A$1),(C3))</f>
        <v>106</v>
      </c>
      <c r="B3" s="37" cm="1">
        <f t="array" ref="B3">INDEX($1:$1,ROW($A$1),(D3))</f>
        <v>296</v>
      </c>
      <c r="C3" s="35">
        <f>C2+2</f>
        <v>5</v>
      </c>
      <c r="D3" s="35">
        <f>D2+2</f>
        <v>6</v>
      </c>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row>
    <row r="4" spans="1:32" x14ac:dyDescent="0.25">
      <c r="A4" s="37" cm="1">
        <f t="array" ref="A4">INDEX($1:$1,ROW($A$1),(C4))</f>
        <v>76</v>
      </c>
      <c r="B4" s="37" cm="1">
        <f t="array" ref="B4">INDEX($1:$1,ROW($A$1),(D4))</f>
        <v>317</v>
      </c>
      <c r="C4" s="35">
        <f t="shared" ref="C4:C16" si="0">C3+2</f>
        <v>7</v>
      </c>
      <c r="D4" s="35">
        <f t="shared" ref="D4:D16" si="1">D3+2</f>
        <v>8</v>
      </c>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row>
    <row r="5" spans="1:32" x14ac:dyDescent="0.25">
      <c r="A5" s="37" cm="1">
        <f t="array" ref="A5">INDEX($1:$1,ROW($A$1),(C5))</f>
        <v>10</v>
      </c>
      <c r="B5" s="37" cm="1">
        <f t="array" ref="B5">INDEX($1:$1,ROW($A$1),(D5))</f>
        <v>376</v>
      </c>
      <c r="C5" s="35">
        <f t="shared" si="0"/>
        <v>9</v>
      </c>
      <c r="D5" s="35">
        <f t="shared" si="1"/>
        <v>10</v>
      </c>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row>
    <row r="6" spans="1:32" x14ac:dyDescent="0.25">
      <c r="A6" s="37" cm="1">
        <f t="array" ref="A6">INDEX($1:$1,ROW($A$1),(C6))</f>
        <v>22</v>
      </c>
      <c r="B6" s="37" cm="1">
        <f t="array" ref="B6">INDEX($1:$1,ROW($A$1),(D6))</f>
        <v>162</v>
      </c>
      <c r="C6" s="35">
        <f t="shared" si="0"/>
        <v>11</v>
      </c>
      <c r="D6" s="35">
        <f t="shared" si="1"/>
        <v>12</v>
      </c>
    </row>
    <row r="7" spans="1:32" x14ac:dyDescent="0.25">
      <c r="A7" s="37" cm="1">
        <f t="array" ref="A7">INDEX($1:$1,ROW($A$1),(C7))</f>
        <v>12</v>
      </c>
      <c r="B7" s="37" cm="1">
        <f t="array" ref="B7">INDEX($1:$1,ROW($A$1),(D7))</f>
        <v>150</v>
      </c>
      <c r="C7" s="35">
        <f t="shared" si="0"/>
        <v>13</v>
      </c>
      <c r="D7" s="35">
        <f t="shared" si="1"/>
        <v>14</v>
      </c>
    </row>
    <row r="8" spans="1:32" x14ac:dyDescent="0.25">
      <c r="A8" s="37" cm="1">
        <f t="array" ref="A8">INDEX($1:$1,ROW($A$1),(C8))</f>
        <v>85</v>
      </c>
      <c r="B8" s="37" cm="1">
        <f t="array" ref="B8">INDEX($1:$1,ROW($A$1),(D8))</f>
        <v>367</v>
      </c>
      <c r="C8" s="35">
        <f t="shared" si="0"/>
        <v>15</v>
      </c>
      <c r="D8" s="35">
        <f t="shared" si="1"/>
        <v>16</v>
      </c>
    </row>
    <row r="9" spans="1:32" x14ac:dyDescent="0.25">
      <c r="A9" s="37" cm="1">
        <f t="array" ref="A9">INDEX($1:$1,ROW($A$1),(C9))</f>
        <v>111</v>
      </c>
      <c r="B9" s="37" cm="1">
        <f t="array" ref="B9">INDEX($1:$1,ROW($A$1),(D9))</f>
        <v>308</v>
      </c>
      <c r="C9" s="35">
        <f t="shared" si="0"/>
        <v>17</v>
      </c>
      <c r="D9" s="35">
        <f t="shared" si="1"/>
        <v>18</v>
      </c>
    </row>
    <row r="10" spans="1:32" x14ac:dyDescent="0.25">
      <c r="A10" s="37" cm="1">
        <f t="array" ref="A10">INDEX($1:$1,ROW($A$1),(C10))</f>
        <v>40</v>
      </c>
      <c r="B10" s="37" cm="1">
        <f t="array" ref="B10">INDEX($1:$1,ROW($A$1),(D10))</f>
        <v>189</v>
      </c>
      <c r="C10" s="35">
        <f t="shared" si="0"/>
        <v>19</v>
      </c>
      <c r="D10" s="35">
        <f t="shared" si="1"/>
        <v>20</v>
      </c>
    </row>
    <row r="11" spans="1:32" x14ac:dyDescent="0.25">
      <c r="A11" s="37" cm="1">
        <f t="array" ref="A11">INDEX($1:$1,ROW($A$1),(C11))</f>
        <v>51</v>
      </c>
      <c r="B11" s="37" cm="1">
        <f t="array" ref="B11">INDEX($1:$1,ROW($A$1),(D11))</f>
        <v>235</v>
      </c>
      <c r="C11" s="35">
        <f t="shared" si="0"/>
        <v>21</v>
      </c>
      <c r="D11" s="35">
        <f t="shared" si="1"/>
        <v>22</v>
      </c>
    </row>
    <row r="12" spans="1:32" x14ac:dyDescent="0.25">
      <c r="A12" s="37" cm="1">
        <f t="array" ref="A12">INDEX($1:$1,ROW($A$1),(C12))</f>
        <v>9</v>
      </c>
      <c r="B12" s="37" cm="1">
        <f t="array" ref="B12">INDEX($1:$1,ROW($A$1),(D12))</f>
        <v>83</v>
      </c>
      <c r="C12" s="35">
        <f t="shared" si="0"/>
        <v>23</v>
      </c>
      <c r="D12" s="35">
        <f t="shared" si="1"/>
        <v>24</v>
      </c>
    </row>
    <row r="13" spans="1:32" x14ac:dyDescent="0.25">
      <c r="A13" s="37" cm="1">
        <f t="array" ref="A13">INDEX($1:$1,ROW($A$1),(C13))</f>
        <v>12</v>
      </c>
      <c r="B13" s="37" cm="1">
        <f t="array" ref="B13">INDEX($1:$1,ROW($A$1),(D13))</f>
        <v>112</v>
      </c>
      <c r="C13" s="35">
        <f t="shared" si="0"/>
        <v>25</v>
      </c>
      <c r="D13" s="35">
        <f t="shared" si="1"/>
        <v>26</v>
      </c>
    </row>
    <row r="14" spans="1:32" x14ac:dyDescent="0.25">
      <c r="A14" s="37" cm="1">
        <f t="array" ref="A14">INDEX($1:$1,ROW($A$1),(C14))</f>
        <v>6</v>
      </c>
      <c r="B14" s="37" cm="1">
        <f t="array" ref="B14">INDEX($1:$1,ROW($A$1),(D14))</f>
        <v>67</v>
      </c>
      <c r="C14" s="35">
        <f t="shared" si="0"/>
        <v>27</v>
      </c>
      <c r="D14" s="35">
        <f t="shared" si="1"/>
        <v>28</v>
      </c>
    </row>
    <row r="15" spans="1:32" x14ac:dyDescent="0.25">
      <c r="A15" s="37" cm="1">
        <f t="array" ref="A15">INDEX($1:$1,ROW($A$1),(C15))</f>
        <v>56</v>
      </c>
      <c r="B15" s="37" cm="1">
        <f t="array" ref="B15">INDEX($1:$1,ROW($A$1),(D15))</f>
        <v>325</v>
      </c>
      <c r="C15" s="35">
        <f t="shared" si="0"/>
        <v>29</v>
      </c>
      <c r="D15" s="35">
        <f t="shared" si="1"/>
        <v>30</v>
      </c>
    </row>
    <row r="16" spans="1:32" x14ac:dyDescent="0.25">
      <c r="A16" s="37" cm="1">
        <f t="array" ref="A16">INDEX($1:$1,ROW($A$1),(C16))</f>
        <v>19</v>
      </c>
      <c r="B16" s="37" cm="1">
        <f t="array" ref="B16">INDEX($1:$1,ROW($A$1),(D16))</f>
        <v>189</v>
      </c>
      <c r="C16" s="35">
        <f t="shared" si="0"/>
        <v>31</v>
      </c>
      <c r="D16" s="35">
        <f t="shared" si="1"/>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22B20-5543-4772-AF99-6A99143ADE25}">
  <dimension ref="A1:I56"/>
  <sheetViews>
    <sheetView zoomScale="87" zoomScaleNormal="87" workbookViewId="0">
      <selection activeCell="B12" sqref="B12"/>
    </sheetView>
  </sheetViews>
  <sheetFormatPr defaultRowHeight="15" x14ac:dyDescent="0.25"/>
  <cols>
    <col min="1" max="1" width="21" customWidth="1"/>
  </cols>
  <sheetData>
    <row r="1" spans="1:2" x14ac:dyDescent="0.25">
      <c r="A1" s="2" t="s">
        <v>0</v>
      </c>
      <c r="B1" t="s">
        <v>1</v>
      </c>
    </row>
    <row r="2" spans="1:2" x14ac:dyDescent="0.25">
      <c r="A2">
        <v>41</v>
      </c>
      <c r="B2">
        <v>275</v>
      </c>
    </row>
    <row r="3" spans="1:2" x14ac:dyDescent="0.25">
      <c r="A3">
        <v>106</v>
      </c>
      <c r="B3">
        <v>296</v>
      </c>
    </row>
    <row r="4" spans="1:2" x14ac:dyDescent="0.25">
      <c r="A4">
        <v>76</v>
      </c>
      <c r="B4">
        <v>317</v>
      </c>
    </row>
    <row r="5" spans="1:2" x14ac:dyDescent="0.25">
      <c r="A5">
        <v>103</v>
      </c>
      <c r="B5">
        <v>374</v>
      </c>
    </row>
    <row r="6" spans="1:2" x14ac:dyDescent="0.25">
      <c r="A6">
        <v>22</v>
      </c>
      <c r="B6">
        <v>162</v>
      </c>
    </row>
    <row r="7" spans="1:2" x14ac:dyDescent="0.25">
      <c r="A7">
        <v>12</v>
      </c>
      <c r="B7">
        <v>150</v>
      </c>
    </row>
    <row r="8" spans="1:2" x14ac:dyDescent="0.25">
      <c r="A8">
        <v>85</v>
      </c>
      <c r="B8">
        <v>367</v>
      </c>
    </row>
    <row r="9" spans="1:2" x14ac:dyDescent="0.25">
      <c r="A9">
        <v>111</v>
      </c>
      <c r="B9">
        <v>308</v>
      </c>
    </row>
    <row r="10" spans="1:2" x14ac:dyDescent="0.25">
      <c r="A10">
        <v>40</v>
      </c>
      <c r="B10">
        <v>189</v>
      </c>
    </row>
    <row r="11" spans="1:2" x14ac:dyDescent="0.25">
      <c r="A11">
        <v>51</v>
      </c>
      <c r="B11">
        <v>235</v>
      </c>
    </row>
    <row r="12" spans="1:2" x14ac:dyDescent="0.25">
      <c r="A12">
        <v>9</v>
      </c>
      <c r="B12">
        <v>83</v>
      </c>
    </row>
    <row r="13" spans="1:2" x14ac:dyDescent="0.25">
      <c r="A13">
        <v>12</v>
      </c>
      <c r="B13">
        <v>112</v>
      </c>
    </row>
    <row r="14" spans="1:2" x14ac:dyDescent="0.25">
      <c r="A14">
        <v>6</v>
      </c>
      <c r="B14">
        <v>67</v>
      </c>
    </row>
    <row r="15" spans="1:2" x14ac:dyDescent="0.25">
      <c r="A15">
        <v>56</v>
      </c>
      <c r="B15">
        <v>325</v>
      </c>
    </row>
    <row r="16" spans="1:2" x14ac:dyDescent="0.25">
      <c r="A16">
        <v>19</v>
      </c>
      <c r="B16">
        <v>189</v>
      </c>
    </row>
    <row r="18" spans="1:7" x14ac:dyDescent="0.25">
      <c r="A18" s="15" t="s">
        <v>4</v>
      </c>
      <c r="B18" s="15"/>
      <c r="C18" s="15"/>
      <c r="D18" s="15"/>
      <c r="E18" s="15"/>
      <c r="F18" s="15"/>
      <c r="G18" s="15"/>
    </row>
    <row r="19" spans="1:7" ht="15.75" thickBot="1" x14ac:dyDescent="0.3">
      <c r="A19" s="15"/>
      <c r="B19" s="15"/>
      <c r="C19" s="15"/>
      <c r="D19" s="15"/>
      <c r="E19" s="15"/>
      <c r="F19" s="15"/>
      <c r="G19" s="15"/>
    </row>
    <row r="20" spans="1:7" x14ac:dyDescent="0.25">
      <c r="A20" s="17" t="s">
        <v>5</v>
      </c>
      <c r="B20" s="17"/>
      <c r="C20" s="15"/>
      <c r="D20" s="15"/>
      <c r="E20" s="15"/>
      <c r="F20" s="15"/>
      <c r="G20" s="15"/>
    </row>
    <row r="21" spans="1:7" x14ac:dyDescent="0.25">
      <c r="A21" s="15" t="s">
        <v>6</v>
      </c>
      <c r="B21" s="15">
        <v>0.88329295942519226</v>
      </c>
      <c r="C21" s="15"/>
      <c r="D21" s="15"/>
      <c r="E21" s="15"/>
      <c r="F21" s="15"/>
      <c r="G21" s="15"/>
    </row>
    <row r="22" spans="1:7" x14ac:dyDescent="0.25">
      <c r="A22" s="15" t="s">
        <v>7</v>
      </c>
      <c r="B22" s="15">
        <v>0.78020645217011431</v>
      </c>
      <c r="C22" s="15"/>
      <c r="D22" s="15"/>
      <c r="E22" s="15"/>
      <c r="F22" s="15"/>
      <c r="G22" s="15"/>
    </row>
    <row r="23" spans="1:7" x14ac:dyDescent="0.25">
      <c r="A23" s="15" t="s">
        <v>8</v>
      </c>
      <c r="B23" s="15">
        <v>0.76329925618320005</v>
      </c>
      <c r="C23" s="15"/>
      <c r="D23" s="15"/>
      <c r="E23" s="15"/>
      <c r="F23" s="15"/>
      <c r="G23" s="15"/>
    </row>
    <row r="24" spans="1:7" x14ac:dyDescent="0.25">
      <c r="A24" s="15" t="s">
        <v>9</v>
      </c>
      <c r="B24" s="15">
        <v>49.526196553411658</v>
      </c>
      <c r="C24" s="15"/>
      <c r="D24" s="15"/>
      <c r="E24" s="15"/>
      <c r="F24" s="15"/>
      <c r="G24" s="15"/>
    </row>
    <row r="25" spans="1:7" ht="15.75" thickBot="1" x14ac:dyDescent="0.3">
      <c r="A25" s="18" t="s">
        <v>10</v>
      </c>
      <c r="B25" s="18">
        <v>15</v>
      </c>
      <c r="C25" s="15"/>
      <c r="D25" s="15"/>
      <c r="E25" s="15"/>
      <c r="F25" s="15"/>
      <c r="G25" s="15"/>
    </row>
    <row r="26" spans="1:7" x14ac:dyDescent="0.25">
      <c r="A26" s="15"/>
      <c r="B26" s="15"/>
      <c r="C26" s="15"/>
      <c r="D26" s="15"/>
      <c r="E26" s="15"/>
      <c r="F26" s="15"/>
      <c r="G26" s="15"/>
    </row>
    <row r="27" spans="1:7" ht="15.75" thickBot="1" x14ac:dyDescent="0.3">
      <c r="A27" s="15" t="s">
        <v>11</v>
      </c>
      <c r="B27" s="15"/>
      <c r="C27" s="15"/>
      <c r="D27" s="15"/>
      <c r="E27" s="15"/>
      <c r="F27" s="15"/>
      <c r="G27" s="15"/>
    </row>
    <row r="28" spans="1:7" x14ac:dyDescent="0.25">
      <c r="A28" s="19"/>
      <c r="B28" s="19" t="s">
        <v>16</v>
      </c>
      <c r="C28" s="19" t="s">
        <v>17</v>
      </c>
      <c r="D28" s="19" t="s">
        <v>18</v>
      </c>
      <c r="E28" s="19" t="s">
        <v>19</v>
      </c>
      <c r="F28" s="19" t="s">
        <v>20</v>
      </c>
      <c r="G28" s="15"/>
    </row>
    <row r="29" spans="1:7" x14ac:dyDescent="0.25">
      <c r="A29" s="15" t="s">
        <v>12</v>
      </c>
      <c r="B29" s="15">
        <v>1</v>
      </c>
      <c r="C29" s="15">
        <v>113189.9594477202</v>
      </c>
      <c r="D29" s="15">
        <v>113189.9594477202</v>
      </c>
      <c r="E29" s="15">
        <v>46.146413206185883</v>
      </c>
      <c r="F29" s="15">
        <v>1.2757575752728234E-5</v>
      </c>
      <c r="G29" s="15"/>
    </row>
    <row r="30" spans="1:7" x14ac:dyDescent="0.25">
      <c r="A30" s="15" t="s">
        <v>13</v>
      </c>
      <c r="B30" s="15">
        <v>13</v>
      </c>
      <c r="C30" s="15">
        <v>31886.973885613141</v>
      </c>
      <c r="D30" s="15">
        <v>2452.8441450471646</v>
      </c>
      <c r="E30" s="15"/>
      <c r="F30" s="15"/>
      <c r="G30" s="15"/>
    </row>
    <row r="31" spans="1:7" ht="15.75" thickBot="1" x14ac:dyDescent="0.3">
      <c r="A31" s="18" t="s">
        <v>14</v>
      </c>
      <c r="B31" s="18">
        <v>14</v>
      </c>
      <c r="C31" s="18">
        <v>145076.93333333335</v>
      </c>
      <c r="D31" s="18"/>
      <c r="E31" s="18"/>
      <c r="F31" s="18"/>
      <c r="G31" s="15"/>
    </row>
    <row r="32" spans="1:7" ht="15.75" thickBot="1" x14ac:dyDescent="0.3">
      <c r="A32" s="15"/>
      <c r="B32" s="15"/>
      <c r="C32" s="15"/>
      <c r="D32" s="15"/>
      <c r="E32" s="15"/>
      <c r="F32" s="15"/>
      <c r="G32" s="15"/>
    </row>
    <row r="33" spans="1:9" x14ac:dyDescent="0.25">
      <c r="A33" s="19"/>
      <c r="B33" s="19" t="s">
        <v>21</v>
      </c>
      <c r="C33" s="19" t="s">
        <v>9</v>
      </c>
      <c r="D33" s="19" t="s">
        <v>22</v>
      </c>
      <c r="E33" s="19" t="s">
        <v>23</v>
      </c>
      <c r="F33" s="19" t="s">
        <v>24</v>
      </c>
      <c r="G33" s="19" t="s">
        <v>25</v>
      </c>
      <c r="H33" s="19" t="s">
        <v>26</v>
      </c>
      <c r="I33" s="19" t="s">
        <v>27</v>
      </c>
    </row>
    <row r="34" spans="1:9" x14ac:dyDescent="0.25">
      <c r="A34" s="15" t="s">
        <v>15</v>
      </c>
      <c r="B34" s="15">
        <v>111.24704183359735</v>
      </c>
      <c r="C34" s="15">
        <v>21.651286619778737</v>
      </c>
      <c r="D34" s="15">
        <v>5.1381261440588801</v>
      </c>
      <c r="E34" s="15">
        <v>1.9058648475153342E-4</v>
      </c>
      <c r="F34" s="15">
        <v>64.472280848135114</v>
      </c>
      <c r="G34" s="15">
        <v>158.02180281905959</v>
      </c>
      <c r="H34" s="15">
        <v>64.472280848135114</v>
      </c>
      <c r="I34" s="15">
        <v>158.02180281905959</v>
      </c>
    </row>
    <row r="35" spans="1:9" ht="15.75" thickBot="1" x14ac:dyDescent="0.3">
      <c r="A35" s="18" t="s">
        <v>0</v>
      </c>
      <c r="B35" s="18">
        <v>2.3768950233591988</v>
      </c>
      <c r="C35" s="18">
        <v>0.3498976503306695</v>
      </c>
      <c r="D35" s="18">
        <v>6.7931151327050152</v>
      </c>
      <c r="E35" s="18">
        <v>1.2757575752728234E-5</v>
      </c>
      <c r="F35" s="18">
        <v>1.6209871066148422</v>
      </c>
      <c r="G35" s="18">
        <v>3.1328029401035553</v>
      </c>
      <c r="H35" s="18">
        <v>1.6209871066148422</v>
      </c>
      <c r="I35" s="18">
        <v>3.1328029401035553</v>
      </c>
    </row>
    <row r="36" spans="1:9" x14ac:dyDescent="0.25">
      <c r="A36" s="15"/>
      <c r="B36" s="15"/>
      <c r="C36" s="15"/>
      <c r="D36" s="15"/>
      <c r="E36" s="15"/>
      <c r="F36" s="15"/>
      <c r="G36" s="15"/>
    </row>
    <row r="37" spans="1:9" x14ac:dyDescent="0.25">
      <c r="A37" s="15"/>
      <c r="B37" s="15"/>
      <c r="C37" s="15"/>
      <c r="D37" s="15"/>
      <c r="E37" s="15"/>
      <c r="F37" s="15"/>
      <c r="G37" s="15"/>
    </row>
    <row r="38" spans="1:9" x14ac:dyDescent="0.25">
      <c r="A38" s="15"/>
      <c r="B38" s="15"/>
      <c r="C38" s="15"/>
      <c r="D38" s="15"/>
      <c r="E38" s="15"/>
      <c r="F38" s="15"/>
      <c r="G38" s="15"/>
    </row>
    <row r="39" spans="1:9" x14ac:dyDescent="0.25">
      <c r="A39" s="15" t="s">
        <v>28</v>
      </c>
      <c r="B39" s="15"/>
      <c r="C39" s="15"/>
      <c r="D39" s="15"/>
      <c r="E39" s="15"/>
      <c r="F39" s="15" t="s">
        <v>33</v>
      </c>
      <c r="G39" s="15"/>
    </row>
    <row r="40" spans="1:9" ht="15.75" thickBot="1" x14ac:dyDescent="0.3">
      <c r="A40" s="15"/>
      <c r="B40" s="15"/>
      <c r="C40" s="15"/>
      <c r="D40" s="15"/>
      <c r="E40" s="15"/>
      <c r="F40" s="15"/>
      <c r="G40" s="15"/>
    </row>
    <row r="41" spans="1:9" x14ac:dyDescent="0.25">
      <c r="A41" s="19" t="s">
        <v>29</v>
      </c>
      <c r="B41" s="19" t="s">
        <v>30</v>
      </c>
      <c r="C41" s="19" t="s">
        <v>31</v>
      </c>
      <c r="D41" s="19" t="s">
        <v>32</v>
      </c>
      <c r="E41" s="15"/>
      <c r="F41" s="19" t="s">
        <v>34</v>
      </c>
      <c r="G41" s="19" t="s">
        <v>1</v>
      </c>
    </row>
    <row r="42" spans="1:9" x14ac:dyDescent="0.25">
      <c r="A42" s="15">
        <v>1</v>
      </c>
      <c r="B42" s="15">
        <v>208.69973779132448</v>
      </c>
      <c r="C42" s="15">
        <v>66.30026220867552</v>
      </c>
      <c r="D42" s="15">
        <v>1.3892250660735634</v>
      </c>
      <c r="E42" s="15"/>
      <c r="F42" s="15">
        <v>3.3333333333333335</v>
      </c>
      <c r="G42" s="15">
        <v>67</v>
      </c>
    </row>
    <row r="43" spans="1:9" x14ac:dyDescent="0.25">
      <c r="A43" s="15">
        <v>2</v>
      </c>
      <c r="B43" s="15">
        <v>363.1979143096724</v>
      </c>
      <c r="C43" s="15">
        <v>-67.197914309672399</v>
      </c>
      <c r="D43" s="15">
        <v>-1.4080340535160789</v>
      </c>
      <c r="E43" s="15"/>
      <c r="F43" s="15">
        <v>10</v>
      </c>
      <c r="G43" s="15">
        <v>83</v>
      </c>
    </row>
    <row r="44" spans="1:9" x14ac:dyDescent="0.25">
      <c r="A44" s="15">
        <v>3</v>
      </c>
      <c r="B44" s="15">
        <v>291.89106360889645</v>
      </c>
      <c r="C44" s="15">
        <v>25.108936391103555</v>
      </c>
      <c r="D44" s="15">
        <v>0.52612105374755758</v>
      </c>
      <c r="E44" s="15"/>
      <c r="F44" s="15">
        <v>16.666666666666668</v>
      </c>
      <c r="G44" s="15">
        <v>112</v>
      </c>
    </row>
    <row r="45" spans="1:9" x14ac:dyDescent="0.25">
      <c r="A45" s="15">
        <v>4</v>
      </c>
      <c r="B45" s="15">
        <v>356.06722923959484</v>
      </c>
      <c r="C45" s="15">
        <v>17.932770760405162</v>
      </c>
      <c r="D45" s="15">
        <v>0.37575499424263298</v>
      </c>
      <c r="E45" s="15"/>
      <c r="F45" s="15">
        <v>23.333333333333332</v>
      </c>
      <c r="G45" s="15">
        <v>150</v>
      </c>
    </row>
    <row r="46" spans="1:9" x14ac:dyDescent="0.25">
      <c r="A46" s="15">
        <v>5</v>
      </c>
      <c r="B46" s="15">
        <v>163.53873234749972</v>
      </c>
      <c r="C46" s="15">
        <v>-1.5387323474997174</v>
      </c>
      <c r="D46" s="15">
        <v>-3.2241886772585181E-2</v>
      </c>
      <c r="E46" s="15"/>
      <c r="F46" s="15">
        <v>30</v>
      </c>
      <c r="G46" s="15">
        <v>162</v>
      </c>
    </row>
    <row r="47" spans="1:9" x14ac:dyDescent="0.25">
      <c r="A47" s="15">
        <v>6</v>
      </c>
      <c r="B47" s="15">
        <v>139.76978211390775</v>
      </c>
      <c r="C47" s="15">
        <v>10.230217886092248</v>
      </c>
      <c r="D47" s="15">
        <v>0.21435925960627311</v>
      </c>
      <c r="E47" s="15"/>
      <c r="F47" s="15">
        <v>36.666666666666671</v>
      </c>
      <c r="G47" s="15">
        <v>189</v>
      </c>
    </row>
    <row r="48" spans="1:9" x14ac:dyDescent="0.25">
      <c r="A48" s="15">
        <v>7</v>
      </c>
      <c r="B48" s="15">
        <v>313.28311881912924</v>
      </c>
      <c r="C48" s="15">
        <v>53.716881180870757</v>
      </c>
      <c r="D48" s="15">
        <v>1.1255587130694051</v>
      </c>
      <c r="E48" s="15"/>
      <c r="F48" s="15">
        <v>43.333333333333336</v>
      </c>
      <c r="G48" s="15">
        <v>189</v>
      </c>
    </row>
    <row r="49" spans="1:7" x14ac:dyDescent="0.25">
      <c r="A49" s="15">
        <v>8</v>
      </c>
      <c r="B49" s="15">
        <v>375.08238942646841</v>
      </c>
      <c r="C49" s="15">
        <v>-67.08238942646841</v>
      </c>
      <c r="D49" s="15">
        <v>-1.4056133984816075</v>
      </c>
      <c r="E49" s="15"/>
      <c r="F49" s="15">
        <v>50.000000000000007</v>
      </c>
      <c r="G49" s="15">
        <v>235</v>
      </c>
    </row>
    <row r="50" spans="1:7" x14ac:dyDescent="0.25">
      <c r="A50" s="15">
        <v>9</v>
      </c>
      <c r="B50" s="15">
        <v>206.32284276796531</v>
      </c>
      <c r="C50" s="15">
        <v>-17.322842767965312</v>
      </c>
      <c r="D50" s="15">
        <v>-0.36297484485302028</v>
      </c>
      <c r="E50" s="15"/>
      <c r="F50" s="15">
        <v>56.666666666666671</v>
      </c>
      <c r="G50" s="15">
        <v>275</v>
      </c>
    </row>
    <row r="51" spans="1:7" x14ac:dyDescent="0.25">
      <c r="A51" s="15">
        <v>10</v>
      </c>
      <c r="B51" s="15">
        <v>232.4686880249165</v>
      </c>
      <c r="C51" s="15">
        <v>2.5313119750834971</v>
      </c>
      <c r="D51" s="15">
        <v>5.3039941754227701E-2</v>
      </c>
      <c r="E51" s="15"/>
      <c r="F51" s="15">
        <v>63.333333333333336</v>
      </c>
      <c r="G51" s="15">
        <v>296</v>
      </c>
    </row>
    <row r="52" spans="1:7" x14ac:dyDescent="0.25">
      <c r="A52" s="15">
        <v>11</v>
      </c>
      <c r="B52" s="15">
        <v>132.63909704383013</v>
      </c>
      <c r="C52" s="15">
        <v>-49.639097043830134</v>
      </c>
      <c r="D52" s="15">
        <v>-1.0401147080459572</v>
      </c>
      <c r="E52" s="15"/>
      <c r="F52" s="15">
        <v>70</v>
      </c>
      <c r="G52" s="15">
        <v>308</v>
      </c>
    </row>
    <row r="53" spans="1:7" x14ac:dyDescent="0.25">
      <c r="A53" s="15">
        <v>12</v>
      </c>
      <c r="B53" s="15">
        <v>139.76978211390775</v>
      </c>
      <c r="C53" s="15">
        <v>-27.769782113907752</v>
      </c>
      <c r="D53" s="15">
        <v>-0.58187518581176723</v>
      </c>
      <c r="E53" s="15"/>
      <c r="F53" s="15">
        <v>76.666666666666671</v>
      </c>
      <c r="G53" s="15">
        <v>317</v>
      </c>
    </row>
    <row r="54" spans="1:7" x14ac:dyDescent="0.25">
      <c r="A54" s="15">
        <v>13</v>
      </c>
      <c r="B54" s="15">
        <v>125.50841197375254</v>
      </c>
      <c r="C54" s="15">
        <v>-58.508411973752544</v>
      </c>
      <c r="D54" s="15">
        <v>-1.2259582357950285</v>
      </c>
      <c r="E54" s="15"/>
      <c r="F54" s="15">
        <v>83.333333333333329</v>
      </c>
      <c r="G54" s="15">
        <v>325</v>
      </c>
    </row>
    <row r="55" spans="1:7" x14ac:dyDescent="0.25">
      <c r="A55" s="15">
        <v>14</v>
      </c>
      <c r="B55" s="15">
        <v>244.35316314171246</v>
      </c>
      <c r="C55" s="15">
        <v>80.646836858287543</v>
      </c>
      <c r="D55" s="15">
        <v>1.6898365636994146</v>
      </c>
      <c r="E55" s="15"/>
      <c r="F55" s="15">
        <v>90</v>
      </c>
      <c r="G55" s="15">
        <v>367</v>
      </c>
    </row>
    <row r="56" spans="1:7" ht="15.75" thickBot="1" x14ac:dyDescent="0.3">
      <c r="A56" s="18">
        <v>15</v>
      </c>
      <c r="B56" s="18">
        <v>156.40804727742213</v>
      </c>
      <c r="C56" s="18">
        <v>32.591952722577872</v>
      </c>
      <c r="D56" s="18">
        <v>0.68291672108296797</v>
      </c>
      <c r="E56" s="15"/>
      <c r="F56" s="18">
        <v>96.666666666666671</v>
      </c>
      <c r="G56" s="18">
        <v>374</v>
      </c>
    </row>
  </sheetData>
  <sortState xmlns:xlrd2="http://schemas.microsoft.com/office/spreadsheetml/2017/richdata2" ref="G42:G56">
    <sortCondition ref="G42"/>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62DD-D2FB-4DF8-8631-C049E99E81E6}">
  <dimension ref="A1:I57"/>
  <sheetViews>
    <sheetView workbookViewId="0">
      <selection activeCell="M12" sqref="M12"/>
    </sheetView>
  </sheetViews>
  <sheetFormatPr defaultRowHeight="15" x14ac:dyDescent="0.25"/>
  <cols>
    <col min="1" max="1" width="12.28515625" customWidth="1"/>
    <col min="2" max="2" width="16.7109375" customWidth="1"/>
    <col min="3" max="3" width="11.140625" customWidth="1"/>
    <col min="6" max="7" width="12.28515625" bestFit="1" customWidth="1"/>
  </cols>
  <sheetData>
    <row r="1" spans="1:3" s="1" customFormat="1" ht="32.25" customHeight="1" x14ac:dyDescent="0.25">
      <c r="A1" s="12" t="s">
        <v>2</v>
      </c>
      <c r="B1" s="1" t="s">
        <v>44</v>
      </c>
      <c r="C1" s="1" t="s">
        <v>1</v>
      </c>
    </row>
    <row r="2" spans="1:3" x14ac:dyDescent="0.25">
      <c r="A2">
        <v>41</v>
      </c>
      <c r="B2">
        <f>A2^2</f>
        <v>1681</v>
      </c>
      <c r="C2">
        <v>275</v>
      </c>
    </row>
    <row r="3" spans="1:3" x14ac:dyDescent="0.25">
      <c r="A3">
        <v>106</v>
      </c>
      <c r="B3">
        <f t="shared" ref="B3:B16" si="0">A3^2</f>
        <v>11236</v>
      </c>
      <c r="C3">
        <v>296</v>
      </c>
    </row>
    <row r="4" spans="1:3" x14ac:dyDescent="0.25">
      <c r="A4">
        <v>76</v>
      </c>
      <c r="B4">
        <f t="shared" si="0"/>
        <v>5776</v>
      </c>
      <c r="C4">
        <v>317</v>
      </c>
    </row>
    <row r="5" spans="1:3" x14ac:dyDescent="0.25">
      <c r="A5">
        <v>103</v>
      </c>
      <c r="B5">
        <f>A5^2</f>
        <v>10609</v>
      </c>
      <c r="C5">
        <v>374</v>
      </c>
    </row>
    <row r="6" spans="1:3" x14ac:dyDescent="0.25">
      <c r="A6">
        <v>22</v>
      </c>
      <c r="B6">
        <f t="shared" si="0"/>
        <v>484</v>
      </c>
      <c r="C6">
        <v>162</v>
      </c>
    </row>
    <row r="7" spans="1:3" x14ac:dyDescent="0.25">
      <c r="A7">
        <v>12</v>
      </c>
      <c r="B7">
        <f t="shared" si="0"/>
        <v>144</v>
      </c>
      <c r="C7">
        <v>150</v>
      </c>
    </row>
    <row r="8" spans="1:3" x14ac:dyDescent="0.25">
      <c r="A8">
        <v>85</v>
      </c>
      <c r="B8">
        <f t="shared" si="0"/>
        <v>7225</v>
      </c>
      <c r="C8">
        <v>367</v>
      </c>
    </row>
    <row r="9" spans="1:3" x14ac:dyDescent="0.25">
      <c r="A9">
        <v>111</v>
      </c>
      <c r="B9">
        <f t="shared" si="0"/>
        <v>12321</v>
      </c>
      <c r="C9">
        <v>308</v>
      </c>
    </row>
    <row r="10" spans="1:3" x14ac:dyDescent="0.25">
      <c r="A10">
        <v>40</v>
      </c>
      <c r="B10">
        <f t="shared" si="0"/>
        <v>1600</v>
      </c>
      <c r="C10">
        <v>189</v>
      </c>
    </row>
    <row r="11" spans="1:3" x14ac:dyDescent="0.25">
      <c r="A11">
        <v>51</v>
      </c>
      <c r="B11">
        <f t="shared" si="0"/>
        <v>2601</v>
      </c>
      <c r="C11">
        <v>235</v>
      </c>
    </row>
    <row r="12" spans="1:3" x14ac:dyDescent="0.25">
      <c r="A12">
        <v>9</v>
      </c>
      <c r="B12">
        <f t="shared" si="0"/>
        <v>81</v>
      </c>
      <c r="C12">
        <v>83</v>
      </c>
    </row>
    <row r="13" spans="1:3" x14ac:dyDescent="0.25">
      <c r="A13">
        <v>12</v>
      </c>
      <c r="B13">
        <f t="shared" si="0"/>
        <v>144</v>
      </c>
      <c r="C13">
        <v>112</v>
      </c>
    </row>
    <row r="14" spans="1:3" x14ac:dyDescent="0.25">
      <c r="A14">
        <v>6</v>
      </c>
      <c r="B14">
        <f t="shared" si="0"/>
        <v>36</v>
      </c>
      <c r="C14">
        <v>67</v>
      </c>
    </row>
    <row r="15" spans="1:3" x14ac:dyDescent="0.25">
      <c r="A15">
        <v>56</v>
      </c>
      <c r="B15">
        <f t="shared" si="0"/>
        <v>3136</v>
      </c>
      <c r="C15">
        <v>325</v>
      </c>
    </row>
    <row r="16" spans="1:3" x14ac:dyDescent="0.25">
      <c r="A16">
        <v>19</v>
      </c>
      <c r="B16">
        <f t="shared" si="0"/>
        <v>361</v>
      </c>
      <c r="C16">
        <v>189</v>
      </c>
    </row>
    <row r="18" spans="1:7" x14ac:dyDescent="0.25">
      <c r="A18" s="10" t="s">
        <v>4</v>
      </c>
      <c r="B18" s="10"/>
      <c r="C18" s="10"/>
      <c r="D18" s="10"/>
      <c r="E18" s="10"/>
      <c r="F18" s="10"/>
      <c r="G18" s="10"/>
    </row>
    <row r="19" spans="1:7" ht="15.75" thickBot="1" x14ac:dyDescent="0.3">
      <c r="A19" s="10"/>
      <c r="B19" s="10"/>
      <c r="C19" s="10"/>
      <c r="D19" s="10"/>
      <c r="E19" s="10"/>
      <c r="F19" s="10"/>
      <c r="G19" s="10"/>
    </row>
    <row r="20" spans="1:7" x14ac:dyDescent="0.25">
      <c r="A20" s="20" t="s">
        <v>5</v>
      </c>
      <c r="B20" s="20"/>
      <c r="C20" s="10"/>
      <c r="D20" s="10"/>
      <c r="E20" s="10"/>
      <c r="F20" s="10"/>
      <c r="G20" s="10"/>
    </row>
    <row r="21" spans="1:7" x14ac:dyDescent="0.25">
      <c r="A21" s="10" t="s">
        <v>6</v>
      </c>
      <c r="B21" s="10">
        <v>0.9505176460614212</v>
      </c>
      <c r="C21" s="10"/>
      <c r="D21" s="10"/>
      <c r="E21" s="10"/>
      <c r="F21" s="10"/>
      <c r="G21" s="10"/>
    </row>
    <row r="22" spans="1:7" x14ac:dyDescent="0.25">
      <c r="A22" s="10" t="s">
        <v>7</v>
      </c>
      <c r="B22" s="10">
        <v>0.90348379547414515</v>
      </c>
      <c r="C22" s="10"/>
      <c r="D22" s="10"/>
      <c r="E22" s="10"/>
      <c r="F22" s="10"/>
      <c r="G22" s="10"/>
    </row>
    <row r="23" spans="1:7" x14ac:dyDescent="0.25">
      <c r="A23" s="10" t="s">
        <v>8</v>
      </c>
      <c r="B23" s="10">
        <v>0.88739776138650273</v>
      </c>
      <c r="C23" s="10"/>
      <c r="D23" s="10"/>
      <c r="E23" s="10"/>
      <c r="F23" s="10"/>
      <c r="G23" s="10"/>
    </row>
    <row r="24" spans="1:7" x14ac:dyDescent="0.25">
      <c r="A24" s="10" t="s">
        <v>9</v>
      </c>
      <c r="B24" s="10">
        <v>34.159277619196189</v>
      </c>
      <c r="C24" s="10"/>
      <c r="D24" s="10"/>
      <c r="E24" s="10"/>
      <c r="F24" s="10"/>
      <c r="G24" s="10"/>
    </row>
    <row r="25" spans="1:7" ht="15.75" thickBot="1" x14ac:dyDescent="0.3">
      <c r="A25" s="11" t="s">
        <v>10</v>
      </c>
      <c r="B25" s="11">
        <v>15</v>
      </c>
      <c r="C25" s="10"/>
      <c r="D25" s="10"/>
      <c r="E25" s="10"/>
      <c r="F25" s="10"/>
      <c r="G25" s="10"/>
    </row>
    <row r="26" spans="1:7" x14ac:dyDescent="0.25">
      <c r="A26" s="10"/>
      <c r="B26" s="10"/>
      <c r="C26" s="10"/>
      <c r="D26" s="10"/>
      <c r="E26" s="10"/>
      <c r="F26" s="10"/>
      <c r="G26" s="10"/>
    </row>
    <row r="27" spans="1:7" ht="15.75" thickBot="1" x14ac:dyDescent="0.3">
      <c r="A27" s="10" t="s">
        <v>11</v>
      </c>
      <c r="B27" s="10"/>
      <c r="C27" s="10"/>
      <c r="D27" s="10"/>
      <c r="E27" s="10"/>
      <c r="F27" s="10"/>
      <c r="G27" s="10"/>
    </row>
    <row r="28" spans="1:7" x14ac:dyDescent="0.25">
      <c r="A28" s="21"/>
      <c r="B28" s="21" t="s">
        <v>16</v>
      </c>
      <c r="C28" s="21" t="s">
        <v>17</v>
      </c>
      <c r="D28" s="21" t="s">
        <v>18</v>
      </c>
      <c r="E28" s="21" t="s">
        <v>19</v>
      </c>
      <c r="F28" s="21" t="s">
        <v>20</v>
      </c>
      <c r="G28" s="10"/>
    </row>
    <row r="29" spans="1:7" x14ac:dyDescent="0.25">
      <c r="A29" s="10" t="s">
        <v>12</v>
      </c>
      <c r="B29" s="10">
        <v>2</v>
      </c>
      <c r="C29" s="10">
        <v>131074.65836374954</v>
      </c>
      <c r="D29" s="10">
        <v>65537.329181874768</v>
      </c>
      <c r="E29" s="10">
        <v>56.165726775887826</v>
      </c>
      <c r="F29" s="22">
        <v>8.083536624622477E-7</v>
      </c>
      <c r="G29" s="22"/>
    </row>
    <row r="30" spans="1:7" x14ac:dyDescent="0.25">
      <c r="A30" s="10" t="s">
        <v>13</v>
      </c>
      <c r="B30" s="10">
        <v>12</v>
      </c>
      <c r="C30" s="10">
        <v>14002.27496958381</v>
      </c>
      <c r="D30" s="10">
        <v>1166.8562474653174</v>
      </c>
      <c r="E30" s="10"/>
      <c r="F30" s="10"/>
      <c r="G30" s="10"/>
    </row>
    <row r="31" spans="1:7" ht="15.75" thickBot="1" x14ac:dyDescent="0.3">
      <c r="A31" s="11" t="s">
        <v>14</v>
      </c>
      <c r="B31" s="11">
        <v>14</v>
      </c>
      <c r="C31" s="11">
        <v>145076.93333333335</v>
      </c>
      <c r="D31" s="11"/>
      <c r="E31" s="11"/>
      <c r="F31" s="11"/>
      <c r="G31" s="10"/>
    </row>
    <row r="32" spans="1:7" ht="15.75" thickBot="1" x14ac:dyDescent="0.3">
      <c r="A32" s="10"/>
      <c r="B32" s="10"/>
      <c r="C32" s="10"/>
      <c r="D32" s="10"/>
      <c r="E32" s="10"/>
      <c r="F32" s="10"/>
      <c r="G32" s="10"/>
    </row>
    <row r="33" spans="1:9" x14ac:dyDescent="0.25">
      <c r="A33" s="21"/>
      <c r="B33" s="21" t="s">
        <v>21</v>
      </c>
      <c r="C33" s="21" t="s">
        <v>9</v>
      </c>
      <c r="D33" s="21" t="s">
        <v>22</v>
      </c>
      <c r="E33" s="21" t="s">
        <v>23</v>
      </c>
      <c r="F33" s="21" t="s">
        <v>24</v>
      </c>
      <c r="G33" s="21" t="s">
        <v>25</v>
      </c>
      <c r="H33" s="21" t="s">
        <v>26</v>
      </c>
      <c r="I33" s="21" t="s">
        <v>27</v>
      </c>
    </row>
    <row r="34" spans="1:9" x14ac:dyDescent="0.25">
      <c r="A34" s="10" t="s">
        <v>15</v>
      </c>
      <c r="B34" s="10">
        <v>44.867789110357222</v>
      </c>
      <c r="C34" s="10">
        <v>22.593812201164951</v>
      </c>
      <c r="D34" s="10">
        <v>1.985844120101335</v>
      </c>
      <c r="E34" s="10">
        <v>7.0379804968032394E-2</v>
      </c>
      <c r="F34" s="10">
        <v>-4.3598987846329393</v>
      </c>
      <c r="G34" s="10">
        <v>94.095477005347391</v>
      </c>
      <c r="H34" s="10">
        <v>-4.3598987846329393</v>
      </c>
      <c r="I34" s="10">
        <v>94.095477005347391</v>
      </c>
    </row>
    <row r="35" spans="1:9" x14ac:dyDescent="0.25">
      <c r="A35" s="10" t="s">
        <v>0</v>
      </c>
      <c r="B35" s="10">
        <v>6.3818097641091187</v>
      </c>
      <c r="C35" s="10">
        <v>1.0510472002138576</v>
      </c>
      <c r="D35" s="10">
        <v>6.0718583930489576</v>
      </c>
      <c r="E35" s="10">
        <v>5.5697008519467553E-5</v>
      </c>
      <c r="F35" s="10">
        <v>4.0917746396973458</v>
      </c>
      <c r="G35" s="10">
        <v>8.6718448885208907</v>
      </c>
      <c r="H35" s="10">
        <v>4.0917746396973458</v>
      </c>
      <c r="I35" s="10">
        <v>8.6718448885208907</v>
      </c>
    </row>
    <row r="36" spans="1:9" ht="15.75" thickBot="1" x14ac:dyDescent="0.3">
      <c r="A36" s="11" t="s">
        <v>3</v>
      </c>
      <c r="B36" s="11">
        <v>-3.4891483415566957E-2</v>
      </c>
      <c r="C36" s="11">
        <v>8.9122486589527754E-3</v>
      </c>
      <c r="D36" s="11">
        <v>-3.9150033567024423</v>
      </c>
      <c r="E36" s="11">
        <v>2.0535853841635518E-3</v>
      </c>
      <c r="F36" s="11">
        <v>-5.4309605134877814E-2</v>
      </c>
      <c r="G36" s="11">
        <v>-1.5473361696256099E-2</v>
      </c>
      <c r="H36" s="11">
        <v>-5.4309605134877814E-2</v>
      </c>
      <c r="I36" s="11">
        <v>-1.5473361696256099E-2</v>
      </c>
    </row>
    <row r="37" spans="1:9" x14ac:dyDescent="0.25">
      <c r="A37" s="10"/>
      <c r="B37" s="10"/>
      <c r="C37" s="10"/>
      <c r="D37" s="10"/>
      <c r="E37" s="10"/>
      <c r="F37" s="10"/>
      <c r="G37" s="10"/>
    </row>
    <row r="38" spans="1:9" x14ac:dyDescent="0.25">
      <c r="A38" s="10"/>
      <c r="B38" s="10"/>
      <c r="C38" s="10"/>
      <c r="D38" s="10"/>
      <c r="E38" s="10"/>
      <c r="F38" s="10"/>
      <c r="G38" s="10"/>
    </row>
    <row r="39" spans="1:9" x14ac:dyDescent="0.25">
      <c r="A39" s="10"/>
      <c r="B39" s="10"/>
      <c r="C39" s="10"/>
      <c r="D39" s="10"/>
      <c r="E39" s="10"/>
      <c r="F39" s="10"/>
      <c r="G39" s="10"/>
    </row>
    <row r="40" spans="1:9" x14ac:dyDescent="0.25">
      <c r="A40" s="10" t="s">
        <v>28</v>
      </c>
      <c r="B40" s="10"/>
      <c r="C40" s="10"/>
      <c r="D40" s="10"/>
      <c r="E40" s="10"/>
      <c r="F40" s="10" t="s">
        <v>33</v>
      </c>
      <c r="G40" s="10"/>
    </row>
    <row r="41" spans="1:9" ht="15.75" thickBot="1" x14ac:dyDescent="0.3">
      <c r="A41" s="10"/>
      <c r="B41" s="10"/>
      <c r="C41" s="10"/>
      <c r="D41" s="10"/>
      <c r="E41" s="10"/>
      <c r="F41" s="10"/>
      <c r="G41" s="10"/>
    </row>
    <row r="42" spans="1:9" x14ac:dyDescent="0.25">
      <c r="A42" s="21" t="s">
        <v>29</v>
      </c>
      <c r="B42" s="21" t="s">
        <v>30</v>
      </c>
      <c r="C42" s="21" t="s">
        <v>31</v>
      </c>
      <c r="D42" s="21" t="s">
        <v>32</v>
      </c>
      <c r="E42" s="10"/>
      <c r="F42" s="21" t="s">
        <v>34</v>
      </c>
      <c r="G42" s="21" t="s">
        <v>1</v>
      </c>
    </row>
    <row r="43" spans="1:9" x14ac:dyDescent="0.25">
      <c r="A43" s="10">
        <v>1</v>
      </c>
      <c r="B43" s="10">
        <v>247.86940581726299</v>
      </c>
      <c r="C43" s="10">
        <v>27.130594182737013</v>
      </c>
      <c r="D43" s="10">
        <v>0.85787502032948759</v>
      </c>
      <c r="E43" s="10"/>
      <c r="F43" s="10">
        <v>3.3333333333333335</v>
      </c>
      <c r="G43" s="10">
        <v>67</v>
      </c>
    </row>
    <row r="44" spans="1:9" x14ac:dyDescent="0.25">
      <c r="A44" s="10">
        <v>2</v>
      </c>
      <c r="B44" s="10">
        <v>329.29891644861345</v>
      </c>
      <c r="C44" s="10">
        <v>-33.298916448613454</v>
      </c>
      <c r="D44" s="10">
        <v>-1.0529186509111066</v>
      </c>
      <c r="E44" s="10"/>
      <c r="F44" s="10">
        <v>10</v>
      </c>
      <c r="G44" s="10">
        <v>83</v>
      </c>
    </row>
    <row r="45" spans="1:9" x14ac:dyDescent="0.25">
      <c r="A45" s="10">
        <v>3</v>
      </c>
      <c r="B45" s="10">
        <v>328.35212297433554</v>
      </c>
      <c r="C45" s="10">
        <v>-11.352122974335543</v>
      </c>
      <c r="D45" s="10">
        <v>-0.35895648513247852</v>
      </c>
      <c r="E45" s="10"/>
      <c r="F45" s="10">
        <v>16.666666666666668</v>
      </c>
      <c r="G45" s="10">
        <v>112</v>
      </c>
    </row>
    <row r="46" spans="1:9" x14ac:dyDescent="0.25">
      <c r="A46" s="10">
        <v>4</v>
      </c>
      <c r="B46" s="10">
        <v>332.0304472578465</v>
      </c>
      <c r="C46" s="10">
        <v>41.969552742153496</v>
      </c>
      <c r="D46" s="10">
        <v>1.3270859705241509</v>
      </c>
      <c r="E46" s="10"/>
      <c r="F46" s="10">
        <v>23.333333333333332</v>
      </c>
      <c r="G46" s="10">
        <v>150</v>
      </c>
    </row>
    <row r="47" spans="1:9" x14ac:dyDescent="0.25">
      <c r="A47" s="10">
        <v>5</v>
      </c>
      <c r="B47" s="10">
        <v>168.38012594762344</v>
      </c>
      <c r="C47" s="10">
        <v>-6.3801259476234407</v>
      </c>
      <c r="D47" s="10">
        <v>-0.20174090696859123</v>
      </c>
      <c r="E47" s="10"/>
      <c r="F47" s="10">
        <v>30</v>
      </c>
      <c r="G47" s="10">
        <v>162</v>
      </c>
    </row>
    <row r="48" spans="1:9" x14ac:dyDescent="0.25">
      <c r="A48" s="10">
        <v>6</v>
      </c>
      <c r="B48" s="10">
        <v>116.42513266782501</v>
      </c>
      <c r="C48" s="10">
        <v>33.574867332174989</v>
      </c>
      <c r="D48" s="10">
        <v>1.0616442751363189</v>
      </c>
      <c r="E48" s="10"/>
      <c r="F48" s="10">
        <v>36.666666666666671</v>
      </c>
      <c r="G48" s="10">
        <v>189</v>
      </c>
    </row>
    <row r="49" spans="1:7" x14ac:dyDescent="0.25">
      <c r="A49" s="10">
        <v>7</v>
      </c>
      <c r="B49" s="10">
        <v>335.23065138216106</v>
      </c>
      <c r="C49" s="10">
        <v>31.769348617838943</v>
      </c>
      <c r="D49" s="10">
        <v>1.0045533985659907</v>
      </c>
      <c r="E49" s="10"/>
      <c r="F49" s="10">
        <v>43.333333333333336</v>
      </c>
      <c r="G49" s="10">
        <v>189</v>
      </c>
    </row>
    <row r="50" spans="1:7" x14ac:dyDescent="0.25">
      <c r="A50" s="10">
        <v>8</v>
      </c>
      <c r="B50" s="10">
        <v>323.35070576326888</v>
      </c>
      <c r="C50" s="10">
        <v>-15.350705763268877</v>
      </c>
      <c r="D50" s="10">
        <v>-0.48539250301844084</v>
      </c>
      <c r="E50" s="10"/>
      <c r="F50" s="10">
        <v>50.000000000000007</v>
      </c>
      <c r="G50" s="10">
        <v>235</v>
      </c>
    </row>
    <row r="51" spans="1:7" x14ac:dyDescent="0.25">
      <c r="A51" s="10">
        <v>9</v>
      </c>
      <c r="B51" s="10">
        <v>244.3138062098148</v>
      </c>
      <c r="C51" s="10">
        <v>-55.3138062098148</v>
      </c>
      <c r="D51" s="10">
        <v>-1.7490340354189426</v>
      </c>
      <c r="E51" s="10"/>
      <c r="F51" s="10">
        <v>56.666666666666671</v>
      </c>
      <c r="G51" s="10">
        <v>275</v>
      </c>
    </row>
    <row r="52" spans="1:7" x14ac:dyDescent="0.25">
      <c r="A52" s="10">
        <v>10</v>
      </c>
      <c r="B52" s="10">
        <v>279.5873387160326</v>
      </c>
      <c r="C52" s="10">
        <v>-44.587338716032605</v>
      </c>
      <c r="D52" s="10">
        <v>-1.409860906466716</v>
      </c>
      <c r="E52" s="10"/>
      <c r="F52" s="10">
        <v>63.333333333333336</v>
      </c>
      <c r="G52" s="10">
        <v>296</v>
      </c>
    </row>
    <row r="53" spans="1:7" x14ac:dyDescent="0.25">
      <c r="A53" s="10">
        <v>11</v>
      </c>
      <c r="B53" s="10">
        <v>99.47786683067838</v>
      </c>
      <c r="C53" s="10">
        <v>-16.47786683067838</v>
      </c>
      <c r="D53" s="10">
        <v>-0.52103356996690475</v>
      </c>
      <c r="E53" s="10"/>
      <c r="F53" s="10">
        <v>70</v>
      </c>
      <c r="G53" s="10">
        <v>308</v>
      </c>
    </row>
    <row r="54" spans="1:7" x14ac:dyDescent="0.25">
      <c r="A54" s="10">
        <v>12</v>
      </c>
      <c r="B54" s="10">
        <v>116.42513266782501</v>
      </c>
      <c r="C54" s="10">
        <v>-4.4251326678250109</v>
      </c>
      <c r="D54" s="10">
        <v>-0.13992361360764299</v>
      </c>
      <c r="E54" s="10"/>
      <c r="F54" s="10">
        <v>76.666666666666671</v>
      </c>
      <c r="G54" s="10">
        <v>317</v>
      </c>
    </row>
    <row r="55" spans="1:7" x14ac:dyDescent="0.25">
      <c r="A55" s="10">
        <v>13</v>
      </c>
      <c r="B55" s="10">
        <v>81.902554292051519</v>
      </c>
      <c r="C55" s="10">
        <v>-14.902554292051519</v>
      </c>
      <c r="D55" s="10">
        <v>-0.47122186046296344</v>
      </c>
      <c r="E55" s="10"/>
      <c r="F55" s="10">
        <v>83.333333333333329</v>
      </c>
      <c r="G55" s="10">
        <v>325</v>
      </c>
    </row>
    <row r="56" spans="1:7" x14ac:dyDescent="0.25">
      <c r="A56" s="10">
        <v>14</v>
      </c>
      <c r="B56" s="10">
        <v>292.8294439092499</v>
      </c>
      <c r="C56" s="10">
        <v>32.170556090750097</v>
      </c>
      <c r="D56" s="10">
        <v>1.017239662149521</v>
      </c>
      <c r="E56" s="10"/>
      <c r="F56" s="10">
        <v>90</v>
      </c>
      <c r="G56" s="10">
        <v>367</v>
      </c>
    </row>
    <row r="57" spans="1:7" ht="15.75" thickBot="1" x14ac:dyDescent="0.3">
      <c r="A57" s="11">
        <v>15</v>
      </c>
      <c r="B57" s="11">
        <v>153.5263491154108</v>
      </c>
      <c r="C57" s="11">
        <v>35.473650884589205</v>
      </c>
      <c r="D57" s="11">
        <v>1.1216842052483218</v>
      </c>
      <c r="E57" s="10"/>
      <c r="F57" s="11">
        <v>96.666666666666671</v>
      </c>
      <c r="G57" s="11">
        <v>374</v>
      </c>
    </row>
  </sheetData>
  <sortState xmlns:xlrd2="http://schemas.microsoft.com/office/spreadsheetml/2017/richdata2" ref="G43:G57">
    <sortCondition ref="G43"/>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F9B0-DCE3-4D5A-9B43-1312EA16FE1B}">
  <dimension ref="A1:F19"/>
  <sheetViews>
    <sheetView workbookViewId="0">
      <selection activeCell="G19" sqref="G19"/>
    </sheetView>
  </sheetViews>
  <sheetFormatPr defaultRowHeight="15" x14ac:dyDescent="0.25"/>
  <cols>
    <col min="1" max="1" width="8.42578125" customWidth="1"/>
    <col min="2" max="2" width="26.7109375" customWidth="1"/>
    <col min="3" max="3" width="7.28515625" bestFit="1" customWidth="1"/>
    <col min="4" max="4" width="9" customWidth="1"/>
    <col min="5" max="5" width="16.28515625" bestFit="1" customWidth="1"/>
    <col min="6" max="6" width="10.85546875" bestFit="1" customWidth="1"/>
    <col min="7" max="7" width="8.140625" bestFit="1" customWidth="1"/>
    <col min="8" max="8" width="10.85546875" bestFit="1" customWidth="1"/>
    <col min="9" max="9" width="8.140625" bestFit="1" customWidth="1"/>
    <col min="10" max="10" width="10.85546875" bestFit="1" customWidth="1"/>
    <col min="11" max="11" width="12" bestFit="1" customWidth="1"/>
    <col min="12" max="12" width="27.7109375" bestFit="1" customWidth="1"/>
  </cols>
  <sheetData>
    <row r="1" spans="1:6" s="4" customFormat="1" ht="49.5" customHeight="1" x14ac:dyDescent="0.25">
      <c r="A1" s="4" t="s">
        <v>35</v>
      </c>
      <c r="B1" s="6" t="s">
        <v>36</v>
      </c>
      <c r="C1" s="6" t="s">
        <v>37</v>
      </c>
      <c r="D1" s="4" t="s">
        <v>35</v>
      </c>
      <c r="E1" s="6" t="s">
        <v>36</v>
      </c>
      <c r="F1" s="6" t="s">
        <v>38</v>
      </c>
    </row>
    <row r="2" spans="1:6" x14ac:dyDescent="0.25">
      <c r="A2" s="3">
        <v>2</v>
      </c>
      <c r="B2">
        <v>50</v>
      </c>
      <c r="C2">
        <v>478</v>
      </c>
      <c r="D2" s="5">
        <v>2</v>
      </c>
      <c r="E2">
        <v>100</v>
      </c>
      <c r="F2">
        <v>810</v>
      </c>
    </row>
    <row r="3" spans="1:6" x14ac:dyDescent="0.25">
      <c r="A3" s="3">
        <v>2.5</v>
      </c>
      <c r="B3">
        <v>50</v>
      </c>
      <c r="C3">
        <v>373</v>
      </c>
      <c r="D3" s="5">
        <v>2.5</v>
      </c>
      <c r="E3">
        <v>100</v>
      </c>
      <c r="F3">
        <v>653</v>
      </c>
    </row>
    <row r="4" spans="1:6" x14ac:dyDescent="0.25">
      <c r="A4" s="3">
        <v>3</v>
      </c>
      <c r="B4">
        <v>50</v>
      </c>
      <c r="C4">
        <v>335</v>
      </c>
      <c r="D4" s="5">
        <v>3</v>
      </c>
      <c r="E4">
        <v>100</v>
      </c>
      <c r="F4">
        <v>345</v>
      </c>
    </row>
    <row r="5" spans="1:6" x14ac:dyDescent="0.25">
      <c r="A5" s="3">
        <v>2</v>
      </c>
      <c r="B5">
        <v>50</v>
      </c>
      <c r="C5">
        <v>473</v>
      </c>
      <c r="D5" s="5">
        <v>2</v>
      </c>
      <c r="E5">
        <v>100</v>
      </c>
      <c r="F5">
        <v>832</v>
      </c>
    </row>
    <row r="6" spans="1:6" x14ac:dyDescent="0.25">
      <c r="A6" s="3">
        <v>2.5</v>
      </c>
      <c r="B6">
        <v>50</v>
      </c>
      <c r="C6">
        <v>358</v>
      </c>
      <c r="D6" s="5">
        <v>2.5</v>
      </c>
      <c r="E6">
        <v>100</v>
      </c>
      <c r="F6">
        <v>641</v>
      </c>
    </row>
    <row r="7" spans="1:6" x14ac:dyDescent="0.25">
      <c r="A7" s="3">
        <v>3</v>
      </c>
      <c r="B7">
        <v>50</v>
      </c>
      <c r="C7">
        <v>329</v>
      </c>
      <c r="D7" s="5">
        <v>3</v>
      </c>
      <c r="E7">
        <v>100</v>
      </c>
      <c r="F7">
        <v>372</v>
      </c>
    </row>
    <row r="8" spans="1:6" x14ac:dyDescent="0.25">
      <c r="A8" s="3">
        <v>2</v>
      </c>
      <c r="B8">
        <v>50</v>
      </c>
      <c r="C8">
        <v>456</v>
      </c>
      <c r="D8" s="5">
        <v>2</v>
      </c>
      <c r="E8">
        <v>100</v>
      </c>
      <c r="F8">
        <v>800</v>
      </c>
    </row>
    <row r="9" spans="1:6" x14ac:dyDescent="0.25">
      <c r="A9" s="3">
        <v>2.5</v>
      </c>
      <c r="B9">
        <v>50</v>
      </c>
      <c r="C9">
        <v>360</v>
      </c>
      <c r="D9" s="5">
        <v>2.5</v>
      </c>
      <c r="E9">
        <v>100</v>
      </c>
      <c r="F9">
        <v>620</v>
      </c>
    </row>
    <row r="10" spans="1:6" x14ac:dyDescent="0.25">
      <c r="A10" s="3">
        <v>3</v>
      </c>
      <c r="B10">
        <v>50</v>
      </c>
      <c r="C10">
        <v>322</v>
      </c>
      <c r="D10" s="5">
        <v>3</v>
      </c>
      <c r="E10">
        <v>100</v>
      </c>
      <c r="F10">
        <v>390</v>
      </c>
    </row>
    <row r="11" spans="1:6" x14ac:dyDescent="0.25">
      <c r="A11" s="3">
        <v>2</v>
      </c>
      <c r="B11">
        <v>50</v>
      </c>
      <c r="C11">
        <v>437</v>
      </c>
      <c r="D11" s="5">
        <v>2</v>
      </c>
      <c r="E11">
        <v>100</v>
      </c>
      <c r="F11">
        <v>790</v>
      </c>
    </row>
    <row r="12" spans="1:6" x14ac:dyDescent="0.25">
      <c r="A12" s="3">
        <v>2.5</v>
      </c>
      <c r="B12">
        <v>50</v>
      </c>
      <c r="C12">
        <v>365</v>
      </c>
      <c r="D12" s="5">
        <v>2.5</v>
      </c>
      <c r="E12">
        <v>100</v>
      </c>
      <c r="F12">
        <v>670</v>
      </c>
    </row>
    <row r="13" spans="1:6" x14ac:dyDescent="0.25">
      <c r="A13" s="3">
        <v>3</v>
      </c>
      <c r="B13">
        <v>50</v>
      </c>
      <c r="C13">
        <v>342</v>
      </c>
      <c r="D13" s="5">
        <v>3</v>
      </c>
      <c r="E13">
        <v>100</v>
      </c>
      <c r="F13">
        <v>393</v>
      </c>
    </row>
    <row r="19" ht="56.25"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EE59B-6184-4AE3-B852-BB3B4D0D2392}">
  <dimension ref="A1:I25"/>
  <sheetViews>
    <sheetView zoomScale="77" zoomScaleNormal="77" workbookViewId="0">
      <selection activeCell="B16" sqref="B16"/>
    </sheetView>
  </sheetViews>
  <sheetFormatPr defaultRowHeight="15" x14ac:dyDescent="0.25"/>
  <cols>
    <col min="1" max="1" width="11.5703125" customWidth="1"/>
    <col min="2" max="2" width="26.7109375" customWidth="1"/>
    <col min="3" max="3" width="7.28515625" bestFit="1" customWidth="1"/>
    <col min="4" max="4" width="4.140625" customWidth="1"/>
    <col min="5" max="5" width="6.140625" customWidth="1"/>
    <col min="6" max="6" width="33.5703125" bestFit="1" customWidth="1"/>
    <col min="7" max="7" width="8.7109375" bestFit="1" customWidth="1"/>
    <col min="8" max="9" width="6.28515625" bestFit="1" customWidth="1"/>
    <col min="10" max="10" width="11.28515625" bestFit="1" customWidth="1"/>
    <col min="11" max="11" width="12" bestFit="1" customWidth="1"/>
    <col min="12" max="12" width="27.7109375" bestFit="1" customWidth="1"/>
  </cols>
  <sheetData>
    <row r="1" spans="1:9" s="4" customFormat="1" ht="33.75" customHeight="1" x14ac:dyDescent="0.25">
      <c r="A1" s="4" t="s">
        <v>35</v>
      </c>
      <c r="B1" s="6" t="s">
        <v>36</v>
      </c>
      <c r="C1" s="6" t="s">
        <v>37</v>
      </c>
    </row>
    <row r="2" spans="1:9" x14ac:dyDescent="0.25">
      <c r="A2" s="5">
        <v>2</v>
      </c>
      <c r="B2">
        <v>50</v>
      </c>
      <c r="C2">
        <v>478</v>
      </c>
      <c r="E2" s="4"/>
      <c r="F2" s="6"/>
      <c r="G2" s="6"/>
      <c r="H2" s="4"/>
      <c r="I2" s="4"/>
    </row>
    <row r="3" spans="1:9" x14ac:dyDescent="0.25">
      <c r="A3" s="5">
        <v>2.5</v>
      </c>
      <c r="B3">
        <v>50</v>
      </c>
      <c r="C3">
        <v>373</v>
      </c>
      <c r="F3" s="7" t="s">
        <v>39</v>
      </c>
      <c r="G3" s="7" t="s">
        <v>35</v>
      </c>
    </row>
    <row r="4" spans="1:9" x14ac:dyDescent="0.25">
      <c r="A4" s="5">
        <v>3</v>
      </c>
      <c r="B4">
        <v>50</v>
      </c>
      <c r="C4">
        <v>335</v>
      </c>
      <c r="F4" s="7" t="s">
        <v>36</v>
      </c>
      <c r="G4" s="9">
        <v>2</v>
      </c>
      <c r="H4" s="9">
        <v>2.5</v>
      </c>
      <c r="I4" s="9">
        <v>3</v>
      </c>
    </row>
    <row r="5" spans="1:9" x14ac:dyDescent="0.25">
      <c r="A5" s="5">
        <v>2</v>
      </c>
      <c r="B5">
        <v>50</v>
      </c>
      <c r="C5">
        <v>473</v>
      </c>
      <c r="E5" s="4"/>
      <c r="F5">
        <v>50</v>
      </c>
      <c r="G5" s="41">
        <v>461</v>
      </c>
      <c r="H5" s="41">
        <v>364</v>
      </c>
      <c r="I5" s="41">
        <v>332</v>
      </c>
    </row>
    <row r="6" spans="1:9" x14ac:dyDescent="0.25">
      <c r="A6" s="5">
        <v>2.5</v>
      </c>
      <c r="B6">
        <v>50</v>
      </c>
      <c r="C6">
        <v>358</v>
      </c>
      <c r="E6" s="4"/>
      <c r="F6">
        <v>100</v>
      </c>
      <c r="G6" s="41">
        <v>808</v>
      </c>
      <c r="H6" s="41">
        <v>646</v>
      </c>
      <c r="I6" s="41">
        <v>375</v>
      </c>
    </row>
    <row r="7" spans="1:9" x14ac:dyDescent="0.25">
      <c r="A7" s="5">
        <v>3</v>
      </c>
      <c r="B7">
        <v>50</v>
      </c>
      <c r="C7">
        <v>329</v>
      </c>
      <c r="F7" s="40" t="s">
        <v>40</v>
      </c>
      <c r="G7" s="10">
        <f>ABS(GETPIVOTDATA("Sales (1000s)",$F$3,"Price",2,"Advertising Expenditure ($1000s)",50)-GETPIVOTDATA("Sales (1000s)",$F$3,"Price",2,"Advertising Expenditure ($1000s)",100))</f>
        <v>347</v>
      </c>
      <c r="H7" s="10">
        <f>ABS(GETPIVOTDATA("Sales (1000s)",$F$3,"Price",2.5,"Advertising Expenditure ($1000s)",50)-GETPIVOTDATA("Sales (1000s)",$F$3,"Price",2.5,"Advertising Expenditure ($1000s)",100))</f>
        <v>282</v>
      </c>
      <c r="I7" s="10">
        <f>ABS(GETPIVOTDATA("Sales (1000s)",$F$3,"Price",3,"Advertising Expenditure ($1000s)",50)-GETPIVOTDATA("Sales (1000s)",$F$3,"Price",3,"Advertising Expenditure ($1000s)",100))</f>
        <v>43</v>
      </c>
    </row>
    <row r="8" spans="1:9" x14ac:dyDescent="0.25">
      <c r="A8" s="5">
        <v>2</v>
      </c>
      <c r="B8">
        <v>50</v>
      </c>
      <c r="C8">
        <v>456</v>
      </c>
    </row>
    <row r="9" spans="1:9" x14ac:dyDescent="0.25">
      <c r="A9" s="5">
        <v>2.5</v>
      </c>
      <c r="B9">
        <v>50</v>
      </c>
      <c r="C9">
        <v>360</v>
      </c>
    </row>
    <row r="10" spans="1:9" x14ac:dyDescent="0.25">
      <c r="A10" s="5">
        <v>3</v>
      </c>
      <c r="B10">
        <v>50</v>
      </c>
      <c r="C10">
        <v>322</v>
      </c>
    </row>
    <row r="11" spans="1:9" x14ac:dyDescent="0.25">
      <c r="A11" s="5">
        <v>2</v>
      </c>
      <c r="B11">
        <v>50</v>
      </c>
      <c r="C11">
        <v>437</v>
      </c>
    </row>
    <row r="12" spans="1:9" x14ac:dyDescent="0.25">
      <c r="A12" s="5">
        <v>2.5</v>
      </c>
      <c r="B12">
        <v>50</v>
      </c>
      <c r="C12">
        <v>365</v>
      </c>
    </row>
    <row r="13" spans="1:9" x14ac:dyDescent="0.25">
      <c r="A13" s="5">
        <v>3</v>
      </c>
      <c r="B13">
        <v>50</v>
      </c>
      <c r="C13">
        <v>342</v>
      </c>
    </row>
    <row r="14" spans="1:9" x14ac:dyDescent="0.25">
      <c r="A14" s="5">
        <v>2</v>
      </c>
      <c r="B14">
        <v>100</v>
      </c>
      <c r="C14">
        <v>810</v>
      </c>
    </row>
    <row r="15" spans="1:9" x14ac:dyDescent="0.25">
      <c r="A15" s="5">
        <v>2.5</v>
      </c>
      <c r="B15">
        <v>100</v>
      </c>
      <c r="C15">
        <v>653</v>
      </c>
    </row>
    <row r="16" spans="1:9" x14ac:dyDescent="0.25">
      <c r="A16" s="5">
        <v>3</v>
      </c>
      <c r="B16">
        <v>100</v>
      </c>
      <c r="C16">
        <v>345</v>
      </c>
    </row>
    <row r="17" spans="1:3" x14ac:dyDescent="0.25">
      <c r="A17" s="5">
        <v>2</v>
      </c>
      <c r="B17">
        <v>100</v>
      </c>
      <c r="C17">
        <v>832</v>
      </c>
    </row>
    <row r="18" spans="1:3" x14ac:dyDescent="0.25">
      <c r="A18" s="5">
        <v>2.5</v>
      </c>
      <c r="B18">
        <v>100</v>
      </c>
      <c r="C18">
        <v>641</v>
      </c>
    </row>
    <row r="19" spans="1:3" ht="16.5" customHeight="1" x14ac:dyDescent="0.25">
      <c r="A19" s="5">
        <v>3</v>
      </c>
      <c r="B19">
        <v>100</v>
      </c>
      <c r="C19">
        <v>372</v>
      </c>
    </row>
    <row r="20" spans="1:3" x14ac:dyDescent="0.25">
      <c r="A20" s="5">
        <v>2</v>
      </c>
      <c r="B20">
        <v>100</v>
      </c>
      <c r="C20">
        <v>800</v>
      </c>
    </row>
    <row r="21" spans="1:3" x14ac:dyDescent="0.25">
      <c r="A21" s="5">
        <v>2.5</v>
      </c>
      <c r="B21">
        <v>100</v>
      </c>
      <c r="C21">
        <v>620</v>
      </c>
    </row>
    <row r="22" spans="1:3" x14ac:dyDescent="0.25">
      <c r="A22" s="5">
        <v>3</v>
      </c>
      <c r="B22">
        <v>100</v>
      </c>
      <c r="C22">
        <v>390</v>
      </c>
    </row>
    <row r="23" spans="1:3" x14ac:dyDescent="0.25">
      <c r="A23" s="5">
        <v>2</v>
      </c>
      <c r="B23">
        <v>100</v>
      </c>
      <c r="C23">
        <v>790</v>
      </c>
    </row>
    <row r="24" spans="1:3" x14ac:dyDescent="0.25">
      <c r="A24" s="5">
        <v>2.5</v>
      </c>
      <c r="B24">
        <v>100</v>
      </c>
      <c r="C24">
        <v>670</v>
      </c>
    </row>
    <row r="25" spans="1:3" x14ac:dyDescent="0.25">
      <c r="A25" s="5">
        <v>3</v>
      </c>
      <c r="B25">
        <v>100</v>
      </c>
      <c r="C25">
        <v>393</v>
      </c>
    </row>
  </sheetData>
  <sortState xmlns:xlrd2="http://schemas.microsoft.com/office/spreadsheetml/2017/richdata2" ref="A2:C25">
    <sortCondition ref="B2:B25"/>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868EE-3245-4741-9397-354A632D20C8}">
  <dimension ref="A1:C55"/>
  <sheetViews>
    <sheetView zoomScale="80" zoomScaleNormal="80" workbookViewId="0">
      <selection activeCell="M9" sqref="M9"/>
    </sheetView>
  </sheetViews>
  <sheetFormatPr defaultRowHeight="15" x14ac:dyDescent="0.25"/>
  <sheetData>
    <row r="1" spans="1:3" ht="75" x14ac:dyDescent="0.25">
      <c r="A1" s="4" t="s">
        <v>35</v>
      </c>
      <c r="B1" s="6" t="s">
        <v>36</v>
      </c>
      <c r="C1" s="6" t="s">
        <v>37</v>
      </c>
    </row>
    <row r="2" spans="1:3" x14ac:dyDescent="0.25">
      <c r="A2" s="5">
        <v>2</v>
      </c>
      <c r="B2">
        <v>50</v>
      </c>
      <c r="C2">
        <v>478</v>
      </c>
    </row>
    <row r="3" spans="1:3" x14ac:dyDescent="0.25">
      <c r="A3" s="5">
        <v>2</v>
      </c>
      <c r="B3">
        <v>50</v>
      </c>
      <c r="C3">
        <v>473</v>
      </c>
    </row>
    <row r="4" spans="1:3" x14ac:dyDescent="0.25">
      <c r="A4" s="5">
        <v>2</v>
      </c>
      <c r="B4">
        <v>50</v>
      </c>
      <c r="C4">
        <v>456</v>
      </c>
    </row>
    <row r="5" spans="1:3" x14ac:dyDescent="0.25">
      <c r="A5" s="5">
        <v>2</v>
      </c>
      <c r="B5">
        <v>50</v>
      </c>
      <c r="C5">
        <v>437</v>
      </c>
    </row>
    <row r="6" spans="1:3" x14ac:dyDescent="0.25">
      <c r="A6" s="5">
        <v>2</v>
      </c>
      <c r="B6">
        <v>100</v>
      </c>
      <c r="C6">
        <v>810</v>
      </c>
    </row>
    <row r="7" spans="1:3" x14ac:dyDescent="0.25">
      <c r="A7" s="5">
        <v>2</v>
      </c>
      <c r="B7">
        <v>100</v>
      </c>
      <c r="C7">
        <v>832</v>
      </c>
    </row>
    <row r="8" spans="1:3" x14ac:dyDescent="0.25">
      <c r="A8" s="5">
        <v>2</v>
      </c>
      <c r="B8">
        <v>100</v>
      </c>
      <c r="C8">
        <v>800</v>
      </c>
    </row>
    <row r="9" spans="1:3" x14ac:dyDescent="0.25">
      <c r="A9" s="5">
        <v>2</v>
      </c>
      <c r="B9">
        <v>100</v>
      </c>
      <c r="C9">
        <v>790</v>
      </c>
    </row>
    <row r="10" spans="1:3" x14ac:dyDescent="0.25">
      <c r="A10" s="5">
        <v>2.5</v>
      </c>
      <c r="B10">
        <v>50</v>
      </c>
      <c r="C10">
        <v>373</v>
      </c>
    </row>
    <row r="11" spans="1:3" x14ac:dyDescent="0.25">
      <c r="A11" s="5">
        <v>2.5</v>
      </c>
      <c r="B11">
        <v>50</v>
      </c>
      <c r="C11">
        <v>358</v>
      </c>
    </row>
    <row r="12" spans="1:3" x14ac:dyDescent="0.25">
      <c r="A12" s="5">
        <v>2.5</v>
      </c>
      <c r="B12">
        <v>50</v>
      </c>
      <c r="C12">
        <v>360</v>
      </c>
    </row>
    <row r="13" spans="1:3" x14ac:dyDescent="0.25">
      <c r="A13" s="5">
        <v>2.5</v>
      </c>
      <c r="B13">
        <v>50</v>
      </c>
      <c r="C13">
        <v>365</v>
      </c>
    </row>
    <row r="14" spans="1:3" x14ac:dyDescent="0.25">
      <c r="A14" s="5">
        <v>2.5</v>
      </c>
      <c r="B14">
        <v>100</v>
      </c>
      <c r="C14">
        <v>653</v>
      </c>
    </row>
    <row r="15" spans="1:3" x14ac:dyDescent="0.25">
      <c r="A15" s="5">
        <v>2.5</v>
      </c>
      <c r="B15">
        <v>100</v>
      </c>
      <c r="C15">
        <v>641</v>
      </c>
    </row>
    <row r="16" spans="1:3" x14ac:dyDescent="0.25">
      <c r="A16" s="5">
        <v>2.5</v>
      </c>
      <c r="B16">
        <v>100</v>
      </c>
      <c r="C16">
        <v>620</v>
      </c>
    </row>
    <row r="17" spans="1:3" x14ac:dyDescent="0.25">
      <c r="A17" s="5">
        <v>2.5</v>
      </c>
      <c r="B17">
        <v>100</v>
      </c>
      <c r="C17">
        <v>670</v>
      </c>
    </row>
    <row r="18" spans="1:3" x14ac:dyDescent="0.25">
      <c r="A18" s="5">
        <v>3</v>
      </c>
      <c r="B18">
        <v>50</v>
      </c>
      <c r="C18">
        <v>335</v>
      </c>
    </row>
    <row r="19" spans="1:3" x14ac:dyDescent="0.25">
      <c r="A19" s="5">
        <v>3</v>
      </c>
      <c r="B19">
        <v>50</v>
      </c>
      <c r="C19">
        <v>329</v>
      </c>
    </row>
    <row r="20" spans="1:3" x14ac:dyDescent="0.25">
      <c r="A20" s="5">
        <v>3</v>
      </c>
      <c r="B20">
        <v>50</v>
      </c>
      <c r="C20">
        <v>322</v>
      </c>
    </row>
    <row r="21" spans="1:3" x14ac:dyDescent="0.25">
      <c r="A21" s="5">
        <v>3</v>
      </c>
      <c r="B21">
        <v>50</v>
      </c>
      <c r="C21">
        <v>342</v>
      </c>
    </row>
    <row r="22" spans="1:3" x14ac:dyDescent="0.25">
      <c r="A22" s="5">
        <v>3</v>
      </c>
      <c r="B22">
        <v>100</v>
      </c>
      <c r="C22">
        <v>345</v>
      </c>
    </row>
    <row r="23" spans="1:3" x14ac:dyDescent="0.25">
      <c r="A23" s="5">
        <v>3</v>
      </c>
      <c r="B23">
        <v>100</v>
      </c>
      <c r="C23">
        <v>372</v>
      </c>
    </row>
    <row r="24" spans="1:3" x14ac:dyDescent="0.25">
      <c r="A24" s="5">
        <v>3</v>
      </c>
      <c r="B24">
        <v>100</v>
      </c>
      <c r="C24">
        <v>390</v>
      </c>
    </row>
    <row r="25" spans="1:3" x14ac:dyDescent="0.25">
      <c r="A25" s="5">
        <v>3</v>
      </c>
      <c r="B25">
        <v>100</v>
      </c>
      <c r="C25">
        <v>393</v>
      </c>
    </row>
    <row r="31" spans="1:3" ht="75" x14ac:dyDescent="0.25">
      <c r="A31" s="4" t="s">
        <v>35</v>
      </c>
      <c r="B31" s="6" t="s">
        <v>36</v>
      </c>
      <c r="C31" s="6" t="s">
        <v>37</v>
      </c>
    </row>
    <row r="32" spans="1:3" x14ac:dyDescent="0.25">
      <c r="A32" s="5">
        <v>2</v>
      </c>
      <c r="B32">
        <v>50</v>
      </c>
      <c r="C32">
        <v>478</v>
      </c>
    </row>
    <row r="33" spans="1:3" x14ac:dyDescent="0.25">
      <c r="A33" s="5">
        <v>2</v>
      </c>
      <c r="B33">
        <v>50</v>
      </c>
      <c r="C33">
        <v>473</v>
      </c>
    </row>
    <row r="34" spans="1:3" x14ac:dyDescent="0.25">
      <c r="A34" s="5">
        <v>2</v>
      </c>
      <c r="B34">
        <v>50</v>
      </c>
      <c r="C34">
        <v>456</v>
      </c>
    </row>
    <row r="35" spans="1:3" x14ac:dyDescent="0.25">
      <c r="A35" s="5">
        <v>2</v>
      </c>
      <c r="B35">
        <v>50</v>
      </c>
      <c r="C35">
        <v>437</v>
      </c>
    </row>
    <row r="36" spans="1:3" x14ac:dyDescent="0.25">
      <c r="A36" s="5">
        <v>2.5</v>
      </c>
      <c r="B36">
        <v>50</v>
      </c>
      <c r="C36">
        <v>373</v>
      </c>
    </row>
    <row r="37" spans="1:3" x14ac:dyDescent="0.25">
      <c r="A37" s="5">
        <v>2.5</v>
      </c>
      <c r="B37">
        <v>50</v>
      </c>
      <c r="C37">
        <v>358</v>
      </c>
    </row>
    <row r="38" spans="1:3" x14ac:dyDescent="0.25">
      <c r="A38" s="5">
        <v>2.5</v>
      </c>
      <c r="B38">
        <v>50</v>
      </c>
      <c r="C38">
        <v>360</v>
      </c>
    </row>
    <row r="39" spans="1:3" x14ac:dyDescent="0.25">
      <c r="A39" s="5">
        <v>2.5</v>
      </c>
      <c r="B39">
        <v>50</v>
      </c>
      <c r="C39">
        <v>365</v>
      </c>
    </row>
    <row r="40" spans="1:3" x14ac:dyDescent="0.25">
      <c r="A40" s="5">
        <v>3</v>
      </c>
      <c r="B40">
        <v>50</v>
      </c>
      <c r="C40">
        <v>335</v>
      </c>
    </row>
    <row r="41" spans="1:3" x14ac:dyDescent="0.25">
      <c r="A41" s="5">
        <v>3</v>
      </c>
      <c r="B41">
        <v>50</v>
      </c>
      <c r="C41">
        <v>329</v>
      </c>
    </row>
    <row r="42" spans="1:3" x14ac:dyDescent="0.25">
      <c r="A42" s="5">
        <v>3</v>
      </c>
      <c r="B42">
        <v>50</v>
      </c>
      <c r="C42">
        <v>322</v>
      </c>
    </row>
    <row r="43" spans="1:3" x14ac:dyDescent="0.25">
      <c r="A43" s="5">
        <v>3</v>
      </c>
      <c r="B43">
        <v>50</v>
      </c>
      <c r="C43">
        <v>342</v>
      </c>
    </row>
    <row r="44" spans="1:3" x14ac:dyDescent="0.25">
      <c r="A44" s="5">
        <v>2</v>
      </c>
      <c r="B44">
        <v>100</v>
      </c>
      <c r="C44">
        <v>810</v>
      </c>
    </row>
    <row r="45" spans="1:3" x14ac:dyDescent="0.25">
      <c r="A45" s="5">
        <v>2</v>
      </c>
      <c r="B45">
        <v>100</v>
      </c>
      <c r="C45">
        <v>832</v>
      </c>
    </row>
    <row r="46" spans="1:3" x14ac:dyDescent="0.25">
      <c r="A46" s="5">
        <v>2</v>
      </c>
      <c r="B46">
        <v>100</v>
      </c>
      <c r="C46">
        <v>800</v>
      </c>
    </row>
    <row r="47" spans="1:3" x14ac:dyDescent="0.25">
      <c r="A47" s="5">
        <v>2</v>
      </c>
      <c r="B47">
        <v>100</v>
      </c>
      <c r="C47">
        <v>790</v>
      </c>
    </row>
    <row r="48" spans="1:3" x14ac:dyDescent="0.25">
      <c r="A48" s="5">
        <v>2.5</v>
      </c>
      <c r="B48">
        <v>100</v>
      </c>
      <c r="C48">
        <v>653</v>
      </c>
    </row>
    <row r="49" spans="1:3" x14ac:dyDescent="0.25">
      <c r="A49" s="5">
        <v>2.5</v>
      </c>
      <c r="B49">
        <v>100</v>
      </c>
      <c r="C49">
        <v>641</v>
      </c>
    </row>
    <row r="50" spans="1:3" x14ac:dyDescent="0.25">
      <c r="A50" s="5">
        <v>2.5</v>
      </c>
      <c r="B50">
        <v>100</v>
      </c>
      <c r="C50">
        <v>620</v>
      </c>
    </row>
    <row r="51" spans="1:3" x14ac:dyDescent="0.25">
      <c r="A51" s="5">
        <v>2.5</v>
      </c>
      <c r="B51">
        <v>100</v>
      </c>
      <c r="C51">
        <v>670</v>
      </c>
    </row>
    <row r="52" spans="1:3" x14ac:dyDescent="0.25">
      <c r="A52" s="5">
        <v>3</v>
      </c>
      <c r="B52">
        <v>100</v>
      </c>
      <c r="C52">
        <v>345</v>
      </c>
    </row>
    <row r="53" spans="1:3" x14ac:dyDescent="0.25">
      <c r="A53" s="5">
        <v>3</v>
      </c>
      <c r="B53">
        <v>100</v>
      </c>
      <c r="C53">
        <v>372</v>
      </c>
    </row>
    <row r="54" spans="1:3" x14ac:dyDescent="0.25">
      <c r="A54" s="5">
        <v>3</v>
      </c>
      <c r="B54">
        <v>100</v>
      </c>
      <c r="C54">
        <v>390</v>
      </c>
    </row>
    <row r="55" spans="1:3" x14ac:dyDescent="0.25">
      <c r="A55" s="5">
        <v>3</v>
      </c>
      <c r="B55">
        <v>100</v>
      </c>
      <c r="C55">
        <v>393</v>
      </c>
    </row>
  </sheetData>
  <sortState xmlns:xlrd2="http://schemas.microsoft.com/office/spreadsheetml/2017/richdata2" ref="A32:C55">
    <sortCondition ref="B32:B55"/>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E696-E196-4BDF-9B0D-68D837972B19}">
  <dimension ref="A1:N50"/>
  <sheetViews>
    <sheetView topLeftCell="A15" workbookViewId="0">
      <selection activeCell="O31" sqref="O31"/>
    </sheetView>
  </sheetViews>
  <sheetFormatPr defaultRowHeight="15" x14ac:dyDescent="0.25"/>
  <cols>
    <col min="1" max="1" width="16.85546875" customWidth="1"/>
    <col min="2" max="2" width="13.85546875" customWidth="1"/>
    <col min="3" max="3" width="21.42578125" customWidth="1"/>
    <col min="4" max="4" width="13.5703125" customWidth="1"/>
    <col min="6" max="6" width="25.28515625" customWidth="1"/>
    <col min="12" max="12" width="10.5703125" customWidth="1"/>
  </cols>
  <sheetData>
    <row r="1" spans="1:14" s="4" customFormat="1" ht="45" customHeight="1" x14ac:dyDescent="0.25">
      <c r="A1" s="4" t="s">
        <v>35</v>
      </c>
      <c r="B1" s="6" t="s">
        <v>36</v>
      </c>
      <c r="C1" s="4" t="s">
        <v>41</v>
      </c>
      <c r="D1" s="4" t="s">
        <v>37</v>
      </c>
      <c r="F1" s="10" t="s">
        <v>4</v>
      </c>
      <c r="G1" s="10"/>
      <c r="H1" s="10"/>
      <c r="I1" s="10"/>
      <c r="J1" s="10"/>
      <c r="K1" s="10"/>
      <c r="L1" s="10"/>
      <c r="M1" s="10"/>
      <c r="N1"/>
    </row>
    <row r="2" spans="1:14" ht="15.75" thickBot="1" x14ac:dyDescent="0.3">
      <c r="A2" s="5">
        <v>2</v>
      </c>
      <c r="B2">
        <v>50</v>
      </c>
      <c r="C2" s="8">
        <f>A2*B2</f>
        <v>100</v>
      </c>
      <c r="D2">
        <v>478</v>
      </c>
      <c r="F2" s="10"/>
      <c r="G2" s="10"/>
      <c r="H2" s="10"/>
      <c r="I2" s="10"/>
      <c r="J2" s="10"/>
      <c r="K2" s="10"/>
      <c r="L2" s="10"/>
      <c r="M2" s="10"/>
    </row>
    <row r="3" spans="1:14" x14ac:dyDescent="0.25">
      <c r="A3" s="5">
        <v>2.5</v>
      </c>
      <c r="B3">
        <v>50</v>
      </c>
      <c r="C3" s="8">
        <f t="shared" ref="C3:C25" si="0">A3*B3</f>
        <v>125</v>
      </c>
      <c r="D3">
        <v>373</v>
      </c>
      <c r="F3" s="20" t="s">
        <v>5</v>
      </c>
      <c r="G3" s="20"/>
      <c r="H3" s="10"/>
      <c r="I3" s="10"/>
      <c r="J3" s="10"/>
      <c r="K3" s="10"/>
      <c r="L3" s="10"/>
      <c r="M3" s="10"/>
    </row>
    <row r="4" spans="1:14" x14ac:dyDescent="0.25">
      <c r="A4" s="5">
        <v>3</v>
      </c>
      <c r="B4">
        <v>50</v>
      </c>
      <c r="C4" s="8">
        <f t="shared" si="0"/>
        <v>150</v>
      </c>
      <c r="D4">
        <v>335</v>
      </c>
      <c r="F4" s="10" t="s">
        <v>6</v>
      </c>
      <c r="G4" s="10">
        <v>0.98899381483333582</v>
      </c>
      <c r="H4" s="10"/>
      <c r="I4" s="10"/>
      <c r="J4" s="10"/>
      <c r="K4" s="10"/>
      <c r="L4" s="10"/>
      <c r="M4" s="10"/>
    </row>
    <row r="5" spans="1:14" x14ac:dyDescent="0.25">
      <c r="A5" s="5">
        <v>2</v>
      </c>
      <c r="B5">
        <v>50</v>
      </c>
      <c r="C5" s="8">
        <f t="shared" si="0"/>
        <v>100</v>
      </c>
      <c r="D5">
        <v>473</v>
      </c>
      <c r="F5" s="10" t="s">
        <v>7</v>
      </c>
      <c r="G5" s="10">
        <v>0.97810876577859451</v>
      </c>
      <c r="H5" s="10"/>
      <c r="I5" s="10"/>
      <c r="J5" s="10"/>
      <c r="K5" s="10"/>
      <c r="L5" s="10"/>
      <c r="M5" s="10"/>
    </row>
    <row r="6" spans="1:14" x14ac:dyDescent="0.25">
      <c r="A6" s="5">
        <v>2.5</v>
      </c>
      <c r="B6">
        <v>50</v>
      </c>
      <c r="C6" s="8">
        <f t="shared" si="0"/>
        <v>125</v>
      </c>
      <c r="D6">
        <v>358</v>
      </c>
      <c r="F6" s="10" t="s">
        <v>8</v>
      </c>
      <c r="G6" s="10">
        <v>0.97482508064538376</v>
      </c>
      <c r="H6" s="10"/>
      <c r="I6" s="10"/>
      <c r="J6" s="10"/>
      <c r="K6" s="10"/>
      <c r="L6" s="10"/>
      <c r="M6" s="10"/>
    </row>
    <row r="7" spans="1:14" x14ac:dyDescent="0.25">
      <c r="A7" s="5">
        <v>3</v>
      </c>
      <c r="B7">
        <v>50</v>
      </c>
      <c r="C7" s="8">
        <f t="shared" si="0"/>
        <v>150</v>
      </c>
      <c r="D7">
        <v>329</v>
      </c>
      <c r="F7" s="10" t="s">
        <v>9</v>
      </c>
      <c r="G7" s="10">
        <v>28.173864957912098</v>
      </c>
      <c r="H7" s="10"/>
      <c r="I7" s="10"/>
      <c r="J7" s="10"/>
      <c r="K7" s="10"/>
      <c r="L7" s="10"/>
      <c r="M7" s="10"/>
    </row>
    <row r="8" spans="1:14" ht="15.75" thickBot="1" x14ac:dyDescent="0.3">
      <c r="A8" s="5">
        <v>2</v>
      </c>
      <c r="B8">
        <v>50</v>
      </c>
      <c r="C8" s="8">
        <f t="shared" si="0"/>
        <v>100</v>
      </c>
      <c r="D8">
        <v>456</v>
      </c>
      <c r="F8" s="11" t="s">
        <v>10</v>
      </c>
      <c r="G8" s="11">
        <v>24</v>
      </c>
      <c r="H8" s="10"/>
      <c r="I8" s="10"/>
      <c r="J8" s="10"/>
      <c r="K8" s="10"/>
      <c r="L8" s="10"/>
      <c r="M8" s="10"/>
    </row>
    <row r="9" spans="1:14" x14ac:dyDescent="0.25">
      <c r="A9" s="5">
        <v>2.5</v>
      </c>
      <c r="B9">
        <v>50</v>
      </c>
      <c r="C9" s="8">
        <f t="shared" si="0"/>
        <v>125</v>
      </c>
      <c r="D9">
        <v>360</v>
      </c>
      <c r="F9" s="10"/>
      <c r="G9" s="10"/>
      <c r="H9" s="10"/>
      <c r="I9" s="10"/>
      <c r="J9" s="10"/>
      <c r="K9" s="10"/>
      <c r="L9" s="10"/>
      <c r="M9" s="10"/>
    </row>
    <row r="10" spans="1:14" ht="15.75" thickBot="1" x14ac:dyDescent="0.3">
      <c r="A10" s="5">
        <v>3</v>
      </c>
      <c r="B10">
        <v>50</v>
      </c>
      <c r="C10" s="8">
        <f t="shared" si="0"/>
        <v>150</v>
      </c>
      <c r="D10">
        <v>322</v>
      </c>
      <c r="F10" s="10" t="s">
        <v>11</v>
      </c>
      <c r="G10" s="10"/>
      <c r="H10" s="10"/>
      <c r="I10" s="10"/>
      <c r="J10" s="10"/>
      <c r="K10" s="10"/>
      <c r="L10" s="10"/>
      <c r="M10" s="10"/>
    </row>
    <row r="11" spans="1:14" x14ac:dyDescent="0.25">
      <c r="A11" s="5">
        <v>2</v>
      </c>
      <c r="B11">
        <v>50</v>
      </c>
      <c r="C11" s="8">
        <f t="shared" si="0"/>
        <v>100</v>
      </c>
      <c r="D11">
        <v>437</v>
      </c>
      <c r="F11" s="21"/>
      <c r="G11" s="21" t="s">
        <v>16</v>
      </c>
      <c r="H11" s="21" t="s">
        <v>17</v>
      </c>
      <c r="I11" s="21" t="s">
        <v>18</v>
      </c>
      <c r="J11" s="21" t="s">
        <v>19</v>
      </c>
      <c r="K11" s="21" t="s">
        <v>20</v>
      </c>
      <c r="L11" s="23" t="s">
        <v>43</v>
      </c>
      <c r="M11" s="10"/>
    </row>
    <row r="12" spans="1:14" x14ac:dyDescent="0.25">
      <c r="A12" s="5">
        <v>2.5</v>
      </c>
      <c r="B12">
        <v>50</v>
      </c>
      <c r="C12" s="8">
        <f t="shared" si="0"/>
        <v>125</v>
      </c>
      <c r="D12">
        <v>365</v>
      </c>
      <c r="F12" s="10" t="s">
        <v>12</v>
      </c>
      <c r="G12" s="10">
        <v>3</v>
      </c>
      <c r="H12" s="10">
        <v>709316</v>
      </c>
      <c r="I12" s="10">
        <v>236438.66666666666</v>
      </c>
      <c r="J12" s="10">
        <v>297.86923109226029</v>
      </c>
      <c r="K12" s="13">
        <v>9.2588099325626664E-17</v>
      </c>
      <c r="L12" s="24">
        <v>9.2499999999999999E-17</v>
      </c>
      <c r="M12" s="10"/>
    </row>
    <row r="13" spans="1:14" x14ac:dyDescent="0.25">
      <c r="A13" s="5">
        <v>3</v>
      </c>
      <c r="B13">
        <v>50</v>
      </c>
      <c r="C13" s="8">
        <f t="shared" si="0"/>
        <v>150</v>
      </c>
      <c r="D13">
        <v>342</v>
      </c>
      <c r="F13" s="10" t="s">
        <v>13</v>
      </c>
      <c r="G13" s="10">
        <v>20</v>
      </c>
      <c r="H13" s="10">
        <v>15875.333333333345</v>
      </c>
      <c r="I13" s="10">
        <v>793.76666666666722</v>
      </c>
      <c r="J13" s="10"/>
      <c r="K13" s="10"/>
      <c r="L13" s="10"/>
      <c r="M13" s="10"/>
    </row>
    <row r="14" spans="1:14" ht="15.75" thickBot="1" x14ac:dyDescent="0.3">
      <c r="A14" s="5">
        <v>2</v>
      </c>
      <c r="B14">
        <v>100</v>
      </c>
      <c r="C14" s="8">
        <f t="shared" si="0"/>
        <v>200</v>
      </c>
      <c r="D14">
        <v>810</v>
      </c>
      <c r="F14" s="11" t="s">
        <v>14</v>
      </c>
      <c r="G14" s="11">
        <v>23</v>
      </c>
      <c r="H14" s="11">
        <v>725191.33333333337</v>
      </c>
      <c r="I14" s="11"/>
      <c r="J14" s="11"/>
      <c r="K14" s="11"/>
      <c r="L14" s="10"/>
      <c r="M14" s="10"/>
    </row>
    <row r="15" spans="1:14" ht="15.75" thickBot="1" x14ac:dyDescent="0.3">
      <c r="A15" s="5">
        <v>2.5</v>
      </c>
      <c r="B15">
        <v>100</v>
      </c>
      <c r="C15" s="8">
        <f t="shared" si="0"/>
        <v>250</v>
      </c>
      <c r="D15">
        <v>653</v>
      </c>
      <c r="F15" s="10"/>
      <c r="G15" s="10"/>
      <c r="H15" s="10"/>
      <c r="I15" s="10"/>
      <c r="J15" s="10"/>
      <c r="K15" s="10"/>
      <c r="L15" s="10"/>
      <c r="M15" s="10"/>
    </row>
    <row r="16" spans="1:14" x14ac:dyDescent="0.25">
      <c r="A16" s="5">
        <v>3</v>
      </c>
      <c r="B16">
        <v>100</v>
      </c>
      <c r="C16" s="8">
        <f t="shared" si="0"/>
        <v>300</v>
      </c>
      <c r="D16">
        <v>345</v>
      </c>
      <c r="F16" s="21"/>
      <c r="G16" s="21" t="s">
        <v>21</v>
      </c>
      <c r="H16" s="21" t="s">
        <v>9</v>
      </c>
      <c r="I16" s="21" t="s">
        <v>22</v>
      </c>
      <c r="J16" s="21" t="s">
        <v>23</v>
      </c>
      <c r="K16" s="21" t="s">
        <v>24</v>
      </c>
      <c r="L16" s="21" t="s">
        <v>25</v>
      </c>
      <c r="M16" s="21" t="s">
        <v>26</v>
      </c>
      <c r="N16" s="21" t="s">
        <v>27</v>
      </c>
    </row>
    <row r="17" spans="1:14" x14ac:dyDescent="0.25">
      <c r="A17" s="5">
        <v>2</v>
      </c>
      <c r="B17">
        <v>100</v>
      </c>
      <c r="C17" s="8">
        <f t="shared" si="0"/>
        <v>200</v>
      </c>
      <c r="D17">
        <v>832</v>
      </c>
      <c r="F17" s="10" t="s">
        <v>15</v>
      </c>
      <c r="G17" s="10">
        <v>-275.83333333333371</v>
      </c>
      <c r="H17" s="10">
        <v>112.84210330270245</v>
      </c>
      <c r="I17" s="10">
        <v>-2.444418574806269</v>
      </c>
      <c r="J17" s="10">
        <v>2.3898350951459344E-2</v>
      </c>
      <c r="K17" s="10">
        <v>-511.21783613536979</v>
      </c>
      <c r="L17" s="10">
        <v>-40.448830531297659</v>
      </c>
      <c r="M17" s="10">
        <v>-511.21783613536979</v>
      </c>
      <c r="N17" s="10">
        <v>-40.448830531297659</v>
      </c>
    </row>
    <row r="18" spans="1:14" x14ac:dyDescent="0.25">
      <c r="A18" s="5">
        <v>2.5</v>
      </c>
      <c r="B18">
        <v>100</v>
      </c>
      <c r="C18" s="8">
        <f t="shared" si="0"/>
        <v>250</v>
      </c>
      <c r="D18">
        <v>641</v>
      </c>
      <c r="F18" s="10" t="s">
        <v>35</v>
      </c>
      <c r="G18" s="10">
        <v>175.00000000000003</v>
      </c>
      <c r="H18" s="10">
        <v>44.546791878503065</v>
      </c>
      <c r="I18" s="10">
        <v>3.9284534894745078</v>
      </c>
      <c r="J18" s="10">
        <v>8.3159990152089519E-4</v>
      </c>
      <c r="K18" s="10">
        <v>82.077020448482742</v>
      </c>
      <c r="L18" s="10">
        <v>267.9229795515173</v>
      </c>
      <c r="M18" s="10">
        <v>82.077020448482742</v>
      </c>
      <c r="N18" s="10">
        <v>267.9229795515173</v>
      </c>
    </row>
    <row r="19" spans="1:14" ht="29.25" customHeight="1" x14ac:dyDescent="0.25">
      <c r="A19" s="5">
        <v>3</v>
      </c>
      <c r="B19">
        <v>100</v>
      </c>
      <c r="C19" s="8">
        <f t="shared" si="0"/>
        <v>300</v>
      </c>
      <c r="D19">
        <v>372</v>
      </c>
      <c r="F19" s="25" t="s">
        <v>36</v>
      </c>
      <c r="G19" s="10">
        <v>19.68</v>
      </c>
      <c r="H19" s="10">
        <v>1.4273522496021944</v>
      </c>
      <c r="I19" s="10">
        <v>13.787766828745218</v>
      </c>
      <c r="J19" s="10">
        <v>1.1262968573848539E-11</v>
      </c>
      <c r="K19" s="10">
        <v>16.702595380957121</v>
      </c>
      <c r="L19" s="10">
        <v>22.657404619042879</v>
      </c>
      <c r="M19" s="10">
        <v>16.702595380957121</v>
      </c>
      <c r="N19" s="10">
        <v>22.657404619042879</v>
      </c>
    </row>
    <row r="20" spans="1:14" ht="15" customHeight="1" thickBot="1" x14ac:dyDescent="0.3">
      <c r="A20" s="5">
        <v>2</v>
      </c>
      <c r="B20">
        <v>100</v>
      </c>
      <c r="C20" s="8">
        <f t="shared" si="0"/>
        <v>200</v>
      </c>
      <c r="D20">
        <v>800</v>
      </c>
      <c r="F20" s="11" t="s">
        <v>41</v>
      </c>
      <c r="G20" s="11">
        <v>-6.0799999999999992</v>
      </c>
      <c r="H20" s="11">
        <v>0.56347729915824185</v>
      </c>
      <c r="I20" s="11">
        <v>-10.790141872765219</v>
      </c>
      <c r="J20" s="11">
        <v>8.6772098069602771E-10</v>
      </c>
      <c r="K20" s="11">
        <v>-7.255393049408184</v>
      </c>
      <c r="L20" s="11">
        <v>-4.9046069505918144</v>
      </c>
      <c r="M20" s="11">
        <v>-7.255393049408184</v>
      </c>
      <c r="N20" s="11">
        <v>-4.9046069505918144</v>
      </c>
    </row>
    <row r="21" spans="1:14" x14ac:dyDescent="0.25">
      <c r="A21" s="5">
        <v>2.5</v>
      </c>
      <c r="B21">
        <v>100</v>
      </c>
      <c r="C21" s="8">
        <f t="shared" si="0"/>
        <v>250</v>
      </c>
      <c r="D21">
        <v>620</v>
      </c>
      <c r="F21" s="10"/>
      <c r="G21" s="10"/>
      <c r="H21" s="10"/>
      <c r="I21" s="10"/>
      <c r="J21" s="10"/>
      <c r="K21" s="10"/>
      <c r="L21" s="10"/>
      <c r="M21" s="10"/>
    </row>
    <row r="22" spans="1:14" x14ac:dyDescent="0.25">
      <c r="A22" s="5">
        <v>3</v>
      </c>
      <c r="B22">
        <v>100</v>
      </c>
      <c r="C22" s="8">
        <f t="shared" si="0"/>
        <v>300</v>
      </c>
      <c r="D22">
        <v>390</v>
      </c>
      <c r="F22" s="10"/>
      <c r="G22" s="10"/>
      <c r="H22" s="10"/>
      <c r="I22" s="10"/>
      <c r="J22" s="10"/>
      <c r="K22" s="10"/>
      <c r="L22" s="10"/>
      <c r="M22" s="10"/>
    </row>
    <row r="23" spans="1:14" x14ac:dyDescent="0.25">
      <c r="A23" s="5">
        <v>2</v>
      </c>
      <c r="B23">
        <v>100</v>
      </c>
      <c r="C23" s="8">
        <f t="shared" si="0"/>
        <v>200</v>
      </c>
      <c r="D23">
        <v>790</v>
      </c>
      <c r="F23" s="10"/>
      <c r="G23" s="10"/>
      <c r="H23" s="10"/>
      <c r="I23" s="10"/>
      <c r="J23" s="10"/>
      <c r="K23" s="10"/>
      <c r="L23" s="10"/>
      <c r="M23" s="10"/>
    </row>
    <row r="24" spans="1:14" x14ac:dyDescent="0.25">
      <c r="A24" s="5">
        <v>2.5</v>
      </c>
      <c r="B24">
        <v>100</v>
      </c>
      <c r="C24" s="8">
        <f t="shared" si="0"/>
        <v>250</v>
      </c>
      <c r="D24">
        <v>670</v>
      </c>
      <c r="F24" s="10" t="s">
        <v>28</v>
      </c>
      <c r="G24" s="10"/>
      <c r="H24" s="10"/>
      <c r="I24" s="10"/>
      <c r="J24" s="10"/>
      <c r="K24" s="10" t="s">
        <v>33</v>
      </c>
      <c r="L24" s="10"/>
      <c r="M24" s="10"/>
    </row>
    <row r="25" spans="1:14" ht="15.75" thickBot="1" x14ac:dyDescent="0.3">
      <c r="A25" s="5">
        <v>3</v>
      </c>
      <c r="B25">
        <v>100</v>
      </c>
      <c r="C25" s="8">
        <f t="shared" si="0"/>
        <v>300</v>
      </c>
      <c r="D25">
        <v>393</v>
      </c>
      <c r="F25" s="10"/>
      <c r="G25" s="10"/>
      <c r="H25" s="10"/>
      <c r="I25" s="10"/>
      <c r="J25" s="10"/>
      <c r="K25" s="10"/>
      <c r="L25" s="10"/>
      <c r="M25" s="10"/>
    </row>
    <row r="26" spans="1:14" x14ac:dyDescent="0.25">
      <c r="F26" s="21" t="s">
        <v>29</v>
      </c>
      <c r="G26" s="21" t="s">
        <v>42</v>
      </c>
      <c r="H26" s="21" t="s">
        <v>31</v>
      </c>
      <c r="I26" s="21" t="s">
        <v>32</v>
      </c>
      <c r="J26" s="10"/>
      <c r="K26" s="21" t="s">
        <v>34</v>
      </c>
      <c r="L26" s="21" t="s">
        <v>37</v>
      </c>
      <c r="M26" s="10"/>
    </row>
    <row r="27" spans="1:14" x14ac:dyDescent="0.25">
      <c r="F27" s="10">
        <v>1</v>
      </c>
      <c r="G27" s="10">
        <v>450.1666666666664</v>
      </c>
      <c r="H27" s="10">
        <v>27.833333333333599</v>
      </c>
      <c r="I27" s="10">
        <v>1.0594188898712018</v>
      </c>
      <c r="J27" s="10"/>
      <c r="K27" s="10">
        <v>2.0833333333333335</v>
      </c>
      <c r="L27" s="10">
        <v>322</v>
      </c>
      <c r="M27" s="10"/>
    </row>
    <row r="28" spans="1:14" x14ac:dyDescent="0.25">
      <c r="F28" s="10">
        <v>2</v>
      </c>
      <c r="G28" s="10">
        <v>385.6666666666664</v>
      </c>
      <c r="H28" s="10">
        <v>-12.666666666666401</v>
      </c>
      <c r="I28" s="10">
        <v>-0.48213075227669994</v>
      </c>
      <c r="J28" s="10"/>
      <c r="K28" s="10">
        <v>6.25</v>
      </c>
      <c r="L28" s="10">
        <v>329</v>
      </c>
      <c r="M28" s="10"/>
    </row>
    <row r="29" spans="1:14" x14ac:dyDescent="0.25">
      <c r="F29" s="10">
        <v>3</v>
      </c>
      <c r="G29" s="10">
        <v>321.16666666666663</v>
      </c>
      <c r="H29" s="10">
        <v>13.833333333333371</v>
      </c>
      <c r="I29" s="10">
        <v>0.52653753209167165</v>
      </c>
      <c r="J29" s="10"/>
      <c r="K29" s="10">
        <v>10.416666666666668</v>
      </c>
      <c r="L29" s="10">
        <v>335</v>
      </c>
      <c r="M29" s="10"/>
    </row>
    <row r="30" spans="1:14" x14ac:dyDescent="0.25">
      <c r="F30" s="10">
        <v>4</v>
      </c>
      <c r="G30" s="10">
        <v>450.1666666666664</v>
      </c>
      <c r="H30" s="10">
        <v>22.833333333333599</v>
      </c>
      <c r="I30" s="10">
        <v>0.86910411923565845</v>
      </c>
      <c r="J30" s="10"/>
      <c r="K30" s="10">
        <v>14.583333333333334</v>
      </c>
      <c r="L30" s="10">
        <v>342</v>
      </c>
      <c r="M30" s="10"/>
    </row>
    <row r="31" spans="1:14" x14ac:dyDescent="0.25">
      <c r="F31" s="10">
        <v>5</v>
      </c>
      <c r="G31" s="10">
        <v>385.6666666666664</v>
      </c>
      <c r="H31" s="10">
        <v>-27.666666666666401</v>
      </c>
      <c r="I31" s="10">
        <v>-1.0530750641833302</v>
      </c>
      <c r="J31" s="10"/>
      <c r="K31" s="10">
        <v>18.75</v>
      </c>
      <c r="L31" s="10">
        <v>345</v>
      </c>
      <c r="M31" s="10"/>
    </row>
    <row r="32" spans="1:14" x14ac:dyDescent="0.25">
      <c r="F32" s="10">
        <v>6</v>
      </c>
      <c r="G32" s="10">
        <v>321.16666666666663</v>
      </c>
      <c r="H32" s="10">
        <v>7.8333333333333712</v>
      </c>
      <c r="I32" s="10">
        <v>0.29815980732901948</v>
      </c>
      <c r="J32" s="10"/>
      <c r="K32" s="10">
        <v>22.916666666666668</v>
      </c>
      <c r="L32" s="10">
        <v>358</v>
      </c>
      <c r="M32" s="10"/>
    </row>
    <row r="33" spans="6:13" x14ac:dyDescent="0.25">
      <c r="F33" s="10">
        <v>7</v>
      </c>
      <c r="G33" s="10">
        <v>450.1666666666664</v>
      </c>
      <c r="H33" s="10">
        <v>5.8333333333335986</v>
      </c>
      <c r="I33" s="10">
        <v>0.22203389907481078</v>
      </c>
      <c r="J33" s="10"/>
      <c r="K33" s="10">
        <v>27.083333333333332</v>
      </c>
      <c r="L33" s="10">
        <v>360</v>
      </c>
      <c r="M33" s="10"/>
    </row>
    <row r="34" spans="6:13" x14ac:dyDescent="0.25">
      <c r="F34" s="10">
        <v>8</v>
      </c>
      <c r="G34" s="10">
        <v>385.6666666666664</v>
      </c>
      <c r="H34" s="10">
        <v>-25.666666666666401</v>
      </c>
      <c r="I34" s="10">
        <v>-0.9769491559291128</v>
      </c>
      <c r="J34" s="10"/>
      <c r="K34" s="10">
        <v>31.25</v>
      </c>
      <c r="L34" s="10">
        <v>365</v>
      </c>
      <c r="M34" s="10"/>
    </row>
    <row r="35" spans="6:13" x14ac:dyDescent="0.25">
      <c r="F35" s="10">
        <v>9</v>
      </c>
      <c r="G35" s="10">
        <v>321.16666666666663</v>
      </c>
      <c r="H35" s="10">
        <v>0.83333333333337123</v>
      </c>
      <c r="I35" s="10">
        <v>3.1719128439258677E-2</v>
      </c>
      <c r="J35" s="10"/>
      <c r="K35" s="10">
        <v>35.416666666666671</v>
      </c>
      <c r="L35" s="10">
        <v>372</v>
      </c>
      <c r="M35" s="10"/>
    </row>
    <row r="36" spans="6:13" x14ac:dyDescent="0.25">
      <c r="F36" s="10">
        <v>10</v>
      </c>
      <c r="G36" s="10">
        <v>450.1666666666664</v>
      </c>
      <c r="H36" s="10">
        <v>-13.166666666666401</v>
      </c>
      <c r="I36" s="10">
        <v>-0.50116222934025423</v>
      </c>
      <c r="J36" s="10"/>
      <c r="K36" s="10">
        <v>39.583333333333336</v>
      </c>
      <c r="L36" s="10">
        <v>373</v>
      </c>
      <c r="M36" s="10"/>
    </row>
    <row r="37" spans="6:13" x14ac:dyDescent="0.25">
      <c r="F37" s="10">
        <v>11</v>
      </c>
      <c r="G37" s="10">
        <v>385.6666666666664</v>
      </c>
      <c r="H37" s="10">
        <v>-20.666666666666401</v>
      </c>
      <c r="I37" s="10">
        <v>-0.78663438529356944</v>
      </c>
      <c r="J37" s="10"/>
      <c r="K37" s="10">
        <v>43.750000000000007</v>
      </c>
      <c r="L37" s="10">
        <v>390</v>
      </c>
      <c r="M37" s="10"/>
    </row>
    <row r="38" spans="6:13" x14ac:dyDescent="0.25">
      <c r="F38" s="10">
        <v>12</v>
      </c>
      <c r="G38" s="10">
        <v>321.16666666666663</v>
      </c>
      <c r="H38" s="10">
        <v>20.833333333333371</v>
      </c>
      <c r="I38" s="10">
        <v>0.7929782109814324</v>
      </c>
      <c r="J38" s="10"/>
      <c r="K38" s="10">
        <v>47.916666666666671</v>
      </c>
      <c r="L38" s="10">
        <v>393</v>
      </c>
      <c r="M38" s="10"/>
    </row>
    <row r="39" spans="6:13" x14ac:dyDescent="0.25">
      <c r="F39" s="10">
        <v>13</v>
      </c>
      <c r="G39" s="10">
        <v>826.16666666666652</v>
      </c>
      <c r="H39" s="10">
        <v>-16.166666666666515</v>
      </c>
      <c r="I39" s="10">
        <v>-0.61535109172158464</v>
      </c>
      <c r="J39" s="10"/>
      <c r="K39" s="10">
        <v>52.083333333333336</v>
      </c>
      <c r="L39" s="10">
        <v>437</v>
      </c>
      <c r="M39" s="10"/>
    </row>
    <row r="40" spans="6:13" x14ac:dyDescent="0.25">
      <c r="F40" s="10">
        <v>14</v>
      </c>
      <c r="G40" s="10">
        <v>609.66666666666674</v>
      </c>
      <c r="H40" s="10">
        <v>43.333333333333258</v>
      </c>
      <c r="I40" s="10">
        <v>1.6493946788413736</v>
      </c>
      <c r="J40" s="10"/>
      <c r="K40" s="10">
        <v>56.250000000000007</v>
      </c>
      <c r="L40" s="10">
        <v>456</v>
      </c>
      <c r="M40" s="10"/>
    </row>
    <row r="41" spans="6:13" x14ac:dyDescent="0.25">
      <c r="F41" s="10">
        <v>15</v>
      </c>
      <c r="G41" s="10">
        <v>393.16666666666674</v>
      </c>
      <c r="H41" s="10">
        <v>-48.166666666666742</v>
      </c>
      <c r="I41" s="10">
        <v>-1.8333656237890712</v>
      </c>
      <c r="J41" s="10"/>
      <c r="K41" s="10">
        <v>60.416666666666671</v>
      </c>
      <c r="L41" s="10">
        <v>473</v>
      </c>
      <c r="M41" s="10"/>
    </row>
    <row r="42" spans="6:13" x14ac:dyDescent="0.25">
      <c r="F42" s="10">
        <v>16</v>
      </c>
      <c r="G42" s="10">
        <v>826.16666666666652</v>
      </c>
      <c r="H42" s="10">
        <v>5.8333333333334849</v>
      </c>
      <c r="I42" s="10">
        <v>0.22203389907480645</v>
      </c>
      <c r="J42" s="10"/>
      <c r="K42" s="10">
        <v>64.583333333333343</v>
      </c>
      <c r="L42" s="10">
        <v>478</v>
      </c>
      <c r="M42" s="10"/>
    </row>
    <row r="43" spans="6:13" x14ac:dyDescent="0.25">
      <c r="F43" s="10">
        <v>17</v>
      </c>
      <c r="G43" s="10">
        <v>609.66666666666674</v>
      </c>
      <c r="H43" s="10">
        <v>31.333333333333258</v>
      </c>
      <c r="I43" s="10">
        <v>1.1926392293160692</v>
      </c>
      <c r="J43" s="10"/>
      <c r="K43" s="10">
        <v>68.75</v>
      </c>
      <c r="L43" s="10">
        <v>620</v>
      </c>
      <c r="M43" s="10"/>
    </row>
    <row r="44" spans="6:13" x14ac:dyDescent="0.25">
      <c r="F44" s="10">
        <v>18</v>
      </c>
      <c r="G44" s="10">
        <v>393.16666666666674</v>
      </c>
      <c r="H44" s="10">
        <v>-21.166666666666742</v>
      </c>
      <c r="I44" s="10">
        <v>-0.80566586235713677</v>
      </c>
      <c r="J44" s="10"/>
      <c r="K44" s="10">
        <v>72.916666666666671</v>
      </c>
      <c r="L44" s="10">
        <v>641</v>
      </c>
      <c r="M44" s="10"/>
    </row>
    <row r="45" spans="6:13" x14ac:dyDescent="0.25">
      <c r="F45" s="10">
        <v>19</v>
      </c>
      <c r="G45" s="10">
        <v>826.16666666666652</v>
      </c>
      <c r="H45" s="10">
        <v>-26.166666666666515</v>
      </c>
      <c r="I45" s="10">
        <v>-0.99598063299267148</v>
      </c>
      <c r="J45" s="10"/>
      <c r="K45" s="10">
        <v>77.083333333333329</v>
      </c>
      <c r="L45" s="10">
        <v>653</v>
      </c>
      <c r="M45" s="10"/>
    </row>
    <row r="46" spans="6:13" x14ac:dyDescent="0.25">
      <c r="F46" s="10">
        <v>20</v>
      </c>
      <c r="G46" s="10">
        <v>609.66666666666674</v>
      </c>
      <c r="H46" s="10">
        <v>10.333333333333258</v>
      </c>
      <c r="I46" s="10">
        <v>0.39331719264678688</v>
      </c>
      <c r="J46" s="10"/>
      <c r="K46" s="10">
        <v>81.25</v>
      </c>
      <c r="L46" s="10">
        <v>670</v>
      </c>
      <c r="M46" s="10"/>
    </row>
    <row r="47" spans="6:13" x14ac:dyDescent="0.25">
      <c r="F47" s="10">
        <v>21</v>
      </c>
      <c r="G47" s="10">
        <v>393.16666666666674</v>
      </c>
      <c r="H47" s="10">
        <v>-3.1666666666667425</v>
      </c>
      <c r="I47" s="10">
        <v>-0.1205326880691804</v>
      </c>
      <c r="J47" s="10"/>
      <c r="K47" s="10">
        <v>85.416666666666671</v>
      </c>
      <c r="L47" s="10">
        <v>790</v>
      </c>
      <c r="M47" s="10"/>
    </row>
    <row r="48" spans="6:13" x14ac:dyDescent="0.25">
      <c r="F48" s="10">
        <v>22</v>
      </c>
      <c r="G48" s="10">
        <v>826.16666666666652</v>
      </c>
      <c r="H48" s="10">
        <v>-36.166666666666515</v>
      </c>
      <c r="I48" s="10">
        <v>-1.3766101742637584</v>
      </c>
      <c r="J48" s="10"/>
      <c r="K48" s="10">
        <v>89.583333333333329</v>
      </c>
      <c r="L48" s="10">
        <v>800</v>
      </c>
      <c r="M48" s="10"/>
    </row>
    <row r="49" spans="6:13" x14ac:dyDescent="0.25">
      <c r="F49" s="10">
        <v>23</v>
      </c>
      <c r="G49" s="10">
        <v>609.66666666666674</v>
      </c>
      <c r="H49" s="10">
        <v>60.333333333333258</v>
      </c>
      <c r="I49" s="10">
        <v>2.2964648990022209</v>
      </c>
      <c r="J49" s="10"/>
      <c r="K49" s="10">
        <v>93.75</v>
      </c>
      <c r="L49" s="10">
        <v>810</v>
      </c>
      <c r="M49" s="10"/>
    </row>
    <row r="50" spans="6:13" ht="15.75" thickBot="1" x14ac:dyDescent="0.3">
      <c r="F50" s="11">
        <v>24</v>
      </c>
      <c r="G50" s="11">
        <v>393.16666666666674</v>
      </c>
      <c r="H50" s="11">
        <v>-0.16666666666674246</v>
      </c>
      <c r="I50" s="11">
        <v>-6.3438256878543325E-3</v>
      </c>
      <c r="J50" s="10"/>
      <c r="K50" s="11">
        <v>97.916666666666671</v>
      </c>
      <c r="L50" s="11">
        <v>832</v>
      </c>
      <c r="M50" s="10"/>
    </row>
  </sheetData>
  <sortState xmlns:xlrd2="http://schemas.microsoft.com/office/spreadsheetml/2017/richdata2" ref="L27:L50">
    <sortCondition ref="L27"/>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0EB35-C3A5-4A8D-98AE-512741D9B45F}">
  <dimension ref="A1:I52"/>
  <sheetViews>
    <sheetView topLeftCell="H36" workbookViewId="0">
      <selection activeCell="J44" sqref="J44"/>
    </sheetView>
  </sheetViews>
  <sheetFormatPr defaultRowHeight="15" x14ac:dyDescent="0.25"/>
  <cols>
    <col min="1" max="1" width="13" customWidth="1"/>
    <col min="2" max="2" width="14.42578125" customWidth="1"/>
    <col min="3" max="3" width="14.5703125" bestFit="1" customWidth="1"/>
    <col min="4" max="4" width="18.5703125" bestFit="1" customWidth="1"/>
  </cols>
  <sheetData>
    <row r="1" spans="1:8" x14ac:dyDescent="0.25">
      <c r="A1" t="s">
        <v>45</v>
      </c>
      <c r="B1" t="s">
        <v>46</v>
      </c>
    </row>
    <row r="2" spans="1:8" x14ac:dyDescent="0.25">
      <c r="A2">
        <v>2289</v>
      </c>
      <c r="B2">
        <v>28.7</v>
      </c>
    </row>
    <row r="3" spans="1:8" x14ac:dyDescent="0.25">
      <c r="A3">
        <v>2113</v>
      </c>
      <c r="B3">
        <v>29.2</v>
      </c>
    </row>
    <row r="4" spans="1:8" x14ac:dyDescent="0.25">
      <c r="A4">
        <v>2180</v>
      </c>
      <c r="B4">
        <v>34.200000000000003</v>
      </c>
    </row>
    <row r="5" spans="1:8" x14ac:dyDescent="0.25">
      <c r="A5">
        <v>2448</v>
      </c>
      <c r="B5">
        <v>27.9</v>
      </c>
    </row>
    <row r="6" spans="1:8" x14ac:dyDescent="0.25">
      <c r="A6">
        <v>2026</v>
      </c>
      <c r="B6">
        <v>33.299999999999997</v>
      </c>
    </row>
    <row r="7" spans="1:8" x14ac:dyDescent="0.25">
      <c r="A7">
        <v>2702</v>
      </c>
      <c r="B7">
        <v>26.4</v>
      </c>
    </row>
    <row r="8" spans="1:8" x14ac:dyDescent="0.25">
      <c r="A8">
        <v>2657</v>
      </c>
      <c r="B8">
        <v>23.9</v>
      </c>
    </row>
    <row r="9" spans="1:8" x14ac:dyDescent="0.25">
      <c r="A9">
        <v>2106</v>
      </c>
      <c r="B9">
        <v>30.5</v>
      </c>
    </row>
    <row r="10" spans="1:8" x14ac:dyDescent="0.25">
      <c r="A10">
        <v>3226</v>
      </c>
      <c r="B10">
        <v>18.100000000000001</v>
      </c>
    </row>
    <row r="11" spans="1:8" x14ac:dyDescent="0.25">
      <c r="A11">
        <v>3213</v>
      </c>
      <c r="B11">
        <v>19.5</v>
      </c>
    </row>
    <row r="12" spans="1:8" x14ac:dyDescent="0.25">
      <c r="A12">
        <v>3607</v>
      </c>
      <c r="B12">
        <v>14.3</v>
      </c>
    </row>
    <row r="13" spans="1:8" x14ac:dyDescent="0.25">
      <c r="A13">
        <v>2888</v>
      </c>
      <c r="B13">
        <v>20.9</v>
      </c>
    </row>
    <row r="16" spans="1:8" x14ac:dyDescent="0.25">
      <c r="A16" s="15" t="s">
        <v>4</v>
      </c>
      <c r="B16" s="15"/>
      <c r="C16" s="15"/>
      <c r="D16" s="15"/>
      <c r="E16" s="15"/>
      <c r="F16" s="15"/>
      <c r="G16" s="15"/>
      <c r="H16" s="15"/>
    </row>
    <row r="17" spans="1:9" ht="15.75" thickBot="1" x14ac:dyDescent="0.3">
      <c r="A17" s="15"/>
      <c r="B17" s="15"/>
      <c r="C17" s="15"/>
      <c r="D17" s="15"/>
      <c r="E17" s="15"/>
      <c r="F17" s="15"/>
      <c r="G17" s="15"/>
      <c r="H17" s="15"/>
    </row>
    <row r="18" spans="1:9" x14ac:dyDescent="0.25">
      <c r="A18" s="17" t="s">
        <v>5</v>
      </c>
      <c r="B18" s="17"/>
      <c r="C18" s="15"/>
      <c r="D18" s="15"/>
      <c r="E18" s="15"/>
      <c r="F18" s="15"/>
      <c r="G18" s="15"/>
      <c r="H18" s="15"/>
    </row>
    <row r="19" spans="1:9" x14ac:dyDescent="0.25">
      <c r="A19" s="15" t="s">
        <v>6</v>
      </c>
      <c r="B19" s="15">
        <v>0.96715244040957538</v>
      </c>
      <c r="C19" s="15"/>
      <c r="D19" s="15"/>
      <c r="E19" s="15"/>
      <c r="F19" s="15"/>
      <c r="G19" s="15"/>
      <c r="H19" s="15"/>
    </row>
    <row r="20" spans="1:9" x14ac:dyDescent="0.25">
      <c r="A20" s="15" t="s">
        <v>7</v>
      </c>
      <c r="B20" s="15">
        <v>0.93538384299019728</v>
      </c>
      <c r="C20" s="15"/>
      <c r="D20" s="15"/>
      <c r="E20" s="15"/>
      <c r="F20" s="15"/>
      <c r="G20" s="15"/>
      <c r="H20" s="15"/>
    </row>
    <row r="21" spans="1:9" x14ac:dyDescent="0.25">
      <c r="A21" s="15" t="s">
        <v>8</v>
      </c>
      <c r="B21" s="15">
        <v>0.92892222728921703</v>
      </c>
      <c r="C21" s="15"/>
      <c r="D21" s="15"/>
      <c r="E21" s="15"/>
      <c r="F21" s="15"/>
      <c r="G21" s="15"/>
      <c r="H21" s="15"/>
    </row>
    <row r="22" spans="1:9" x14ac:dyDescent="0.25">
      <c r="A22" s="15" t="s">
        <v>9</v>
      </c>
      <c r="B22" s="15">
        <v>1.6705264867635621</v>
      </c>
      <c r="C22" s="15"/>
      <c r="D22" s="15"/>
      <c r="E22" s="15"/>
      <c r="F22" s="15"/>
      <c r="G22" s="15"/>
      <c r="H22" s="15"/>
    </row>
    <row r="23" spans="1:9" ht="15.75" thickBot="1" x14ac:dyDescent="0.3">
      <c r="A23" s="18" t="s">
        <v>10</v>
      </c>
      <c r="B23" s="18">
        <v>12</v>
      </c>
      <c r="C23" s="15"/>
      <c r="D23" s="15"/>
      <c r="E23" s="15"/>
      <c r="F23" s="15"/>
      <c r="G23" s="15"/>
      <c r="H23" s="15"/>
    </row>
    <row r="24" spans="1:9" x14ac:dyDescent="0.25">
      <c r="A24" s="15"/>
      <c r="B24" s="15"/>
      <c r="C24" s="15"/>
      <c r="D24" s="15"/>
      <c r="E24" s="15"/>
      <c r="F24" s="15"/>
      <c r="G24" s="15"/>
      <c r="H24" s="15"/>
    </row>
    <row r="25" spans="1:9" ht="15.75" thickBot="1" x14ac:dyDescent="0.3">
      <c r="A25" s="15" t="s">
        <v>11</v>
      </c>
      <c r="B25" s="15"/>
      <c r="C25" s="15"/>
      <c r="D25" s="15"/>
      <c r="E25" s="15"/>
      <c r="F25" s="15"/>
      <c r="G25" s="15"/>
      <c r="H25" s="15"/>
    </row>
    <row r="26" spans="1:9" x14ac:dyDescent="0.25">
      <c r="A26" s="19"/>
      <c r="B26" s="19" t="s">
        <v>16</v>
      </c>
      <c r="C26" s="19" t="s">
        <v>17</v>
      </c>
      <c r="D26" s="19" t="s">
        <v>18</v>
      </c>
      <c r="E26" s="19" t="s">
        <v>19</v>
      </c>
      <c r="F26" s="19" t="s">
        <v>20</v>
      </c>
      <c r="G26" s="15"/>
      <c r="H26" s="15"/>
    </row>
    <row r="27" spans="1:9" x14ac:dyDescent="0.25">
      <c r="A27" s="15" t="s">
        <v>12</v>
      </c>
      <c r="B27" s="15">
        <v>1</v>
      </c>
      <c r="C27" s="15">
        <v>403.97591257021384</v>
      </c>
      <c r="D27" s="15">
        <v>403.97591257021384</v>
      </c>
      <c r="E27" s="15">
        <v>144.76005480305705</v>
      </c>
      <c r="F27" s="15">
        <v>2.8499707985081729E-7</v>
      </c>
      <c r="G27" s="15"/>
      <c r="H27" s="15"/>
    </row>
    <row r="28" spans="1:9" x14ac:dyDescent="0.25">
      <c r="A28" s="15" t="s">
        <v>13</v>
      </c>
      <c r="B28" s="15">
        <v>10</v>
      </c>
      <c r="C28" s="15">
        <v>27.906587429786097</v>
      </c>
      <c r="D28" s="15">
        <v>2.7906587429786098</v>
      </c>
      <c r="E28" s="15"/>
      <c r="F28" s="15"/>
      <c r="G28" s="15"/>
      <c r="H28" s="15"/>
    </row>
    <row r="29" spans="1:9" ht="15.75" thickBot="1" x14ac:dyDescent="0.3">
      <c r="A29" s="18" t="s">
        <v>14</v>
      </c>
      <c r="B29" s="18">
        <v>11</v>
      </c>
      <c r="C29" s="18">
        <v>431.88249999999994</v>
      </c>
      <c r="D29" s="18"/>
      <c r="E29" s="18"/>
      <c r="F29" s="18"/>
      <c r="G29" s="15"/>
      <c r="H29" s="15"/>
    </row>
    <row r="30" spans="1:9" ht="15.75" thickBot="1" x14ac:dyDescent="0.3">
      <c r="A30" s="15"/>
      <c r="B30" s="15"/>
      <c r="C30" s="15"/>
      <c r="D30" s="15"/>
      <c r="E30" s="15"/>
      <c r="F30" s="15"/>
      <c r="G30" s="15"/>
      <c r="H30" s="15"/>
    </row>
    <row r="31" spans="1:9" x14ac:dyDescent="0.25">
      <c r="A31" s="19"/>
      <c r="B31" s="19" t="s">
        <v>21</v>
      </c>
      <c r="C31" s="19" t="s">
        <v>9</v>
      </c>
      <c r="D31" s="19" t="s">
        <v>22</v>
      </c>
      <c r="E31" s="19" t="s">
        <v>23</v>
      </c>
      <c r="F31" s="19" t="s">
        <v>24</v>
      </c>
      <c r="G31" s="19" t="s">
        <v>25</v>
      </c>
      <c r="H31" s="19" t="s">
        <v>26</v>
      </c>
      <c r="I31" s="19" t="s">
        <v>27</v>
      </c>
    </row>
    <row r="32" spans="1:9" x14ac:dyDescent="0.25">
      <c r="A32" s="15" t="s">
        <v>15</v>
      </c>
      <c r="B32" s="15">
        <v>56.095680030888218</v>
      </c>
      <c r="C32" s="15">
        <v>2.5821354235920793</v>
      </c>
      <c r="D32" s="15">
        <v>21.724530602989049</v>
      </c>
      <c r="E32" s="15">
        <v>9.5467598079940382E-10</v>
      </c>
      <c r="F32" s="15">
        <v>50.342323772492669</v>
      </c>
      <c r="G32" s="15">
        <v>61.849036289283767</v>
      </c>
      <c r="H32" s="15">
        <v>50.342323772492669</v>
      </c>
      <c r="I32" s="15">
        <v>61.849036289283767</v>
      </c>
    </row>
    <row r="33" spans="1:9" ht="15.75" thickBot="1" x14ac:dyDescent="0.3">
      <c r="A33" s="18" t="s">
        <v>45</v>
      </c>
      <c r="B33" s="18">
        <v>-1.1643559382313101E-2</v>
      </c>
      <c r="C33" s="18">
        <v>9.6774601801230011E-4</v>
      </c>
      <c r="D33" s="18">
        <v>-12.031627271614473</v>
      </c>
      <c r="E33" s="18">
        <v>2.8499707985081682E-7</v>
      </c>
      <c r="F33" s="18">
        <v>-1.3799831883901315E-2</v>
      </c>
      <c r="G33" s="18">
        <v>-9.4872868807248864E-3</v>
      </c>
      <c r="H33" s="18">
        <v>-1.3799831883901315E-2</v>
      </c>
      <c r="I33" s="18">
        <v>-9.4872868807248864E-3</v>
      </c>
    </row>
    <row r="34" spans="1:9" x14ac:dyDescent="0.25">
      <c r="A34" s="15"/>
      <c r="B34" s="15"/>
      <c r="C34" s="15"/>
      <c r="D34" s="15"/>
      <c r="E34" s="15"/>
      <c r="F34" s="15"/>
      <c r="G34" s="15"/>
      <c r="H34" s="15"/>
    </row>
    <row r="35" spans="1:9" x14ac:dyDescent="0.25">
      <c r="A35" s="15"/>
      <c r="B35" s="15"/>
      <c r="C35" s="15"/>
      <c r="D35" s="15"/>
      <c r="E35" s="15"/>
      <c r="F35" s="15"/>
      <c r="G35" s="15"/>
      <c r="H35" s="15"/>
    </row>
    <row r="36" spans="1:9" x14ac:dyDescent="0.25">
      <c r="A36" s="15"/>
      <c r="B36" s="15"/>
      <c r="C36" s="15"/>
      <c r="D36" s="15"/>
      <c r="E36" s="15"/>
      <c r="F36" s="15"/>
      <c r="G36" s="15"/>
      <c r="H36" s="15"/>
    </row>
    <row r="37" spans="1:9" x14ac:dyDescent="0.25">
      <c r="A37" s="15" t="s">
        <v>28</v>
      </c>
      <c r="B37" s="15"/>
      <c r="C37" s="15"/>
      <c r="D37" s="15"/>
      <c r="E37" s="15"/>
      <c r="F37" s="15" t="s">
        <v>33</v>
      </c>
      <c r="G37" s="15"/>
      <c r="H37" s="15"/>
    </row>
    <row r="38" spans="1:9" ht="15.75" thickBot="1" x14ac:dyDescent="0.3">
      <c r="A38" s="15"/>
      <c r="B38" s="15"/>
      <c r="C38" s="15"/>
      <c r="D38" s="15"/>
      <c r="E38" s="15"/>
      <c r="F38" s="15"/>
      <c r="G38" s="15"/>
      <c r="H38" s="15"/>
    </row>
    <row r="39" spans="1:9" x14ac:dyDescent="0.25">
      <c r="A39" s="19" t="s">
        <v>29</v>
      </c>
      <c r="B39" s="19" t="s">
        <v>47</v>
      </c>
      <c r="C39" s="19" t="s">
        <v>31</v>
      </c>
      <c r="D39" s="19" t="s">
        <v>32</v>
      </c>
      <c r="E39" s="15"/>
      <c r="F39" s="19" t="s">
        <v>34</v>
      </c>
      <c r="G39" s="19" t="s">
        <v>46</v>
      </c>
      <c r="H39" s="15"/>
    </row>
    <row r="40" spans="1:9" x14ac:dyDescent="0.25">
      <c r="A40" s="15">
        <v>1</v>
      </c>
      <c r="B40" s="15">
        <v>29.443572604773529</v>
      </c>
      <c r="C40" s="15">
        <v>-0.74357260477352938</v>
      </c>
      <c r="D40" s="15">
        <v>-0.46683816947691587</v>
      </c>
      <c r="E40" s="15"/>
      <c r="F40" s="15">
        <v>4.166666666666667</v>
      </c>
      <c r="G40" s="15">
        <v>14.3</v>
      </c>
      <c r="H40" s="15"/>
      <c r="I40">
        <v>0.74</v>
      </c>
    </row>
    <row r="41" spans="1:9" x14ac:dyDescent="0.25">
      <c r="A41" s="15">
        <v>2</v>
      </c>
      <c r="B41" s="15">
        <v>31.492839056060635</v>
      </c>
      <c r="C41" s="15">
        <v>-2.292839056060636</v>
      </c>
      <c r="D41" s="15">
        <v>-1.4395161695911793</v>
      </c>
      <c r="E41" s="15"/>
      <c r="F41" s="15">
        <v>12.5</v>
      </c>
      <c r="G41" s="15">
        <v>18.100000000000001</v>
      </c>
      <c r="H41" s="15"/>
    </row>
    <row r="42" spans="1:9" x14ac:dyDescent="0.25">
      <c r="A42" s="15">
        <v>3</v>
      </c>
      <c r="B42" s="15">
        <v>30.712720577445658</v>
      </c>
      <c r="C42" s="15">
        <v>3.4872794225543444</v>
      </c>
      <c r="D42" s="42">
        <v>2.1894232407548504</v>
      </c>
      <c r="E42" s="15"/>
      <c r="F42" s="15">
        <v>20.833333333333336</v>
      </c>
      <c r="G42" s="15">
        <v>19.5</v>
      </c>
      <c r="H42" s="15"/>
    </row>
    <row r="43" spans="1:9" x14ac:dyDescent="0.25">
      <c r="A43" s="15">
        <v>4</v>
      </c>
      <c r="B43" s="15">
        <v>27.592246662985747</v>
      </c>
      <c r="C43" s="15">
        <v>0.30775333701425112</v>
      </c>
      <c r="D43" s="15">
        <v>0.1932171836076497</v>
      </c>
      <c r="E43" s="15"/>
      <c r="F43" s="15">
        <v>29.166666666666668</v>
      </c>
      <c r="G43" s="15">
        <v>20.9</v>
      </c>
      <c r="H43" s="15"/>
    </row>
    <row r="44" spans="1:9" x14ac:dyDescent="0.25">
      <c r="A44" s="15">
        <v>5</v>
      </c>
      <c r="B44" s="15">
        <v>32.50582872232188</v>
      </c>
      <c r="C44" s="15">
        <v>0.79417127767811735</v>
      </c>
      <c r="D44" s="15">
        <v>0.49860560104324347</v>
      </c>
      <c r="E44" s="15"/>
      <c r="F44" s="15">
        <v>37.5</v>
      </c>
      <c r="G44" s="15">
        <v>23.9</v>
      </c>
      <c r="H44" s="15"/>
    </row>
    <row r="45" spans="1:9" x14ac:dyDescent="0.25">
      <c r="A45" s="15">
        <v>6</v>
      </c>
      <c r="B45" s="15">
        <v>24.63478257987822</v>
      </c>
      <c r="C45" s="15">
        <v>1.765217420121779</v>
      </c>
      <c r="D45" s="15">
        <v>1.1082587817895784</v>
      </c>
      <c r="E45" s="15"/>
      <c r="F45" s="15">
        <v>45.833333333333336</v>
      </c>
      <c r="G45" s="15">
        <v>26.4</v>
      </c>
      <c r="H45" s="15"/>
    </row>
    <row r="46" spans="1:9" x14ac:dyDescent="0.25">
      <c r="A46" s="15">
        <v>7</v>
      </c>
      <c r="B46" s="15">
        <v>25.158742752082308</v>
      </c>
      <c r="C46" s="15">
        <v>-1.2587427520823091</v>
      </c>
      <c r="D46" s="15">
        <v>-0.79027812274420095</v>
      </c>
      <c r="E46" s="15"/>
      <c r="F46" s="15">
        <v>54.166666666666664</v>
      </c>
      <c r="G46" s="15">
        <v>27.9</v>
      </c>
      <c r="H46" s="15"/>
    </row>
    <row r="47" spans="1:9" x14ac:dyDescent="0.25">
      <c r="A47" s="15">
        <v>8</v>
      </c>
      <c r="B47" s="15">
        <v>31.574343971736827</v>
      </c>
      <c r="C47" s="15">
        <v>-1.0743439717368268</v>
      </c>
      <c r="D47" s="15">
        <v>-0.67450679319598605</v>
      </c>
      <c r="E47" s="15"/>
      <c r="F47" s="15">
        <v>62.5</v>
      </c>
      <c r="G47" s="15">
        <v>28.7</v>
      </c>
      <c r="H47" s="15"/>
    </row>
    <row r="48" spans="1:9" x14ac:dyDescent="0.25">
      <c r="A48" s="15">
        <v>9</v>
      </c>
      <c r="B48" s="15">
        <v>18.533557463546153</v>
      </c>
      <c r="C48" s="15">
        <v>-0.43355746354615121</v>
      </c>
      <c r="D48" s="15">
        <v>-0.27220095434605934</v>
      </c>
      <c r="E48" s="15"/>
      <c r="F48" s="15">
        <v>70.833333333333343</v>
      </c>
      <c r="G48" s="15">
        <v>29.2</v>
      </c>
      <c r="H48" s="15"/>
    </row>
    <row r="49" spans="1:8" x14ac:dyDescent="0.25">
      <c r="A49" s="15">
        <v>10</v>
      </c>
      <c r="B49" s="15">
        <v>18.684923735516222</v>
      </c>
      <c r="C49" s="15">
        <v>0.81507626448377835</v>
      </c>
      <c r="D49" s="15">
        <v>0.5117304064901389</v>
      </c>
      <c r="E49" s="15"/>
      <c r="F49" s="15">
        <v>79.166666666666671</v>
      </c>
      <c r="G49" s="15">
        <v>30.5</v>
      </c>
      <c r="H49" s="15"/>
    </row>
    <row r="50" spans="1:8" x14ac:dyDescent="0.25">
      <c r="A50" s="15">
        <v>11</v>
      </c>
      <c r="B50" s="15">
        <v>14.097361338884866</v>
      </c>
      <c r="C50" s="15">
        <v>0.20263866111513451</v>
      </c>
      <c r="D50" s="15">
        <v>0.12722289795635322</v>
      </c>
      <c r="E50" s="15"/>
      <c r="F50" s="15">
        <v>87.500000000000014</v>
      </c>
      <c r="G50" s="15">
        <v>33.299999999999997</v>
      </c>
      <c r="H50" s="15"/>
    </row>
    <row r="51" spans="1:8" ht="15.75" thickBot="1" x14ac:dyDescent="0.3">
      <c r="A51" s="18">
        <v>12</v>
      </c>
      <c r="B51" s="18">
        <v>22.469080534767983</v>
      </c>
      <c r="C51" s="18">
        <v>-1.5690805347679841</v>
      </c>
      <c r="D51" s="18">
        <v>-0.98511790228749241</v>
      </c>
      <c r="E51" s="15"/>
      <c r="F51" s="18">
        <v>95.833333333333343</v>
      </c>
      <c r="G51" s="18">
        <v>34.200000000000003</v>
      </c>
      <c r="H51" s="15"/>
    </row>
    <row r="52" spans="1:8" x14ac:dyDescent="0.25">
      <c r="A52" s="15"/>
      <c r="B52" s="15"/>
      <c r="C52" s="15"/>
      <c r="D52" s="15"/>
      <c r="E52" s="15"/>
      <c r="F52" s="15"/>
      <c r="G52" s="15"/>
      <c r="H52" s="15"/>
    </row>
  </sheetData>
  <sortState xmlns:xlrd2="http://schemas.microsoft.com/office/spreadsheetml/2017/richdata2" ref="C58:D69">
    <sortCondition ref="C58:C69"/>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50BA0-D6FE-4439-930E-A5383D55E1A2}">
  <dimension ref="A1:I66"/>
  <sheetViews>
    <sheetView topLeftCell="A27" zoomScale="106" zoomScaleNormal="106" workbookViewId="0">
      <selection activeCell="D55" sqref="D55"/>
    </sheetView>
  </sheetViews>
  <sheetFormatPr defaultRowHeight="15" x14ac:dyDescent="0.25"/>
  <cols>
    <col min="1" max="1" width="14" customWidth="1"/>
    <col min="2" max="2" width="19.42578125" customWidth="1"/>
    <col min="3" max="3" width="15" customWidth="1"/>
    <col min="4" max="4" width="26.140625" customWidth="1"/>
  </cols>
  <sheetData>
    <row r="1" spans="1:9" ht="45.75" customHeight="1" x14ac:dyDescent="0.25">
      <c r="A1" t="s">
        <v>45</v>
      </c>
      <c r="B1" t="s">
        <v>48</v>
      </c>
      <c r="C1" s="16" t="s">
        <v>49</v>
      </c>
    </row>
    <row r="2" spans="1:9" x14ac:dyDescent="0.25">
      <c r="A2">
        <v>2289</v>
      </c>
      <c r="B2">
        <f t="shared" ref="B2:B13" si="0">LN(C2)</f>
        <v>3.3568971227655755</v>
      </c>
      <c r="C2" s="15">
        <v>28.7</v>
      </c>
    </row>
    <row r="3" spans="1:9" x14ac:dyDescent="0.25">
      <c r="A3">
        <v>2113</v>
      </c>
      <c r="B3">
        <f t="shared" si="0"/>
        <v>3.3741687092742358</v>
      </c>
      <c r="C3" s="15">
        <v>29.2</v>
      </c>
    </row>
    <row r="4" spans="1:9" x14ac:dyDescent="0.25">
      <c r="A4">
        <v>2180</v>
      </c>
      <c r="B4">
        <f t="shared" si="0"/>
        <v>3.5322256440685598</v>
      </c>
      <c r="C4" s="15">
        <v>34.200000000000003</v>
      </c>
    </row>
    <row r="5" spans="1:9" x14ac:dyDescent="0.25">
      <c r="A5">
        <v>2448</v>
      </c>
      <c r="B5">
        <f t="shared" si="0"/>
        <v>3.3286266888273199</v>
      </c>
      <c r="C5" s="15">
        <v>27.9</v>
      </c>
    </row>
    <row r="6" spans="1:9" x14ac:dyDescent="0.25">
      <c r="A6">
        <v>2026</v>
      </c>
      <c r="B6">
        <f t="shared" si="0"/>
        <v>3.505557396986398</v>
      </c>
      <c r="C6" s="15">
        <v>33.299999999999997</v>
      </c>
    </row>
    <row r="7" spans="1:9" x14ac:dyDescent="0.25">
      <c r="A7">
        <v>2702</v>
      </c>
      <c r="B7">
        <f t="shared" si="0"/>
        <v>3.2733640101522705</v>
      </c>
      <c r="C7" s="15">
        <v>26.4</v>
      </c>
    </row>
    <row r="8" spans="1:9" x14ac:dyDescent="0.25">
      <c r="A8">
        <v>2657</v>
      </c>
      <c r="B8">
        <f t="shared" si="0"/>
        <v>3.1738784589374651</v>
      </c>
      <c r="C8" s="15">
        <v>23.9</v>
      </c>
    </row>
    <row r="9" spans="1:9" x14ac:dyDescent="0.25">
      <c r="A9">
        <v>2106</v>
      </c>
      <c r="B9">
        <f t="shared" si="0"/>
        <v>3.417726683613366</v>
      </c>
      <c r="C9" s="15">
        <v>30.5</v>
      </c>
    </row>
    <row r="10" spans="1:9" x14ac:dyDescent="0.25">
      <c r="A10">
        <v>3226</v>
      </c>
      <c r="B10">
        <f t="shared" si="0"/>
        <v>2.8959119382717802</v>
      </c>
      <c r="C10" s="15">
        <v>18.100000000000001</v>
      </c>
    </row>
    <row r="11" spans="1:9" x14ac:dyDescent="0.25">
      <c r="A11">
        <v>3213</v>
      </c>
      <c r="B11">
        <f t="shared" si="0"/>
        <v>2.9704144655697009</v>
      </c>
      <c r="C11" s="15">
        <v>19.5</v>
      </c>
    </row>
    <row r="12" spans="1:9" x14ac:dyDescent="0.25">
      <c r="A12">
        <v>3607</v>
      </c>
      <c r="B12">
        <f t="shared" si="0"/>
        <v>2.6602595372658615</v>
      </c>
      <c r="C12" s="15">
        <v>14.3</v>
      </c>
    </row>
    <row r="13" spans="1:9" x14ac:dyDescent="0.25">
      <c r="A13">
        <v>2888</v>
      </c>
      <c r="B13">
        <f t="shared" si="0"/>
        <v>3.039749158970765</v>
      </c>
      <c r="C13" s="15">
        <v>20.9</v>
      </c>
    </row>
    <row r="16" spans="1:9" x14ac:dyDescent="0.25">
      <c r="A16" s="10" t="s">
        <v>4</v>
      </c>
      <c r="B16" s="10"/>
      <c r="C16" s="10"/>
      <c r="D16" s="10"/>
      <c r="E16" s="10"/>
      <c r="F16" s="10"/>
      <c r="G16" s="10"/>
      <c r="H16" s="10"/>
      <c r="I16" s="10"/>
    </row>
    <row r="17" spans="1:9" ht="15.75" thickBot="1" x14ac:dyDescent="0.3">
      <c r="A17" s="10"/>
      <c r="B17" s="10"/>
      <c r="C17" s="10"/>
      <c r="D17" s="10"/>
      <c r="E17" s="10"/>
      <c r="F17" s="10"/>
      <c r="G17" s="10"/>
      <c r="H17" s="10"/>
      <c r="I17" s="10"/>
    </row>
    <row r="18" spans="1:9" x14ac:dyDescent="0.25">
      <c r="A18" s="20" t="s">
        <v>5</v>
      </c>
      <c r="B18" s="20"/>
      <c r="C18" s="10"/>
      <c r="D18" s="10"/>
      <c r="E18" s="10"/>
      <c r="F18" s="10"/>
      <c r="G18" s="10"/>
      <c r="H18" s="10"/>
      <c r="I18" s="10"/>
    </row>
    <row r="19" spans="1:9" x14ac:dyDescent="0.25">
      <c r="A19" s="10" t="s">
        <v>6</v>
      </c>
      <c r="B19" s="10">
        <v>0.97350162882126867</v>
      </c>
      <c r="C19" s="10"/>
      <c r="D19" s="10"/>
      <c r="E19" s="10"/>
      <c r="F19" s="10"/>
      <c r="G19" s="10"/>
      <c r="H19" s="10"/>
      <c r="I19" s="10"/>
    </row>
    <row r="20" spans="1:9" x14ac:dyDescent="0.25">
      <c r="A20" s="10" t="s">
        <v>7</v>
      </c>
      <c r="B20" s="10">
        <v>0.94770542131766322</v>
      </c>
      <c r="C20" s="10"/>
      <c r="D20" s="10"/>
      <c r="E20" s="10"/>
      <c r="F20" s="10"/>
      <c r="G20" s="10"/>
      <c r="H20" s="10"/>
      <c r="I20" s="10"/>
    </row>
    <row r="21" spans="1:9" x14ac:dyDescent="0.25">
      <c r="A21" s="10" t="s">
        <v>8</v>
      </c>
      <c r="B21" s="10">
        <v>0.94247596344942952</v>
      </c>
      <c r="C21" s="10"/>
      <c r="D21" s="10"/>
      <c r="E21" s="10"/>
      <c r="F21" s="10"/>
      <c r="G21" s="10"/>
      <c r="H21" s="10"/>
      <c r="I21" s="10"/>
    </row>
    <row r="22" spans="1:9" x14ac:dyDescent="0.25">
      <c r="A22" s="10" t="s">
        <v>9</v>
      </c>
      <c r="B22" s="10">
        <v>6.4254713298817837E-2</v>
      </c>
      <c r="C22" s="10"/>
      <c r="D22" s="10"/>
      <c r="E22" s="10"/>
      <c r="F22" s="10"/>
      <c r="G22" s="10"/>
      <c r="H22" s="10"/>
      <c r="I22" s="10"/>
    </row>
    <row r="23" spans="1:9" ht="15.75" thickBot="1" x14ac:dyDescent="0.3">
      <c r="A23" s="11" t="s">
        <v>10</v>
      </c>
      <c r="B23" s="11">
        <v>12</v>
      </c>
      <c r="C23" s="10"/>
      <c r="D23" s="10"/>
      <c r="E23" s="10"/>
      <c r="F23" s="10"/>
      <c r="G23" s="10"/>
      <c r="H23" s="10"/>
      <c r="I23" s="10"/>
    </row>
    <row r="24" spans="1:9" x14ac:dyDescent="0.25">
      <c r="A24" s="10"/>
      <c r="B24" s="10"/>
      <c r="C24" s="10"/>
      <c r="D24" s="10"/>
      <c r="E24" s="10"/>
      <c r="F24" s="10"/>
      <c r="G24" s="10"/>
      <c r="H24" s="10"/>
      <c r="I24" s="10"/>
    </row>
    <row r="25" spans="1:9" ht="15.75" thickBot="1" x14ac:dyDescent="0.3">
      <c r="A25" s="10" t="s">
        <v>11</v>
      </c>
      <c r="B25" s="10"/>
      <c r="C25" s="10"/>
      <c r="D25" s="10"/>
      <c r="E25" s="10"/>
      <c r="F25" s="10"/>
      <c r="G25" s="10"/>
      <c r="H25" s="10"/>
      <c r="I25" s="10"/>
    </row>
    <row r="26" spans="1:9" x14ac:dyDescent="0.25">
      <c r="A26" s="21"/>
      <c r="B26" s="21" t="s">
        <v>16</v>
      </c>
      <c r="C26" s="21" t="s">
        <v>17</v>
      </c>
      <c r="D26" s="21" t="s">
        <v>18</v>
      </c>
      <c r="E26" s="21" t="s">
        <v>19</v>
      </c>
      <c r="F26" s="21" t="s">
        <v>20</v>
      </c>
      <c r="G26" s="10"/>
      <c r="H26" s="10"/>
      <c r="I26" s="10"/>
    </row>
    <row r="27" spans="1:9" x14ac:dyDescent="0.25">
      <c r="A27" s="10" t="s">
        <v>12</v>
      </c>
      <c r="B27" s="10">
        <v>1</v>
      </c>
      <c r="C27" s="10">
        <v>0.74821545878222762</v>
      </c>
      <c r="D27" s="10">
        <v>0.74821545878222762</v>
      </c>
      <c r="E27" s="10">
        <v>181.22441086570305</v>
      </c>
      <c r="F27" s="10">
        <v>9.8416727812630614E-8</v>
      </c>
      <c r="G27" s="10"/>
      <c r="H27" s="10"/>
      <c r="I27" s="10"/>
    </row>
    <row r="28" spans="1:9" x14ac:dyDescent="0.25">
      <c r="A28" s="10" t="s">
        <v>13</v>
      </c>
      <c r="B28" s="10">
        <v>10</v>
      </c>
      <c r="C28" s="10">
        <v>4.1286681811132785E-2</v>
      </c>
      <c r="D28" s="10">
        <v>4.1286681811132783E-3</v>
      </c>
      <c r="E28" s="10"/>
      <c r="F28" s="10"/>
      <c r="G28" s="10"/>
      <c r="H28" s="10"/>
      <c r="I28" s="10"/>
    </row>
    <row r="29" spans="1:9" ht="15.75" thickBot="1" x14ac:dyDescent="0.3">
      <c r="A29" s="11" t="s">
        <v>14</v>
      </c>
      <c r="B29" s="11">
        <v>11</v>
      </c>
      <c r="C29" s="11">
        <v>0.78950214059336044</v>
      </c>
      <c r="D29" s="11"/>
      <c r="E29" s="11"/>
      <c r="F29" s="11"/>
      <c r="G29" s="10"/>
      <c r="H29" s="10"/>
      <c r="I29" s="10"/>
    </row>
    <row r="30" spans="1:9" ht="15.75" thickBot="1" x14ac:dyDescent="0.3">
      <c r="A30" s="10"/>
      <c r="B30" s="10"/>
      <c r="C30" s="10"/>
      <c r="D30" s="10"/>
      <c r="E30" s="10"/>
      <c r="F30" s="10"/>
      <c r="G30" s="10"/>
      <c r="H30" s="10"/>
      <c r="I30" s="10"/>
    </row>
    <row r="31" spans="1:9" x14ac:dyDescent="0.25">
      <c r="A31" s="21"/>
      <c r="B31" s="21" t="s">
        <v>21</v>
      </c>
      <c r="C31" s="21" t="s">
        <v>9</v>
      </c>
      <c r="D31" s="21" t="s">
        <v>22</v>
      </c>
      <c r="E31" s="21" t="s">
        <v>23</v>
      </c>
      <c r="F31" s="21" t="s">
        <v>24</v>
      </c>
      <c r="G31" s="21" t="s">
        <v>25</v>
      </c>
      <c r="H31" s="21" t="s">
        <v>26</v>
      </c>
      <c r="I31" s="21" t="s">
        <v>27</v>
      </c>
    </row>
    <row r="32" spans="1:9" x14ac:dyDescent="0.25">
      <c r="A32" s="10" t="s">
        <v>15</v>
      </c>
      <c r="B32" s="10">
        <v>4.5242308402702429</v>
      </c>
      <c r="C32" s="10">
        <v>9.9318611621099853E-2</v>
      </c>
      <c r="D32" s="10">
        <v>45.55269920133567</v>
      </c>
      <c r="E32" s="10">
        <v>6.2573372761348768E-13</v>
      </c>
      <c r="F32" s="10">
        <v>4.3029351829919351</v>
      </c>
      <c r="G32" s="10">
        <v>4.7455264975485507</v>
      </c>
      <c r="H32" s="10">
        <v>4.3029351829919351</v>
      </c>
      <c r="I32" s="10">
        <v>4.7455264975485507</v>
      </c>
    </row>
    <row r="33" spans="1:9" ht="15.75" thickBot="1" x14ac:dyDescent="0.3">
      <c r="A33" s="11" t="s">
        <v>45</v>
      </c>
      <c r="B33" s="11">
        <v>-5.0109649558224812E-4</v>
      </c>
      <c r="C33" s="11">
        <v>3.7223140983489185E-5</v>
      </c>
      <c r="D33" s="11">
        <v>-13.46196162770133</v>
      </c>
      <c r="E33" s="11">
        <v>9.8416727812630786E-8</v>
      </c>
      <c r="F33" s="11">
        <v>-5.8403482220052293E-4</v>
      </c>
      <c r="G33" s="11">
        <v>-4.1815816896397331E-4</v>
      </c>
      <c r="H33" s="11">
        <v>-5.8403482220052293E-4</v>
      </c>
      <c r="I33" s="11">
        <v>-4.1815816896397331E-4</v>
      </c>
    </row>
    <row r="34" spans="1:9" x14ac:dyDescent="0.25">
      <c r="A34" s="10"/>
      <c r="B34" s="10"/>
      <c r="C34" s="10"/>
      <c r="D34" s="10"/>
      <c r="E34" s="10"/>
      <c r="F34" s="10"/>
      <c r="G34" s="10"/>
      <c r="H34" s="10"/>
      <c r="I34" s="10"/>
    </row>
    <row r="35" spans="1:9" x14ac:dyDescent="0.25">
      <c r="A35" s="10"/>
      <c r="B35" s="10"/>
      <c r="C35" s="10"/>
      <c r="D35" s="10"/>
      <c r="E35" s="10"/>
      <c r="F35" s="10"/>
      <c r="G35" s="10"/>
      <c r="H35" s="10"/>
      <c r="I35" s="10"/>
    </row>
    <row r="36" spans="1:9" x14ac:dyDescent="0.25">
      <c r="A36" s="10"/>
      <c r="B36" s="10"/>
      <c r="C36" s="10"/>
      <c r="D36" s="10"/>
      <c r="E36" s="10"/>
      <c r="F36" s="10"/>
      <c r="G36" s="10"/>
      <c r="H36" s="10"/>
      <c r="I36" s="10"/>
    </row>
    <row r="37" spans="1:9" x14ac:dyDescent="0.25">
      <c r="A37" s="10" t="s">
        <v>28</v>
      </c>
      <c r="B37" s="10"/>
      <c r="C37" s="10"/>
      <c r="D37" s="10"/>
      <c r="E37" s="10"/>
      <c r="F37" s="10" t="s">
        <v>33</v>
      </c>
      <c r="G37" s="10"/>
      <c r="H37" s="10"/>
      <c r="I37" s="10"/>
    </row>
    <row r="38" spans="1:9" ht="15.75" thickBot="1" x14ac:dyDescent="0.3">
      <c r="A38" s="10"/>
      <c r="B38" s="10"/>
      <c r="C38" s="10"/>
      <c r="D38" s="10"/>
      <c r="E38" s="10"/>
      <c r="F38" s="10"/>
      <c r="G38" s="10"/>
      <c r="H38" s="10"/>
      <c r="I38" s="10"/>
    </row>
    <row r="39" spans="1:9" ht="42" customHeight="1" x14ac:dyDescent="0.25">
      <c r="A39" s="21" t="s">
        <v>29</v>
      </c>
      <c r="B39" s="26" t="s">
        <v>50</v>
      </c>
      <c r="C39" s="21" t="s">
        <v>31</v>
      </c>
      <c r="D39" s="26" t="s">
        <v>32</v>
      </c>
      <c r="E39" s="10"/>
      <c r="F39" s="21" t="s">
        <v>34</v>
      </c>
      <c r="G39" s="26" t="s">
        <v>48</v>
      </c>
      <c r="H39" s="10"/>
      <c r="I39" s="10"/>
    </row>
    <row r="40" spans="1:9" x14ac:dyDescent="0.25">
      <c r="A40" s="10">
        <v>1</v>
      </c>
      <c r="B40" s="10">
        <v>3.3772209618824771</v>
      </c>
      <c r="C40" s="10">
        <v>-2.032383911690161E-2</v>
      </c>
      <c r="D40" s="10">
        <v>-0.33173943513627402</v>
      </c>
      <c r="E40" s="10"/>
      <c r="F40" s="10">
        <v>4.166666666666667</v>
      </c>
      <c r="G40" s="10">
        <v>2.6602595372658615</v>
      </c>
      <c r="H40" s="10"/>
      <c r="I40" s="10"/>
    </row>
    <row r="41" spans="1:9" x14ac:dyDescent="0.25">
      <c r="A41" s="10">
        <v>2</v>
      </c>
      <c r="B41" s="10">
        <v>3.4654139451049524</v>
      </c>
      <c r="C41" s="10">
        <v>-9.1245235830716531E-2</v>
      </c>
      <c r="D41" s="10">
        <v>-1.4893663947666917</v>
      </c>
      <c r="E41" s="10"/>
      <c r="F41" s="10">
        <v>12.5</v>
      </c>
      <c r="G41" s="10">
        <v>2.8959119382717802</v>
      </c>
      <c r="H41" s="10"/>
      <c r="I41" s="10"/>
    </row>
    <row r="42" spans="1:9" x14ac:dyDescent="0.25">
      <c r="A42" s="10">
        <v>3</v>
      </c>
      <c r="B42" s="10">
        <v>3.4318404799009423</v>
      </c>
      <c r="C42" s="10">
        <v>0.10038516416761745</v>
      </c>
      <c r="D42" s="10">
        <v>1.6385544810445454</v>
      </c>
      <c r="E42" s="10"/>
      <c r="F42" s="10">
        <v>20.833333333333336</v>
      </c>
      <c r="G42" s="10">
        <v>2.9704144655697009</v>
      </c>
      <c r="H42" s="10"/>
      <c r="I42" s="10"/>
    </row>
    <row r="43" spans="1:9" x14ac:dyDescent="0.25">
      <c r="A43" s="10">
        <v>4</v>
      </c>
      <c r="B43" s="10">
        <v>3.2975466190848994</v>
      </c>
      <c r="C43" s="10">
        <v>3.1080069742420502E-2</v>
      </c>
      <c r="D43" s="10">
        <v>0.50730989952445671</v>
      </c>
      <c r="E43" s="10"/>
      <c r="F43" s="10">
        <v>29.166666666666668</v>
      </c>
      <c r="G43" s="10">
        <v>3.039749158970765</v>
      </c>
      <c r="H43" s="10"/>
      <c r="I43" s="10"/>
    </row>
    <row r="44" spans="1:9" x14ac:dyDescent="0.25">
      <c r="A44" s="10">
        <v>5</v>
      </c>
      <c r="B44" s="10">
        <v>3.509009340220608</v>
      </c>
      <c r="C44" s="10">
        <v>-3.4519432342099421E-3</v>
      </c>
      <c r="D44" s="10">
        <v>-5.6344949989638952E-2</v>
      </c>
      <c r="E44" s="10"/>
      <c r="F44" s="10">
        <v>37.5</v>
      </c>
      <c r="G44" s="10">
        <v>3.1738784589374651</v>
      </c>
      <c r="H44" s="10"/>
      <c r="I44" s="10"/>
    </row>
    <row r="45" spans="1:9" x14ac:dyDescent="0.25">
      <c r="A45" s="10">
        <v>6</v>
      </c>
      <c r="B45" s="10">
        <v>3.1702681092070084</v>
      </c>
      <c r="C45" s="10">
        <v>0.10309590094526211</v>
      </c>
      <c r="D45" s="10">
        <v>1.6828009584077284</v>
      </c>
      <c r="E45" s="10"/>
      <c r="F45" s="10">
        <v>45.833333333333336</v>
      </c>
      <c r="G45" s="10">
        <v>3.2733640101522705</v>
      </c>
      <c r="H45" s="10"/>
      <c r="I45" s="10"/>
    </row>
    <row r="46" spans="1:9" x14ac:dyDescent="0.25">
      <c r="A46" s="10">
        <v>7</v>
      </c>
      <c r="B46" s="10">
        <v>3.1928174515082097</v>
      </c>
      <c r="C46" s="10">
        <v>-1.8938992570744606E-2</v>
      </c>
      <c r="D46" s="10">
        <v>-0.30913503405190934</v>
      </c>
      <c r="E46" s="10"/>
      <c r="F46" s="10">
        <v>54.166666666666664</v>
      </c>
      <c r="G46" s="10">
        <v>3.3286266888273199</v>
      </c>
      <c r="H46" s="10"/>
      <c r="I46" s="10"/>
    </row>
    <row r="47" spans="1:9" x14ac:dyDescent="0.25">
      <c r="A47" s="10">
        <v>8</v>
      </c>
      <c r="B47" s="10">
        <v>3.4689216205740285</v>
      </c>
      <c r="C47" s="10">
        <v>-5.1194936960662574E-2</v>
      </c>
      <c r="D47" s="10">
        <v>-0.83563835412590559</v>
      </c>
      <c r="E47" s="10"/>
      <c r="F47" s="10">
        <v>62.5</v>
      </c>
      <c r="G47" s="10">
        <v>3.3568971227655755</v>
      </c>
      <c r="H47" s="10"/>
      <c r="I47" s="10"/>
    </row>
    <row r="48" spans="1:9" x14ac:dyDescent="0.25">
      <c r="A48" s="10">
        <v>9</v>
      </c>
      <c r="B48" s="10">
        <v>2.9076935455219104</v>
      </c>
      <c r="C48" s="10">
        <v>-1.1781607250130222E-2</v>
      </c>
      <c r="D48" s="10">
        <v>-0.19230735451479375</v>
      </c>
      <c r="E48" s="10"/>
      <c r="F48" s="10">
        <v>70.833333333333343</v>
      </c>
      <c r="G48" s="10">
        <v>3.3741687092742358</v>
      </c>
      <c r="H48" s="10"/>
      <c r="I48" s="10"/>
    </row>
    <row r="49" spans="1:9" x14ac:dyDescent="0.25">
      <c r="A49" s="10">
        <v>10</v>
      </c>
      <c r="B49" s="10">
        <v>2.9142077999644798</v>
      </c>
      <c r="C49" s="10">
        <v>5.620666560522114E-2</v>
      </c>
      <c r="D49" s="10">
        <v>0.91744317554960553</v>
      </c>
      <c r="E49" s="10"/>
      <c r="F49" s="10">
        <v>79.166666666666671</v>
      </c>
      <c r="G49" s="10">
        <v>3.417726683613366</v>
      </c>
      <c r="H49" s="10"/>
      <c r="I49" s="10"/>
    </row>
    <row r="50" spans="1:9" x14ac:dyDescent="0.25">
      <c r="A50" s="10">
        <v>11</v>
      </c>
      <c r="B50" s="10">
        <v>2.7167757807050741</v>
      </c>
      <c r="C50" s="10">
        <v>-5.6516243439212577E-2</v>
      </c>
      <c r="D50" s="10">
        <v>-0.92249631414159639</v>
      </c>
      <c r="E50" s="10"/>
      <c r="F50" s="10">
        <v>87.500000000000014</v>
      </c>
      <c r="G50" s="10">
        <v>3.505557396986398</v>
      </c>
      <c r="H50" s="10"/>
      <c r="I50" s="10"/>
    </row>
    <row r="51" spans="1:9" ht="15.75" thickBot="1" x14ac:dyDescent="0.3">
      <c r="A51" s="11">
        <v>12</v>
      </c>
      <c r="B51" s="11">
        <v>3.0770641610287104</v>
      </c>
      <c r="C51" s="11">
        <v>-3.7315002057945357E-2</v>
      </c>
      <c r="D51" s="11">
        <v>-0.60908067779956254</v>
      </c>
      <c r="E51" s="10"/>
      <c r="F51" s="11">
        <v>95.833333333333343</v>
      </c>
      <c r="G51" s="11">
        <v>3.5322256440685598</v>
      </c>
      <c r="H51" s="10"/>
      <c r="I51" s="10"/>
    </row>
    <row r="53" spans="1:9" ht="15.75" thickBot="1" x14ac:dyDescent="0.3"/>
    <row r="54" spans="1:9" ht="42" customHeight="1" x14ac:dyDescent="0.25">
      <c r="A54" t="s">
        <v>45</v>
      </c>
      <c r="B54" s="27" t="s">
        <v>50</v>
      </c>
      <c r="C54" t="s">
        <v>51</v>
      </c>
      <c r="D54" s="6" t="s">
        <v>61</v>
      </c>
      <c r="E54" t="s">
        <v>31</v>
      </c>
    </row>
    <row r="55" spans="1:9" x14ac:dyDescent="0.25">
      <c r="A55">
        <v>2289</v>
      </c>
      <c r="B55">
        <v>3.3772209618824771</v>
      </c>
      <c r="C55">
        <v>28.7</v>
      </c>
      <c r="D55">
        <f t="shared" ref="D55:D66" si="1">EXP(B55)</f>
        <v>29.289261931843949</v>
      </c>
      <c r="E55">
        <f>C55-D55</f>
        <v>-0.58926193184395004</v>
      </c>
    </row>
    <row r="56" spans="1:9" x14ac:dyDescent="0.25">
      <c r="A56">
        <v>2113</v>
      </c>
      <c r="B56">
        <v>3.4654139451049524</v>
      </c>
      <c r="C56">
        <v>29.2</v>
      </c>
      <c r="D56">
        <f t="shared" si="1"/>
        <v>31.989699012097368</v>
      </c>
      <c r="E56">
        <f t="shared" ref="E56:E66" si="2">C56-D56</f>
        <v>-2.789699012097369</v>
      </c>
    </row>
    <row r="57" spans="1:9" x14ac:dyDescent="0.25">
      <c r="A57">
        <v>2180</v>
      </c>
      <c r="B57">
        <v>3.4318404799009423</v>
      </c>
      <c r="C57">
        <v>34.200000000000003</v>
      </c>
      <c r="D57">
        <f t="shared" si="1"/>
        <v>30.933522917412976</v>
      </c>
      <c r="E57">
        <f t="shared" si="2"/>
        <v>3.2664770825870271</v>
      </c>
    </row>
    <row r="58" spans="1:9" x14ac:dyDescent="0.25">
      <c r="A58">
        <v>2448</v>
      </c>
      <c r="B58">
        <v>3.2975466190848994</v>
      </c>
      <c r="C58">
        <v>27.9</v>
      </c>
      <c r="D58">
        <f t="shared" si="1"/>
        <v>27.046202819626775</v>
      </c>
      <c r="E58">
        <f t="shared" si="2"/>
        <v>0.85379718037322405</v>
      </c>
    </row>
    <row r="59" spans="1:9" x14ac:dyDescent="0.25">
      <c r="A59">
        <v>2026</v>
      </c>
      <c r="B59">
        <v>3.509009340220608</v>
      </c>
      <c r="C59">
        <v>33.299999999999997</v>
      </c>
      <c r="D59">
        <f t="shared" si="1"/>
        <v>33.415148338121107</v>
      </c>
      <c r="E59">
        <f t="shared" si="2"/>
        <v>-0.11514833812110936</v>
      </c>
    </row>
    <row r="60" spans="1:9" x14ac:dyDescent="0.25">
      <c r="A60">
        <v>2702</v>
      </c>
      <c r="B60">
        <v>3.1702681092070084</v>
      </c>
      <c r="C60">
        <v>26.4</v>
      </c>
      <c r="D60">
        <f t="shared" si="1"/>
        <v>23.813868217928118</v>
      </c>
      <c r="E60">
        <f t="shared" si="2"/>
        <v>2.586131782071881</v>
      </c>
    </row>
    <row r="61" spans="1:9" x14ac:dyDescent="0.25">
      <c r="A61">
        <v>2657</v>
      </c>
      <c r="B61">
        <v>3.1928174515082097</v>
      </c>
      <c r="C61">
        <v>23.9</v>
      </c>
      <c r="D61">
        <f t="shared" si="1"/>
        <v>24.356955401394451</v>
      </c>
      <c r="E61">
        <f t="shared" si="2"/>
        <v>-0.45695540139445257</v>
      </c>
    </row>
    <row r="62" spans="1:9" x14ac:dyDescent="0.25">
      <c r="A62">
        <v>2106</v>
      </c>
      <c r="B62">
        <v>3.4689216205740285</v>
      </c>
      <c r="C62">
        <v>30.5</v>
      </c>
      <c r="D62">
        <f t="shared" si="1"/>
        <v>32.102105522111977</v>
      </c>
      <c r="E62">
        <f t="shared" si="2"/>
        <v>-1.6021055221119767</v>
      </c>
    </row>
    <row r="63" spans="1:9" x14ac:dyDescent="0.25">
      <c r="A63">
        <v>3226</v>
      </c>
      <c r="B63">
        <v>2.9076935455219104</v>
      </c>
      <c r="C63">
        <v>18.100000000000001</v>
      </c>
      <c r="D63">
        <f t="shared" si="1"/>
        <v>18.314508235869233</v>
      </c>
      <c r="E63">
        <f t="shared" si="2"/>
        <v>-0.21450823586923207</v>
      </c>
    </row>
    <row r="64" spans="1:9" x14ac:dyDescent="0.25">
      <c r="A64">
        <v>3213</v>
      </c>
      <c r="B64">
        <v>2.9142077999644798</v>
      </c>
      <c r="C64">
        <v>19.5</v>
      </c>
      <c r="D64">
        <f t="shared" si="1"/>
        <v>18.434203040438877</v>
      </c>
      <c r="E64">
        <f t="shared" si="2"/>
        <v>1.0657969595611227</v>
      </c>
    </row>
    <row r="65" spans="1:5" x14ac:dyDescent="0.25">
      <c r="A65">
        <v>3607</v>
      </c>
      <c r="B65">
        <v>2.7167757807050741</v>
      </c>
      <c r="C65">
        <v>14.3</v>
      </c>
      <c r="D65">
        <f t="shared" si="1"/>
        <v>15.13145637653888</v>
      </c>
      <c r="E65">
        <f t="shared" si="2"/>
        <v>-0.83145637653887938</v>
      </c>
    </row>
    <row r="66" spans="1:5" ht="15.75" thickBot="1" x14ac:dyDescent="0.3">
      <c r="A66">
        <v>2888</v>
      </c>
      <c r="B66" s="14">
        <v>3.0770641610287104</v>
      </c>
      <c r="C66">
        <v>20.9</v>
      </c>
      <c r="D66">
        <f t="shared" si="1"/>
        <v>21.694616908264678</v>
      </c>
      <c r="E66">
        <f t="shared" si="2"/>
        <v>-0.79461690826467901</v>
      </c>
    </row>
  </sheetData>
  <sortState xmlns:xlrd2="http://schemas.microsoft.com/office/spreadsheetml/2017/richdata2" ref="G40:G51">
    <sortCondition ref="G40"/>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6420-0BA1-4159-8D4D-097346E77B89}">
  <dimension ref="A1:AA56"/>
  <sheetViews>
    <sheetView tabSelected="1" topLeftCell="U1" zoomScale="98" zoomScaleNormal="98" workbookViewId="0">
      <selection activeCell="M36" sqref="M36"/>
    </sheetView>
  </sheetViews>
  <sheetFormatPr defaultRowHeight="15" x14ac:dyDescent="0.25"/>
  <cols>
    <col min="1" max="1" width="12.28515625" customWidth="1"/>
    <col min="4" max="4" width="11.5703125" customWidth="1"/>
    <col min="5" max="5" width="12.7109375" customWidth="1"/>
    <col min="11" max="12" width="14.7109375" bestFit="1" customWidth="1"/>
    <col min="13" max="13" width="20.140625" customWidth="1"/>
    <col min="14" max="14" width="21.28515625" customWidth="1"/>
    <col min="15" max="15" width="15" customWidth="1"/>
    <col min="16" max="16" width="12.85546875" customWidth="1"/>
    <col min="17" max="17" width="12.7109375" bestFit="1" customWidth="1"/>
    <col min="18" max="18" width="12" bestFit="1" customWidth="1"/>
    <col min="34" max="34" width="31.7109375" customWidth="1"/>
  </cols>
  <sheetData>
    <row r="1" spans="1:27" ht="69" customHeight="1" x14ac:dyDescent="0.25">
      <c r="A1" t="s">
        <v>58</v>
      </c>
      <c r="B1" t="s">
        <v>52</v>
      </c>
      <c r="C1" t="s">
        <v>53</v>
      </c>
      <c r="D1" t="s">
        <v>57</v>
      </c>
      <c r="E1" s="16" t="s">
        <v>60</v>
      </c>
      <c r="G1" t="s">
        <v>54</v>
      </c>
      <c r="H1" t="s">
        <v>52</v>
      </c>
      <c r="I1" t="s">
        <v>53</v>
      </c>
      <c r="K1" s="28" t="s">
        <v>55</v>
      </c>
      <c r="L1" s="28" t="s">
        <v>56</v>
      </c>
      <c r="M1" s="28" t="s">
        <v>58</v>
      </c>
      <c r="N1" s="28" t="s">
        <v>62</v>
      </c>
      <c r="O1" s="28" t="s">
        <v>63</v>
      </c>
      <c r="P1" s="39" t="s">
        <v>66</v>
      </c>
      <c r="Q1" s="28" t="s">
        <v>31</v>
      </c>
      <c r="R1" s="39" t="s">
        <v>65</v>
      </c>
      <c r="S1" s="29" t="s">
        <v>64</v>
      </c>
      <c r="T1" s="28"/>
      <c r="U1" s="28"/>
      <c r="V1" s="28"/>
      <c r="W1" s="28"/>
      <c r="X1" s="28"/>
      <c r="Y1" s="28"/>
      <c r="Z1" s="28"/>
      <c r="AA1" s="28"/>
    </row>
    <row r="2" spans="1:27" x14ac:dyDescent="0.25">
      <c r="A2">
        <v>1</v>
      </c>
      <c r="B2">
        <f>500</f>
        <v>500</v>
      </c>
      <c r="C2">
        <v>1.2</v>
      </c>
      <c r="D2">
        <f>B2*(C2)^A2</f>
        <v>600</v>
      </c>
      <c r="E2" s="15">
        <f>$B$30+$B$31*A2</f>
        <v>474.86272000000019</v>
      </c>
      <c r="G2">
        <v>1</v>
      </c>
      <c r="H2">
        <v>500</v>
      </c>
      <c r="I2">
        <v>1.2</v>
      </c>
      <c r="K2" s="30">
        <f>LOG(H2,2.718282)</f>
        <v>6.2146077062407423</v>
      </c>
      <c r="L2" s="30">
        <f>LOG(I2,2.718282)</f>
        <v>0.1823215452883003</v>
      </c>
      <c r="M2" s="28">
        <v>1</v>
      </c>
      <c r="N2" s="28">
        <f>K2+L2*M2</f>
        <v>6.396929251529043</v>
      </c>
      <c r="O2" s="28">
        <v>600</v>
      </c>
      <c r="P2" s="28">
        <f>EXP(S2)</f>
        <v>599.99975778778526</v>
      </c>
      <c r="Q2" s="10">
        <f>O2-P2</f>
        <v>2.4221221474363119E-4</v>
      </c>
      <c r="R2">
        <f>$M$28+$M$29*M2</f>
        <v>6.3969292515290439</v>
      </c>
      <c r="S2" s="28">
        <v>6.3969292515290404</v>
      </c>
      <c r="T2" s="28"/>
      <c r="U2" s="28"/>
      <c r="V2" s="28"/>
      <c r="W2" s="28"/>
      <c r="X2" s="28"/>
      <c r="Y2" s="28"/>
      <c r="Z2" s="28"/>
      <c r="AA2" s="28"/>
    </row>
    <row r="3" spans="1:27" x14ac:dyDescent="0.25">
      <c r="A3">
        <v>2</v>
      </c>
      <c r="B3">
        <f>500</f>
        <v>500</v>
      </c>
      <c r="C3">
        <v>1.2</v>
      </c>
      <c r="D3">
        <f t="shared" ref="D3:D9" si="0">B3*(C3)^A3</f>
        <v>720</v>
      </c>
      <c r="E3" s="15">
        <f t="shared" ref="E3:E9" si="1">$B$30+$B$31*A3</f>
        <v>692.73947428571444</v>
      </c>
      <c r="G3">
        <v>2</v>
      </c>
      <c r="H3">
        <v>500</v>
      </c>
      <c r="I3">
        <v>1.2</v>
      </c>
      <c r="K3" s="30">
        <f t="shared" ref="K3:K9" si="2">LOG(H3,2.718282)</f>
        <v>6.2146077062407423</v>
      </c>
      <c r="L3" s="30">
        <f t="shared" ref="L3:L9" si="3">LOG(I3,2.718282)</f>
        <v>0.1823215452883003</v>
      </c>
      <c r="M3" s="28">
        <v>2</v>
      </c>
      <c r="N3" s="28">
        <f t="shared" ref="N3:N9" si="4">K3+L3*M3</f>
        <v>6.5792507968173428</v>
      </c>
      <c r="O3" s="28">
        <v>720</v>
      </c>
      <c r="P3" s="28">
        <f t="shared" ref="P3:P9" si="5">EXP(S3)</f>
        <v>719.99970106127682</v>
      </c>
      <c r="Q3" s="10">
        <f t="shared" ref="Q3:Q9" si="6">O3-P3</f>
        <v>2.98938723176434E-4</v>
      </c>
      <c r="R3">
        <f t="shared" ref="R3:R9" si="7">$M$28+$M$29*M3</f>
        <v>6.5792507968173437</v>
      </c>
      <c r="S3" s="28">
        <v>6.5792507968173437</v>
      </c>
      <c r="T3" s="28"/>
      <c r="U3" s="28"/>
      <c r="V3" s="28"/>
      <c r="W3" s="28"/>
      <c r="X3" s="28"/>
      <c r="Y3" s="28"/>
      <c r="Z3" s="28"/>
      <c r="AA3" s="28"/>
    </row>
    <row r="4" spans="1:27" x14ac:dyDescent="0.25">
      <c r="A4">
        <v>3</v>
      </c>
      <c r="B4">
        <f>500</f>
        <v>500</v>
      </c>
      <c r="C4">
        <v>1.2</v>
      </c>
      <c r="D4">
        <f t="shared" si="0"/>
        <v>864</v>
      </c>
      <c r="E4" s="15">
        <f t="shared" si="1"/>
        <v>910.61622857142868</v>
      </c>
      <c r="G4">
        <v>3</v>
      </c>
      <c r="H4">
        <v>500</v>
      </c>
      <c r="I4">
        <v>1.2</v>
      </c>
      <c r="K4" s="30">
        <f t="shared" si="2"/>
        <v>6.2146077062407423</v>
      </c>
      <c r="L4" s="30">
        <f t="shared" si="3"/>
        <v>0.1823215452883003</v>
      </c>
      <c r="M4" s="28">
        <v>3</v>
      </c>
      <c r="N4" s="28">
        <f t="shared" si="4"/>
        <v>6.7615723421056435</v>
      </c>
      <c r="O4" s="28">
        <v>864</v>
      </c>
      <c r="P4" s="28">
        <f t="shared" si="5"/>
        <v>863.99963133265135</v>
      </c>
      <c r="Q4" s="10">
        <f t="shared" si="6"/>
        <v>3.6866734865270701E-4</v>
      </c>
      <c r="R4">
        <f t="shared" si="7"/>
        <v>6.7615723421056444</v>
      </c>
      <c r="S4" s="28">
        <v>6.7615723421056444</v>
      </c>
      <c r="T4" s="28"/>
      <c r="U4" s="28"/>
      <c r="V4" s="28"/>
      <c r="W4" s="28"/>
      <c r="X4" s="28"/>
      <c r="Y4" s="28"/>
      <c r="Z4" s="28"/>
      <c r="AA4" s="28"/>
    </row>
    <row r="5" spans="1:27" x14ac:dyDescent="0.25">
      <c r="A5">
        <v>4</v>
      </c>
      <c r="B5">
        <f>500</f>
        <v>500</v>
      </c>
      <c r="C5">
        <v>1.2</v>
      </c>
      <c r="D5">
        <f t="shared" si="0"/>
        <v>1036.8</v>
      </c>
      <c r="E5" s="15">
        <f t="shared" si="1"/>
        <v>1128.492982857143</v>
      </c>
      <c r="G5">
        <v>4</v>
      </c>
      <c r="H5">
        <v>500</v>
      </c>
      <c r="I5">
        <v>1.2</v>
      </c>
      <c r="K5" s="30">
        <f t="shared" si="2"/>
        <v>6.2146077062407423</v>
      </c>
      <c r="L5" s="30">
        <f t="shared" si="3"/>
        <v>0.1823215452883003</v>
      </c>
      <c r="M5" s="28">
        <v>4</v>
      </c>
      <c r="N5" s="28">
        <f t="shared" si="4"/>
        <v>6.9438938873939433</v>
      </c>
      <c r="O5" s="28">
        <v>1036.8</v>
      </c>
      <c r="P5" s="28">
        <f t="shared" si="5"/>
        <v>1036.799545670124</v>
      </c>
      <c r="Q5" s="10">
        <f t="shared" si="6"/>
        <v>4.5432987599269836E-4</v>
      </c>
      <c r="R5">
        <f t="shared" si="7"/>
        <v>6.9438938873939442</v>
      </c>
      <c r="S5" s="28">
        <v>6.9438938873939442</v>
      </c>
      <c r="T5" s="28"/>
      <c r="U5" s="28"/>
      <c r="V5" s="28"/>
      <c r="W5" s="28"/>
      <c r="X5" s="28"/>
      <c r="Y5" s="28"/>
      <c r="Z5" s="28"/>
      <c r="AA5" s="28"/>
    </row>
    <row r="6" spans="1:27" x14ac:dyDescent="0.25">
      <c r="A6">
        <v>5</v>
      </c>
      <c r="B6">
        <f>500</f>
        <v>500</v>
      </c>
      <c r="C6">
        <v>1.2</v>
      </c>
      <c r="D6">
        <f t="shared" si="0"/>
        <v>1244.1599999999999</v>
      </c>
      <c r="E6" s="15">
        <f t="shared" si="1"/>
        <v>1346.369737142857</v>
      </c>
      <c r="G6">
        <v>5</v>
      </c>
      <c r="H6">
        <v>500</v>
      </c>
      <c r="I6">
        <v>1.2</v>
      </c>
      <c r="K6" s="30">
        <f t="shared" si="2"/>
        <v>6.2146077062407423</v>
      </c>
      <c r="L6" s="30">
        <f t="shared" si="3"/>
        <v>0.1823215452883003</v>
      </c>
      <c r="M6" s="28">
        <v>5</v>
      </c>
      <c r="N6" s="28">
        <f t="shared" si="4"/>
        <v>7.126215432682244</v>
      </c>
      <c r="O6" s="28">
        <v>1244.1599999999999</v>
      </c>
      <c r="P6" s="28">
        <f t="shared" si="5"/>
        <v>1244.1594404892805</v>
      </c>
      <c r="Q6" s="10">
        <f t="shared" si="6"/>
        <v>5.5951071931303886E-4</v>
      </c>
      <c r="R6">
        <f t="shared" si="7"/>
        <v>7.1262154326822449</v>
      </c>
      <c r="S6" s="28">
        <v>7.1262154326822449</v>
      </c>
      <c r="T6" s="28"/>
      <c r="U6" s="28"/>
      <c r="V6" s="28"/>
      <c r="W6" s="28"/>
      <c r="X6" s="28"/>
      <c r="Y6" s="28"/>
      <c r="Z6" s="28"/>
      <c r="AA6" s="28"/>
    </row>
    <row r="7" spans="1:27" x14ac:dyDescent="0.25">
      <c r="A7">
        <v>6</v>
      </c>
      <c r="B7">
        <f>500</f>
        <v>500</v>
      </c>
      <c r="C7">
        <v>1.2</v>
      </c>
      <c r="D7">
        <f t="shared" si="0"/>
        <v>1492.992</v>
      </c>
      <c r="E7" s="15">
        <f t="shared" si="1"/>
        <v>1564.2464914285715</v>
      </c>
      <c r="G7">
        <v>6</v>
      </c>
      <c r="H7">
        <v>500</v>
      </c>
      <c r="I7">
        <v>1.2</v>
      </c>
      <c r="K7" s="30">
        <f t="shared" si="2"/>
        <v>6.2146077062407423</v>
      </c>
      <c r="L7" s="30">
        <f t="shared" si="3"/>
        <v>0.1823215452883003</v>
      </c>
      <c r="M7" s="28">
        <v>6</v>
      </c>
      <c r="N7" s="28">
        <f t="shared" si="4"/>
        <v>7.3085369779705438</v>
      </c>
      <c r="O7" s="28">
        <v>1492.992</v>
      </c>
      <c r="P7" s="28">
        <f t="shared" si="5"/>
        <v>1492.9913114092953</v>
      </c>
      <c r="Q7" s="10">
        <f t="shared" si="6"/>
        <v>6.8859070461257943E-4</v>
      </c>
      <c r="R7">
        <f t="shared" si="7"/>
        <v>7.3085369779705456</v>
      </c>
      <c r="S7" s="28">
        <v>7.3085369779705456</v>
      </c>
      <c r="T7" s="28"/>
      <c r="U7" s="28"/>
      <c r="V7" s="28"/>
      <c r="W7" s="28"/>
      <c r="X7" s="28"/>
      <c r="Y7" s="28"/>
      <c r="Z7" s="28"/>
      <c r="AA7" s="28"/>
    </row>
    <row r="8" spans="1:27" x14ac:dyDescent="0.25">
      <c r="A8">
        <v>7</v>
      </c>
      <c r="B8">
        <f>500</f>
        <v>500</v>
      </c>
      <c r="C8">
        <v>1.2</v>
      </c>
      <c r="D8">
        <f t="shared" si="0"/>
        <v>1791.5903999999998</v>
      </c>
      <c r="E8" s="15">
        <f t="shared" si="1"/>
        <v>1782.1232457142855</v>
      </c>
      <c r="G8">
        <v>7</v>
      </c>
      <c r="H8">
        <v>500</v>
      </c>
      <c r="I8">
        <v>1.2</v>
      </c>
      <c r="K8" s="30">
        <f t="shared" si="2"/>
        <v>6.2146077062407423</v>
      </c>
      <c r="L8" s="30">
        <f t="shared" si="3"/>
        <v>0.1823215452883003</v>
      </c>
      <c r="M8" s="28">
        <v>7</v>
      </c>
      <c r="N8" s="28">
        <f t="shared" si="4"/>
        <v>7.4908585232588445</v>
      </c>
      <c r="O8" s="28">
        <v>1791.5903999999998</v>
      </c>
      <c r="P8" s="28">
        <f t="shared" si="5"/>
        <v>1791.5895530777432</v>
      </c>
      <c r="Q8" s="10">
        <f t="shared" si="6"/>
        <v>8.4692225664184662E-4</v>
      </c>
      <c r="R8">
        <f t="shared" si="7"/>
        <v>7.4908585232588454</v>
      </c>
      <c r="S8" s="28">
        <v>7.4908585232588454</v>
      </c>
      <c r="T8" s="28"/>
      <c r="U8" s="28"/>
      <c r="V8" s="28"/>
      <c r="W8" s="28"/>
      <c r="X8" s="28"/>
      <c r="Y8" s="28"/>
      <c r="Z8" s="28"/>
      <c r="AA8" s="28"/>
    </row>
    <row r="9" spans="1:27" ht="15.75" thickBot="1" x14ac:dyDescent="0.3">
      <c r="A9">
        <v>8</v>
      </c>
      <c r="B9">
        <f>500</f>
        <v>500</v>
      </c>
      <c r="C9">
        <v>1.2</v>
      </c>
      <c r="D9">
        <f t="shared" si="0"/>
        <v>2149.9084799999996</v>
      </c>
      <c r="E9" s="15">
        <f t="shared" si="1"/>
        <v>2000</v>
      </c>
      <c r="G9">
        <v>8</v>
      </c>
      <c r="H9">
        <v>500</v>
      </c>
      <c r="I9">
        <v>1.2</v>
      </c>
      <c r="K9" s="30">
        <f t="shared" si="2"/>
        <v>6.2146077062407423</v>
      </c>
      <c r="L9" s="30">
        <f t="shared" si="3"/>
        <v>0.1823215452883003</v>
      </c>
      <c r="M9" s="28">
        <v>8</v>
      </c>
      <c r="N9" s="28">
        <f t="shared" si="4"/>
        <v>7.6731800685471452</v>
      </c>
      <c r="O9" s="28">
        <v>2149.9084799999996</v>
      </c>
      <c r="P9" s="28">
        <f t="shared" si="5"/>
        <v>2149.9074389571988</v>
      </c>
      <c r="Q9" s="10">
        <f t="shared" si="6"/>
        <v>1.0410428008071904E-3</v>
      </c>
      <c r="R9">
        <f t="shared" si="7"/>
        <v>7.6731800685471452</v>
      </c>
      <c r="S9" s="31">
        <v>7.6731800685471452</v>
      </c>
      <c r="T9" s="28"/>
      <c r="U9" s="28"/>
      <c r="V9" s="28"/>
      <c r="W9" s="28"/>
      <c r="X9" s="28"/>
      <c r="Y9" s="28"/>
      <c r="Z9" s="28"/>
      <c r="AA9" s="28"/>
    </row>
    <row r="10" spans="1:27" x14ac:dyDescent="0.25">
      <c r="K10" s="28"/>
      <c r="L10" s="28"/>
      <c r="M10" s="28"/>
      <c r="N10" s="28"/>
      <c r="O10" s="28"/>
      <c r="P10" s="28"/>
      <c r="Q10" s="28"/>
      <c r="R10" s="28"/>
      <c r="S10" s="28"/>
      <c r="T10" s="28"/>
      <c r="U10" s="28"/>
      <c r="V10" s="28"/>
      <c r="W10" s="28"/>
      <c r="X10" s="28"/>
      <c r="Y10" s="28"/>
      <c r="Z10" s="28"/>
      <c r="AA10" s="28"/>
    </row>
    <row r="11" spans="1:27" x14ac:dyDescent="0.25">
      <c r="H11">
        <f>LN(H2)</f>
        <v>6.2146080984221914</v>
      </c>
      <c r="K11" s="28"/>
      <c r="L11" s="28"/>
      <c r="M11" s="28"/>
      <c r="N11" s="28"/>
      <c r="O11" s="28"/>
      <c r="P11" s="28"/>
      <c r="Q11" s="28"/>
      <c r="R11" s="28"/>
      <c r="S11" s="28"/>
      <c r="T11" s="28"/>
      <c r="U11" s="28"/>
      <c r="V11" s="28"/>
      <c r="W11" s="28"/>
      <c r="X11" s="28"/>
      <c r="Y11" s="28"/>
      <c r="Z11" s="28"/>
      <c r="AA11" s="28"/>
    </row>
    <row r="12" spans="1:27" x14ac:dyDescent="0.25">
      <c r="K12" s="28"/>
      <c r="L12" s="28" t="s">
        <v>4</v>
      </c>
      <c r="M12" s="28"/>
      <c r="N12" s="28"/>
      <c r="O12" s="28"/>
      <c r="P12" s="28"/>
      <c r="Q12" s="28"/>
      <c r="R12" s="28"/>
      <c r="S12" s="28"/>
      <c r="T12" s="28"/>
      <c r="U12" s="28"/>
      <c r="V12" s="28"/>
      <c r="W12" s="28"/>
      <c r="X12" s="28"/>
      <c r="Y12" s="28"/>
      <c r="Z12" s="28"/>
      <c r="AA12" s="28"/>
    </row>
    <row r="13" spans="1:27" ht="15.75" thickBot="1" x14ac:dyDescent="0.3">
      <c r="K13" s="28"/>
      <c r="L13" s="28"/>
      <c r="M13" s="28"/>
      <c r="N13" s="28"/>
      <c r="O13" s="28"/>
      <c r="P13" s="28"/>
      <c r="Q13" s="28"/>
      <c r="R13" s="28"/>
      <c r="S13" s="28"/>
      <c r="T13" s="28"/>
      <c r="U13" s="28"/>
      <c r="V13" s="28"/>
      <c r="W13" s="28"/>
      <c r="X13" s="28"/>
      <c r="Y13" s="28"/>
      <c r="Z13" s="28"/>
      <c r="AA13" s="28"/>
    </row>
    <row r="14" spans="1:27" x14ac:dyDescent="0.25">
      <c r="A14" s="15" t="s">
        <v>4</v>
      </c>
      <c r="B14" s="15"/>
      <c r="C14" s="15"/>
      <c r="D14" s="15"/>
      <c r="E14" s="15"/>
      <c r="F14" s="15"/>
      <c r="G14" s="15"/>
      <c r="H14" s="15"/>
      <c r="I14" s="15"/>
      <c r="J14" s="15"/>
      <c r="K14" s="28"/>
      <c r="L14" s="32" t="s">
        <v>5</v>
      </c>
      <c r="M14" s="32"/>
      <c r="N14" s="28"/>
      <c r="O14" s="28"/>
      <c r="P14" s="28"/>
      <c r="Q14" s="28"/>
      <c r="R14" s="28"/>
      <c r="S14" s="28"/>
      <c r="T14" s="28"/>
      <c r="U14" s="28"/>
      <c r="V14" s="28"/>
      <c r="W14" s="28"/>
      <c r="X14" s="28"/>
      <c r="Y14" s="28"/>
      <c r="Z14" s="28"/>
      <c r="AA14" s="28"/>
    </row>
    <row r="15" spans="1:27" ht="15.75" thickBot="1" x14ac:dyDescent="0.3">
      <c r="A15" s="15"/>
      <c r="B15" s="15"/>
      <c r="C15" s="15"/>
      <c r="D15" s="15"/>
      <c r="E15" s="15"/>
      <c r="F15" s="15"/>
      <c r="G15" s="15"/>
      <c r="H15" s="15"/>
      <c r="I15" s="15"/>
      <c r="J15" s="15"/>
      <c r="K15" s="28"/>
      <c r="L15" s="28" t="s">
        <v>6</v>
      </c>
      <c r="M15" s="28">
        <v>1</v>
      </c>
      <c r="N15" s="28"/>
      <c r="O15" s="28"/>
      <c r="P15" s="28"/>
      <c r="Q15" s="28"/>
      <c r="R15" s="28"/>
      <c r="S15" s="28"/>
      <c r="T15" s="28"/>
      <c r="U15" s="28"/>
      <c r="V15" s="28"/>
      <c r="W15" s="28"/>
      <c r="X15" s="28"/>
      <c r="Y15" s="28"/>
      <c r="Z15" s="28"/>
      <c r="AA15" s="28"/>
    </row>
    <row r="16" spans="1:27" x14ac:dyDescent="0.25">
      <c r="A16" s="17" t="s">
        <v>5</v>
      </c>
      <c r="B16" s="17"/>
      <c r="C16" s="15"/>
      <c r="D16" s="15"/>
      <c r="E16" s="15"/>
      <c r="F16" s="15"/>
      <c r="G16" s="15"/>
      <c r="H16" s="15"/>
      <c r="I16" s="15"/>
      <c r="J16" s="15"/>
      <c r="K16" s="28"/>
      <c r="L16" s="28" t="s">
        <v>7</v>
      </c>
      <c r="M16" s="28">
        <v>1</v>
      </c>
      <c r="N16" s="28"/>
      <c r="O16" s="28"/>
      <c r="P16" s="28"/>
      <c r="Q16" s="28"/>
      <c r="R16" s="28"/>
      <c r="S16" s="28"/>
      <c r="T16" s="28"/>
      <c r="U16" s="28"/>
      <c r="V16" s="28"/>
      <c r="W16" s="28"/>
      <c r="X16" s="28"/>
      <c r="Y16" s="28"/>
      <c r="Z16" s="28"/>
      <c r="AA16" s="28"/>
    </row>
    <row r="17" spans="1:27" x14ac:dyDescent="0.25">
      <c r="A17" s="15" t="s">
        <v>6</v>
      </c>
      <c r="B17" s="15">
        <v>0.98407054817870276</v>
      </c>
      <c r="C17" s="15"/>
      <c r="D17" s="15"/>
      <c r="E17" s="15"/>
      <c r="F17" s="15"/>
      <c r="G17" s="15"/>
      <c r="H17" s="15"/>
      <c r="I17" s="15"/>
      <c r="J17" s="15"/>
      <c r="K17" s="28"/>
      <c r="L17" s="28" t="s">
        <v>8</v>
      </c>
      <c r="M17" s="28">
        <v>1</v>
      </c>
      <c r="N17" s="28"/>
      <c r="O17" s="28"/>
      <c r="P17" s="28"/>
      <c r="Q17" s="28"/>
      <c r="R17" s="28"/>
      <c r="S17" s="28"/>
      <c r="T17" s="28"/>
      <c r="U17" s="28"/>
      <c r="V17" s="28"/>
      <c r="W17" s="28"/>
      <c r="X17" s="28"/>
      <c r="Y17" s="28"/>
      <c r="Z17" s="28"/>
      <c r="AA17" s="28"/>
    </row>
    <row r="18" spans="1:27" x14ac:dyDescent="0.25">
      <c r="A18" s="15" t="s">
        <v>7</v>
      </c>
      <c r="B18" s="15">
        <v>0.96839484379273255</v>
      </c>
      <c r="C18" s="15"/>
      <c r="D18" s="15"/>
      <c r="E18" s="15"/>
      <c r="F18" s="15"/>
      <c r="G18" s="15"/>
      <c r="H18" s="15"/>
      <c r="I18" s="15"/>
      <c r="J18" s="15"/>
      <c r="K18" s="28"/>
      <c r="L18" s="28" t="s">
        <v>9</v>
      </c>
      <c r="M18" s="28">
        <v>3.2407927985898339E-16</v>
      </c>
      <c r="N18" s="28"/>
      <c r="O18" s="28"/>
      <c r="P18" s="28"/>
      <c r="Q18" s="28"/>
      <c r="R18" s="28"/>
      <c r="S18" s="28"/>
      <c r="T18" s="28"/>
      <c r="U18" s="28"/>
      <c r="V18" s="28"/>
      <c r="W18" s="28"/>
      <c r="X18" s="28"/>
      <c r="Y18" s="28"/>
      <c r="Z18" s="28"/>
      <c r="AA18" s="28"/>
    </row>
    <row r="19" spans="1:27" ht="15.75" thickBot="1" x14ac:dyDescent="0.3">
      <c r="A19" s="15" t="s">
        <v>8</v>
      </c>
      <c r="B19" s="15">
        <v>0.96312731775818794</v>
      </c>
      <c r="C19" s="15"/>
      <c r="D19" s="15"/>
      <c r="E19" s="15"/>
      <c r="F19" s="15"/>
      <c r="G19" s="15"/>
      <c r="H19" s="15"/>
      <c r="I19" s="15"/>
      <c r="J19" s="15"/>
      <c r="K19" s="28"/>
      <c r="L19" s="31" t="s">
        <v>10</v>
      </c>
      <c r="M19" s="31">
        <v>8</v>
      </c>
      <c r="N19" s="28"/>
      <c r="O19" s="28"/>
      <c r="P19" s="28"/>
      <c r="Q19" s="28"/>
      <c r="R19" s="28"/>
      <c r="S19" s="28"/>
      <c r="T19" s="28"/>
      <c r="U19" s="28"/>
      <c r="V19" s="28"/>
      <c r="W19" s="28"/>
      <c r="X19" s="28"/>
      <c r="Y19" s="28"/>
      <c r="Z19" s="28"/>
      <c r="AA19" s="28"/>
    </row>
    <row r="20" spans="1:27" x14ac:dyDescent="0.25">
      <c r="A20" s="15" t="s">
        <v>9</v>
      </c>
      <c r="B20" s="15">
        <v>104.13882023627382</v>
      </c>
      <c r="C20" s="15"/>
      <c r="D20" s="15"/>
      <c r="E20" s="15"/>
      <c r="F20" s="15"/>
      <c r="G20" s="15"/>
      <c r="H20" s="15"/>
      <c r="I20" s="15"/>
      <c r="J20" s="15"/>
      <c r="K20" s="28"/>
      <c r="L20" s="28"/>
      <c r="M20" s="28"/>
      <c r="N20" s="28"/>
      <c r="O20" s="28"/>
      <c r="P20" s="28"/>
      <c r="Q20" s="28"/>
      <c r="R20" s="28"/>
      <c r="S20" s="28"/>
      <c r="T20" s="28"/>
      <c r="U20" s="28"/>
      <c r="V20" s="28"/>
      <c r="W20" s="28"/>
      <c r="X20" s="28"/>
      <c r="Y20" s="28"/>
      <c r="Z20" s="28"/>
      <c r="AA20" s="28"/>
    </row>
    <row r="21" spans="1:27" ht="15.75" thickBot="1" x14ac:dyDescent="0.3">
      <c r="A21" s="18" t="s">
        <v>10</v>
      </c>
      <c r="B21" s="18">
        <v>8</v>
      </c>
      <c r="C21" s="15"/>
      <c r="D21" s="15"/>
      <c r="E21" s="15"/>
      <c r="F21" s="15"/>
      <c r="G21" s="15"/>
      <c r="H21" s="15"/>
      <c r="I21" s="15"/>
      <c r="J21" s="15"/>
      <c r="K21" s="28"/>
      <c r="L21" s="28" t="s">
        <v>11</v>
      </c>
      <c r="M21" s="28"/>
      <c r="N21" s="28"/>
      <c r="O21" s="28"/>
      <c r="P21" s="28"/>
      <c r="Q21" s="28"/>
      <c r="R21" s="28"/>
      <c r="S21" s="28"/>
      <c r="T21" s="28"/>
      <c r="U21" s="28"/>
      <c r="V21" s="28"/>
      <c r="W21" s="28"/>
      <c r="X21" s="28"/>
      <c r="Y21" s="28"/>
      <c r="Z21" s="28"/>
      <c r="AA21" s="28"/>
    </row>
    <row r="22" spans="1:27" x14ac:dyDescent="0.25">
      <c r="A22" s="15"/>
      <c r="B22" s="15"/>
      <c r="C22" s="15"/>
      <c r="D22" s="15"/>
      <c r="E22" s="15"/>
      <c r="F22" s="15"/>
      <c r="G22" s="15"/>
      <c r="H22" s="15"/>
      <c r="I22" s="15"/>
      <c r="J22" s="15"/>
      <c r="K22" s="28"/>
      <c r="L22" s="33"/>
      <c r="M22" s="33" t="s">
        <v>16</v>
      </c>
      <c r="N22" s="33" t="s">
        <v>17</v>
      </c>
      <c r="O22" s="33" t="s">
        <v>18</v>
      </c>
      <c r="P22" s="33" t="s">
        <v>19</v>
      </c>
      <c r="Q22" s="33" t="s">
        <v>20</v>
      </c>
      <c r="R22" s="28"/>
      <c r="S22" s="28"/>
      <c r="T22" s="28"/>
      <c r="U22" s="28"/>
      <c r="V22" s="28"/>
      <c r="W22" s="28"/>
      <c r="X22" s="28"/>
      <c r="Y22" s="28"/>
      <c r="Z22" s="28"/>
      <c r="AA22" s="28"/>
    </row>
    <row r="23" spans="1:27" ht="15.75" thickBot="1" x14ac:dyDescent="0.3">
      <c r="A23" s="15" t="s">
        <v>11</v>
      </c>
      <c r="B23" s="15"/>
      <c r="C23" s="15"/>
      <c r="D23" s="15"/>
      <c r="E23" s="15"/>
      <c r="F23" s="15"/>
      <c r="G23" s="15"/>
      <c r="H23" s="15"/>
      <c r="I23" s="15"/>
      <c r="J23" s="15"/>
      <c r="K23" s="28"/>
      <c r="L23" s="28" t="s">
        <v>12</v>
      </c>
      <c r="M23" s="28">
        <v>1</v>
      </c>
      <c r="N23" s="28">
        <v>1.3961281268051771</v>
      </c>
      <c r="O23" s="28">
        <v>1.3961281268051771</v>
      </c>
      <c r="P23" s="28">
        <v>1.3292992090933926E+31</v>
      </c>
      <c r="Q23" s="28">
        <v>2.8736609986243736E-92</v>
      </c>
      <c r="R23" s="28"/>
      <c r="S23" s="28"/>
      <c r="T23" s="28"/>
      <c r="U23" s="28"/>
      <c r="V23" s="28"/>
      <c r="W23" s="28"/>
      <c r="X23" s="28"/>
      <c r="Y23" s="28"/>
      <c r="Z23" s="28"/>
      <c r="AA23" s="28"/>
    </row>
    <row r="24" spans="1:27" x14ac:dyDescent="0.25">
      <c r="A24" s="19"/>
      <c r="B24" s="19" t="s">
        <v>16</v>
      </c>
      <c r="C24" s="19" t="s">
        <v>17</v>
      </c>
      <c r="D24" s="19" t="s">
        <v>18</v>
      </c>
      <c r="E24" s="19" t="s">
        <v>19</v>
      </c>
      <c r="F24" s="19" t="s">
        <v>20</v>
      </c>
      <c r="G24" s="15"/>
      <c r="H24" s="15"/>
      <c r="I24" s="15"/>
      <c r="J24" s="15"/>
      <c r="K24" s="28"/>
      <c r="L24" s="28" t="s">
        <v>13</v>
      </c>
      <c r="M24" s="28">
        <v>6</v>
      </c>
      <c r="N24" s="28">
        <v>6.3016427780350357E-31</v>
      </c>
      <c r="O24" s="28">
        <v>1.0502737963391727E-31</v>
      </c>
      <c r="P24" s="28"/>
      <c r="Q24" s="28"/>
      <c r="R24" s="28"/>
      <c r="S24" s="28"/>
      <c r="T24" s="28"/>
      <c r="U24" s="28"/>
      <c r="V24" s="28"/>
      <c r="W24" s="28"/>
      <c r="X24" s="28"/>
      <c r="Y24" s="28"/>
      <c r="Z24" s="28"/>
      <c r="AA24" s="28"/>
    </row>
    <row r="25" spans="1:27" ht="15.75" thickBot="1" x14ac:dyDescent="0.3">
      <c r="A25" s="15" t="s">
        <v>12</v>
      </c>
      <c r="B25" s="15">
        <v>1</v>
      </c>
      <c r="C25" s="15">
        <v>1993751.7624392549</v>
      </c>
      <c r="D25" s="15">
        <v>1993751.7624392549</v>
      </c>
      <c r="E25" s="15">
        <v>183.84244091855913</v>
      </c>
      <c r="F25" s="15">
        <v>9.9848014359467947E-6</v>
      </c>
      <c r="G25" s="15"/>
      <c r="H25" s="15"/>
      <c r="I25" s="15"/>
      <c r="J25" s="15"/>
      <c r="K25" s="28"/>
      <c r="L25" s="31" t="s">
        <v>14</v>
      </c>
      <c r="M25" s="31">
        <v>7</v>
      </c>
      <c r="N25" s="31">
        <v>1.3961281268051771</v>
      </c>
      <c r="O25" s="31"/>
      <c r="P25" s="31"/>
      <c r="Q25" s="31"/>
      <c r="R25" s="28"/>
      <c r="S25" s="28"/>
      <c r="T25" s="28"/>
      <c r="U25" s="28"/>
      <c r="V25" s="28"/>
      <c r="W25" s="28"/>
      <c r="X25" s="28"/>
      <c r="Y25" s="28"/>
      <c r="Z25" s="28"/>
      <c r="AA25" s="28"/>
    </row>
    <row r="26" spans="1:27" ht="15.75" thickBot="1" x14ac:dyDescent="0.3">
      <c r="A26" s="15" t="s">
        <v>13</v>
      </c>
      <c r="B26" s="15">
        <v>6</v>
      </c>
      <c r="C26" s="15">
        <v>65069.363281217717</v>
      </c>
      <c r="D26" s="15">
        <v>10844.893880202953</v>
      </c>
      <c r="E26" s="15"/>
      <c r="F26" s="15"/>
      <c r="G26" s="15"/>
      <c r="H26" s="15"/>
      <c r="I26" s="15"/>
      <c r="J26" s="15"/>
      <c r="K26" s="28"/>
      <c r="L26" s="28"/>
      <c r="M26" s="28"/>
      <c r="N26" s="28"/>
      <c r="O26" s="28"/>
      <c r="P26" s="28"/>
      <c r="Q26" s="28"/>
      <c r="R26" s="28"/>
      <c r="S26" s="28"/>
      <c r="T26" s="28"/>
      <c r="U26" s="28"/>
      <c r="V26" s="28"/>
      <c r="W26" s="28"/>
      <c r="X26" s="28"/>
      <c r="Y26" s="28"/>
      <c r="Z26" s="28"/>
      <c r="AA26" s="28"/>
    </row>
    <row r="27" spans="1:27" ht="15.75" thickBot="1" x14ac:dyDescent="0.3">
      <c r="A27" s="18" t="s">
        <v>14</v>
      </c>
      <c r="B27" s="18">
        <v>7</v>
      </c>
      <c r="C27" s="18">
        <v>2058821.1257204725</v>
      </c>
      <c r="D27" s="18"/>
      <c r="E27" s="18"/>
      <c r="F27" s="18"/>
      <c r="G27" s="15"/>
      <c r="H27" s="15"/>
      <c r="I27" s="15"/>
      <c r="J27" s="15"/>
      <c r="K27" s="28"/>
      <c r="L27" s="33"/>
      <c r="M27" s="33" t="s">
        <v>21</v>
      </c>
      <c r="N27" s="33" t="s">
        <v>9</v>
      </c>
      <c r="O27" s="33" t="s">
        <v>22</v>
      </c>
      <c r="P27" s="33" t="s">
        <v>23</v>
      </c>
      <c r="Q27" s="33" t="s">
        <v>24</v>
      </c>
      <c r="R27" s="33" t="s">
        <v>25</v>
      </c>
      <c r="S27" s="33" t="s">
        <v>26</v>
      </c>
      <c r="T27" s="33" t="s">
        <v>27</v>
      </c>
      <c r="U27" s="28"/>
      <c r="V27" s="28"/>
      <c r="W27" s="28"/>
      <c r="X27" s="28"/>
      <c r="Y27" s="28"/>
      <c r="Z27" s="28"/>
      <c r="AA27" s="28"/>
    </row>
    <row r="28" spans="1:27" ht="15.75" thickBot="1" x14ac:dyDescent="0.3">
      <c r="A28" s="15"/>
      <c r="B28" s="15"/>
      <c r="C28" s="15"/>
      <c r="D28" s="15"/>
      <c r="E28" s="15"/>
      <c r="F28" s="15"/>
      <c r="G28" s="15"/>
      <c r="H28" s="15"/>
      <c r="I28" s="15"/>
      <c r="J28" s="15"/>
      <c r="K28" s="28"/>
      <c r="L28" s="28" t="s">
        <v>15</v>
      </c>
      <c r="M28" s="28">
        <v>6.2146077062407432</v>
      </c>
      <c r="N28" s="28">
        <v>2.5252054045000783E-16</v>
      </c>
      <c r="O28" s="28">
        <v>2.4610305740538624E+16</v>
      </c>
      <c r="P28" s="28">
        <v>3.0380975764957277E-97</v>
      </c>
      <c r="Q28" s="28">
        <v>6.2146077062407423</v>
      </c>
      <c r="R28" s="28">
        <v>6.2146077062407441</v>
      </c>
      <c r="S28" s="28">
        <v>6.2146077062407423</v>
      </c>
      <c r="T28" s="28">
        <v>6.2146077062407441</v>
      </c>
      <c r="U28" s="28"/>
      <c r="V28" s="28"/>
      <c r="W28" s="28"/>
      <c r="X28" s="28"/>
      <c r="Y28" s="28"/>
      <c r="Z28" s="28"/>
      <c r="AA28" s="28"/>
    </row>
    <row r="29" spans="1:27" ht="15.75" thickBot="1" x14ac:dyDescent="0.3">
      <c r="A29" s="19"/>
      <c r="B29" s="19" t="s">
        <v>21</v>
      </c>
      <c r="C29" s="19" t="s">
        <v>9</v>
      </c>
      <c r="D29" s="19" t="s">
        <v>22</v>
      </c>
      <c r="E29" s="19" t="s">
        <v>23</v>
      </c>
      <c r="F29" s="19" t="s">
        <v>24</v>
      </c>
      <c r="G29" s="19" t="s">
        <v>25</v>
      </c>
      <c r="H29" s="19" t="s">
        <v>26</v>
      </c>
      <c r="I29" s="19" t="s">
        <v>27</v>
      </c>
      <c r="J29" s="15"/>
      <c r="K29" s="28"/>
      <c r="L29" s="31" t="s">
        <v>58</v>
      </c>
      <c r="M29" s="31">
        <v>0.1823215452883003</v>
      </c>
      <c r="N29" s="31">
        <v>5.0006518535543438E-17</v>
      </c>
      <c r="O29" s="31">
        <v>3645955579945252.5</v>
      </c>
      <c r="P29" s="31">
        <v>2.8736609986243736E-92</v>
      </c>
      <c r="Q29" s="31">
        <v>0.18232154528830019</v>
      </c>
      <c r="R29" s="31">
        <v>0.18232154528830041</v>
      </c>
      <c r="S29" s="31">
        <v>0.18232154528830019</v>
      </c>
      <c r="T29" s="31">
        <v>0.18232154528830041</v>
      </c>
      <c r="U29" s="28"/>
      <c r="V29" s="28"/>
      <c r="W29" s="28"/>
      <c r="X29" s="28"/>
      <c r="Y29" s="28"/>
      <c r="Z29" s="28"/>
      <c r="AA29" s="28"/>
    </row>
    <row r="30" spans="1:27" x14ac:dyDescent="0.25">
      <c r="A30" s="15" t="s">
        <v>15</v>
      </c>
      <c r="B30" s="15">
        <v>256.98596571428595</v>
      </c>
      <c r="C30" s="15">
        <v>81.144314993950786</v>
      </c>
      <c r="D30" s="15">
        <v>3.1670236631296222</v>
      </c>
      <c r="E30" s="15">
        <v>1.9391702331685228E-2</v>
      </c>
      <c r="F30" s="15">
        <v>58.432979702547328</v>
      </c>
      <c r="G30" s="15">
        <v>455.53895172602461</v>
      </c>
      <c r="H30" s="15">
        <v>58.432979702547328</v>
      </c>
      <c r="I30" s="15">
        <v>455.53895172602461</v>
      </c>
      <c r="J30" s="15"/>
      <c r="K30" s="28"/>
      <c r="L30" s="28"/>
      <c r="M30" s="28"/>
      <c r="N30" s="28"/>
      <c r="O30" s="28"/>
      <c r="P30" s="28"/>
      <c r="Q30" s="28"/>
      <c r="R30" s="28"/>
      <c r="S30" s="28"/>
      <c r="T30" s="28"/>
      <c r="U30" s="28"/>
      <c r="V30" s="28"/>
      <c r="W30" s="28"/>
      <c r="X30" s="28"/>
      <c r="Y30" s="28"/>
      <c r="Z30" s="28"/>
      <c r="AA30" s="28"/>
    </row>
    <row r="31" spans="1:27" ht="15.75" thickBot="1" x14ac:dyDescent="0.3">
      <c r="A31" s="18" t="s">
        <v>58</v>
      </c>
      <c r="B31" s="18">
        <v>217.87675428571424</v>
      </c>
      <c r="C31" s="18">
        <v>16.068968823557139</v>
      </c>
      <c r="D31" s="18">
        <v>13.558851017640068</v>
      </c>
      <c r="E31" s="18">
        <v>9.9848014359468116E-6</v>
      </c>
      <c r="F31" s="18">
        <v>178.55740403567324</v>
      </c>
      <c r="G31" s="18">
        <v>257.19610453575524</v>
      </c>
      <c r="H31" s="18">
        <v>178.55740403567324</v>
      </c>
      <c r="I31" s="18">
        <v>257.19610453575524</v>
      </c>
      <c r="J31" s="15"/>
      <c r="K31" s="28"/>
      <c r="L31" s="28"/>
      <c r="M31" s="28"/>
      <c r="N31" s="28"/>
      <c r="O31" s="28"/>
      <c r="P31" s="28"/>
      <c r="Q31" s="28"/>
      <c r="R31" s="28"/>
      <c r="S31" s="28"/>
      <c r="T31" s="28"/>
      <c r="U31" s="28"/>
      <c r="V31" s="28"/>
      <c r="W31" s="28"/>
      <c r="X31" s="28"/>
      <c r="Y31" s="28"/>
      <c r="Z31" s="28"/>
      <c r="AA31" s="28"/>
    </row>
    <row r="32" spans="1:27" x14ac:dyDescent="0.25">
      <c r="A32" s="15"/>
      <c r="B32" s="15"/>
      <c r="C32" s="15"/>
      <c r="D32" s="15"/>
      <c r="E32" s="15"/>
      <c r="F32" s="15"/>
      <c r="G32" s="15"/>
      <c r="H32" s="15"/>
      <c r="I32" s="15"/>
      <c r="J32" s="15"/>
      <c r="K32" s="28"/>
      <c r="L32" s="28"/>
      <c r="M32" s="28"/>
      <c r="N32" s="28"/>
      <c r="O32" s="28"/>
      <c r="P32" s="28"/>
      <c r="Q32" s="28"/>
      <c r="R32" s="28"/>
      <c r="S32" s="28"/>
      <c r="T32" s="28"/>
      <c r="U32" s="28"/>
      <c r="V32" s="28"/>
      <c r="W32" s="28"/>
      <c r="X32" s="28"/>
      <c r="Y32" s="28"/>
      <c r="Z32" s="28"/>
      <c r="AA32" s="28"/>
    </row>
    <row r="33" spans="1:27" x14ac:dyDescent="0.25">
      <c r="A33" s="15"/>
      <c r="B33" s="15"/>
      <c r="C33" s="15"/>
      <c r="D33" s="15"/>
      <c r="E33" s="15"/>
      <c r="F33" s="15"/>
      <c r="G33" s="15"/>
      <c r="H33" s="15"/>
      <c r="I33" s="15"/>
      <c r="J33" s="15"/>
      <c r="K33" s="28"/>
      <c r="L33" s="28" t="s">
        <v>28</v>
      </c>
      <c r="M33" s="28"/>
      <c r="N33" s="28"/>
      <c r="O33" s="28"/>
      <c r="P33" s="28"/>
      <c r="Q33" s="28" t="s">
        <v>33</v>
      </c>
      <c r="R33" s="28"/>
      <c r="S33" s="28"/>
      <c r="T33" s="28"/>
      <c r="U33" s="28"/>
      <c r="V33" s="28"/>
      <c r="W33" s="28"/>
      <c r="X33" s="28"/>
      <c r="Y33" s="28"/>
      <c r="Z33" s="28"/>
      <c r="AA33" s="28"/>
    </row>
    <row r="34" spans="1:27" ht="15.75" thickBot="1" x14ac:dyDescent="0.3">
      <c r="A34" s="15"/>
      <c r="B34" s="15"/>
      <c r="C34" s="15"/>
      <c r="D34" s="15"/>
      <c r="E34" s="15"/>
      <c r="F34" s="15"/>
      <c r="G34" s="15"/>
      <c r="H34" s="15"/>
      <c r="I34" s="15"/>
      <c r="J34" s="15"/>
      <c r="K34" s="28"/>
      <c r="L34" s="28"/>
      <c r="M34" s="28"/>
      <c r="N34" s="28"/>
      <c r="O34" s="28"/>
      <c r="P34" s="28"/>
      <c r="Q34" s="28"/>
      <c r="R34" s="28"/>
      <c r="S34" s="28"/>
      <c r="T34" s="28"/>
      <c r="U34" s="28"/>
      <c r="V34" s="28"/>
      <c r="W34" s="28"/>
      <c r="X34" s="28"/>
      <c r="Y34" s="28"/>
      <c r="Z34" s="28"/>
      <c r="AA34" s="28"/>
    </row>
    <row r="35" spans="1:27" ht="25.5" customHeight="1" x14ac:dyDescent="0.25">
      <c r="A35" s="15" t="s">
        <v>28</v>
      </c>
      <c r="B35" s="15"/>
      <c r="C35" s="15"/>
      <c r="D35" s="15"/>
      <c r="E35" s="15"/>
      <c r="F35" s="15" t="s">
        <v>33</v>
      </c>
      <c r="G35" s="15"/>
      <c r="H35" s="15"/>
      <c r="I35" s="15"/>
      <c r="J35" s="15"/>
      <c r="K35" s="28"/>
      <c r="L35" s="33" t="s">
        <v>29</v>
      </c>
      <c r="M35" s="33" t="s">
        <v>64</v>
      </c>
      <c r="N35" s="33" t="s">
        <v>31</v>
      </c>
      <c r="O35" s="33" t="s">
        <v>32</v>
      </c>
      <c r="P35" s="28"/>
      <c r="Q35" s="33" t="s">
        <v>34</v>
      </c>
      <c r="R35" s="33" t="s">
        <v>62</v>
      </c>
      <c r="S35" s="28"/>
      <c r="T35" s="28"/>
      <c r="U35" s="28"/>
      <c r="V35" s="28"/>
      <c r="W35" s="28"/>
      <c r="X35" s="28"/>
      <c r="Y35" s="28"/>
      <c r="Z35" s="28"/>
      <c r="AA35" s="28"/>
    </row>
    <row r="36" spans="1:27" ht="15.75" thickBot="1" x14ac:dyDescent="0.3">
      <c r="A36" s="15"/>
      <c r="B36" s="15"/>
      <c r="C36" s="15"/>
      <c r="D36" s="15"/>
      <c r="E36" s="15"/>
      <c r="F36" s="15"/>
      <c r="G36" s="15"/>
      <c r="H36" s="15"/>
      <c r="I36" s="15"/>
      <c r="J36" s="15"/>
      <c r="K36" s="28"/>
      <c r="L36" s="28">
        <v>1</v>
      </c>
      <c r="M36" s="28">
        <v>6.3969292515290404</v>
      </c>
      <c r="N36" s="28">
        <v>-8.8817841970012523E-16</v>
      </c>
      <c r="O36" s="28">
        <v>-0.83666002653407556</v>
      </c>
      <c r="P36" s="28"/>
      <c r="Q36" s="28">
        <v>6.25</v>
      </c>
      <c r="R36" s="28">
        <v>6.396929251529043</v>
      </c>
      <c r="S36" s="28"/>
      <c r="T36" s="28"/>
      <c r="U36" s="28"/>
      <c r="V36" s="28"/>
      <c r="W36" s="28"/>
      <c r="X36" s="28"/>
      <c r="Y36" s="28"/>
      <c r="Z36" s="28"/>
      <c r="AA36" s="28"/>
    </row>
    <row r="37" spans="1:27" x14ac:dyDescent="0.25">
      <c r="A37" s="19" t="s">
        <v>29</v>
      </c>
      <c r="B37" s="19" t="s">
        <v>59</v>
      </c>
      <c r="C37" s="19" t="s">
        <v>31</v>
      </c>
      <c r="D37" s="19" t="s">
        <v>32</v>
      </c>
      <c r="E37" s="15"/>
      <c r="F37" s="19" t="s">
        <v>34</v>
      </c>
      <c r="G37" s="19" t="s">
        <v>57</v>
      </c>
      <c r="H37" s="15"/>
      <c r="I37" s="15"/>
      <c r="J37" s="15"/>
      <c r="K37" s="28"/>
      <c r="L37" s="28">
        <v>2</v>
      </c>
      <c r="M37" s="28">
        <v>6.5792507968173437</v>
      </c>
      <c r="N37" s="28">
        <v>-8.8817841970012523E-16</v>
      </c>
      <c r="O37" s="28">
        <v>-0.83666002653407556</v>
      </c>
      <c r="P37" s="28"/>
      <c r="Q37" s="28">
        <v>18.75</v>
      </c>
      <c r="R37" s="28">
        <v>6.5792507968173428</v>
      </c>
      <c r="S37" s="28"/>
      <c r="T37" s="28"/>
      <c r="U37" s="28"/>
      <c r="V37" s="28"/>
      <c r="W37" s="28"/>
      <c r="X37" s="28"/>
      <c r="Y37" s="28"/>
      <c r="Z37" s="28"/>
      <c r="AA37" s="28"/>
    </row>
    <row r="38" spans="1:27" x14ac:dyDescent="0.25">
      <c r="A38" s="15">
        <v>1</v>
      </c>
      <c r="B38" s="15">
        <v>474.86272000000019</v>
      </c>
      <c r="C38" s="15">
        <v>125.13727999999981</v>
      </c>
      <c r="D38" s="15">
        <v>1.2979185884509312</v>
      </c>
      <c r="E38" s="15"/>
      <c r="F38" s="15">
        <v>6.25</v>
      </c>
      <c r="G38" s="15">
        <v>600</v>
      </c>
      <c r="H38" s="15"/>
      <c r="I38" s="15"/>
      <c r="J38" s="15"/>
      <c r="K38" s="28"/>
      <c r="L38" s="28">
        <v>3</v>
      </c>
      <c r="M38" s="28">
        <v>6.7615723421056444</v>
      </c>
      <c r="N38" s="28">
        <v>-8.8817841970012523E-16</v>
      </c>
      <c r="O38" s="28">
        <v>-0.83666002653407556</v>
      </c>
      <c r="P38" s="28"/>
      <c r="Q38" s="28">
        <v>31.25</v>
      </c>
      <c r="R38" s="28">
        <v>6.7615723421056435</v>
      </c>
      <c r="S38" s="28"/>
      <c r="T38" s="28"/>
      <c r="U38" s="28"/>
      <c r="V38" s="28"/>
      <c r="W38" s="28"/>
      <c r="X38" s="28"/>
      <c r="Y38" s="28"/>
      <c r="Z38" s="28"/>
      <c r="AA38" s="28"/>
    </row>
    <row r="39" spans="1:27" x14ac:dyDescent="0.25">
      <c r="A39" s="15">
        <v>2</v>
      </c>
      <c r="B39" s="15">
        <v>692.73947428571444</v>
      </c>
      <c r="C39" s="15">
        <v>27.260525714285563</v>
      </c>
      <c r="D39" s="15">
        <v>0.28274502255056116</v>
      </c>
      <c r="E39" s="15"/>
      <c r="F39" s="15">
        <v>18.75</v>
      </c>
      <c r="G39" s="15">
        <v>720</v>
      </c>
      <c r="H39" s="15"/>
      <c r="I39" s="15"/>
      <c r="J39" s="15"/>
      <c r="K39" s="28"/>
      <c r="L39" s="28">
        <v>4</v>
      </c>
      <c r="M39" s="28">
        <v>6.9438938873939442</v>
      </c>
      <c r="N39" s="28">
        <v>-8.8817841970012523E-16</v>
      </c>
      <c r="O39" s="28">
        <v>-0.83666002653407556</v>
      </c>
      <c r="P39" s="28"/>
      <c r="Q39" s="28">
        <v>43.75</v>
      </c>
      <c r="R39" s="28">
        <v>6.9438938873939433</v>
      </c>
      <c r="S39" s="28"/>
      <c r="T39" s="28"/>
      <c r="U39" s="28"/>
      <c r="V39" s="28"/>
      <c r="W39" s="28"/>
      <c r="X39" s="28"/>
      <c r="Y39" s="28"/>
      <c r="Z39" s="28"/>
      <c r="AA39" s="28"/>
    </row>
    <row r="40" spans="1:27" x14ac:dyDescent="0.25">
      <c r="A40" s="15">
        <v>3</v>
      </c>
      <c r="B40" s="15">
        <v>910.61622857142868</v>
      </c>
      <c r="C40" s="15">
        <v>-46.616228571428678</v>
      </c>
      <c r="D40" s="15">
        <v>-0.4835015559418806</v>
      </c>
      <c r="E40" s="15"/>
      <c r="F40" s="15">
        <v>31.25</v>
      </c>
      <c r="G40" s="15">
        <v>864</v>
      </c>
      <c r="H40" s="15"/>
      <c r="I40" s="15"/>
      <c r="J40" s="15"/>
      <c r="K40" s="28"/>
      <c r="L40" s="28">
        <v>5</v>
      </c>
      <c r="M40" s="28">
        <v>7.1262154326822449</v>
      </c>
      <c r="N40" s="28">
        <v>-8.8817841970012523E-16</v>
      </c>
      <c r="O40" s="28">
        <v>-0.83666002653407556</v>
      </c>
      <c r="P40" s="28"/>
      <c r="Q40" s="28">
        <v>56.25</v>
      </c>
      <c r="R40" s="28">
        <v>7.126215432682244</v>
      </c>
      <c r="S40" s="28"/>
      <c r="T40" s="28"/>
      <c r="U40" s="28"/>
      <c r="V40" s="28"/>
      <c r="W40" s="28"/>
      <c r="X40" s="28"/>
      <c r="Y40" s="28"/>
      <c r="Z40" s="28"/>
      <c r="AA40" s="28"/>
    </row>
    <row r="41" spans="1:27" x14ac:dyDescent="0.25">
      <c r="A41" s="15">
        <v>4</v>
      </c>
      <c r="B41" s="15">
        <v>1128.492982857143</v>
      </c>
      <c r="C41" s="15">
        <v>-91.692982857143079</v>
      </c>
      <c r="D41" s="15">
        <v>-0.95103574954481007</v>
      </c>
      <c r="E41" s="15"/>
      <c r="F41" s="15">
        <v>43.75</v>
      </c>
      <c r="G41" s="15">
        <v>1036.8</v>
      </c>
      <c r="H41" s="15"/>
      <c r="I41" s="15"/>
      <c r="J41" s="15"/>
      <c r="K41" s="28"/>
      <c r="L41" s="28">
        <v>6</v>
      </c>
      <c r="M41" s="28">
        <v>7.3085369779705456</v>
      </c>
      <c r="N41" s="28">
        <v>-1.7763568394002505E-15</v>
      </c>
      <c r="O41" s="28">
        <v>-1.6733200530681511</v>
      </c>
      <c r="P41" s="28"/>
      <c r="Q41" s="28">
        <v>68.75</v>
      </c>
      <c r="R41" s="28">
        <v>7.3085369779705438</v>
      </c>
      <c r="S41" s="28"/>
      <c r="T41" s="28"/>
      <c r="U41" s="28"/>
      <c r="V41" s="28"/>
      <c r="W41" s="28"/>
      <c r="X41" s="28"/>
      <c r="Y41" s="28"/>
      <c r="Z41" s="28"/>
      <c r="AA41" s="28"/>
    </row>
    <row r="42" spans="1:27" x14ac:dyDescent="0.25">
      <c r="A42" s="15">
        <v>5</v>
      </c>
      <c r="B42" s="15">
        <v>1346.369737142857</v>
      </c>
      <c r="C42" s="15">
        <v>-102.20973714285719</v>
      </c>
      <c r="D42" s="15">
        <v>-1.0601150812803197</v>
      </c>
      <c r="E42" s="15"/>
      <c r="F42" s="15">
        <v>56.25</v>
      </c>
      <c r="G42" s="15">
        <v>1244.1599999999999</v>
      </c>
      <c r="H42" s="15"/>
      <c r="I42" s="15"/>
      <c r="J42" s="15"/>
      <c r="K42" s="28"/>
      <c r="L42" s="28">
        <v>7</v>
      </c>
      <c r="M42" s="28">
        <v>7.4908585232588454</v>
      </c>
      <c r="N42" s="28">
        <v>-8.8817841970012523E-16</v>
      </c>
      <c r="O42" s="28">
        <v>-0.83666002653407556</v>
      </c>
      <c r="P42" s="28"/>
      <c r="Q42" s="28">
        <v>81.25</v>
      </c>
      <c r="R42" s="28">
        <v>7.4908585232588445</v>
      </c>
      <c r="S42" s="28"/>
      <c r="T42" s="28"/>
      <c r="U42" s="28"/>
      <c r="V42" s="28"/>
      <c r="W42" s="28"/>
      <c r="X42" s="28"/>
      <c r="Y42" s="28"/>
      <c r="Z42" s="28"/>
      <c r="AA42" s="28"/>
    </row>
    <row r="43" spans="1:27" ht="15.75" thickBot="1" x14ac:dyDescent="0.3">
      <c r="A43" s="15">
        <v>6</v>
      </c>
      <c r="B43" s="15">
        <v>1564.2464914285715</v>
      </c>
      <c r="C43" s="15">
        <v>-71.254491428571555</v>
      </c>
      <c r="D43" s="15">
        <v>-0.73904857877493191</v>
      </c>
      <c r="E43" s="15"/>
      <c r="F43" s="15">
        <v>68.75</v>
      </c>
      <c r="G43" s="15">
        <v>1492.992</v>
      </c>
      <c r="H43" s="15"/>
      <c r="I43" s="15"/>
      <c r="J43" s="15"/>
      <c r="K43" s="28"/>
      <c r="L43" s="31">
        <v>8</v>
      </c>
      <c r="M43" s="31">
        <v>7.6731800685471452</v>
      </c>
      <c r="N43" s="31">
        <v>0</v>
      </c>
      <c r="O43" s="31">
        <v>0</v>
      </c>
      <c r="P43" s="28"/>
      <c r="Q43" s="31">
        <v>93.75</v>
      </c>
      <c r="R43" s="31">
        <v>7.6731800685471452</v>
      </c>
      <c r="S43" s="28"/>
      <c r="T43" s="28"/>
      <c r="U43" s="28"/>
      <c r="V43" s="28"/>
      <c r="W43" s="28"/>
      <c r="X43" s="28"/>
      <c r="Y43" s="28"/>
      <c r="Z43" s="28"/>
      <c r="AA43" s="28"/>
    </row>
    <row r="44" spans="1:27" x14ac:dyDescent="0.25">
      <c r="A44" s="15">
        <v>7</v>
      </c>
      <c r="B44" s="15">
        <v>1782.1232457142855</v>
      </c>
      <c r="C44" s="15">
        <v>9.4671542857142867</v>
      </c>
      <c r="D44" s="15">
        <v>9.8192924819538105E-2</v>
      </c>
      <c r="E44" s="15"/>
      <c r="F44" s="15">
        <v>81.25</v>
      </c>
      <c r="G44" s="15">
        <v>1791.5903999999998</v>
      </c>
      <c r="H44" s="15"/>
      <c r="I44" s="15"/>
      <c r="J44" s="15"/>
      <c r="K44" s="28"/>
      <c r="L44" s="28"/>
      <c r="M44" s="28"/>
      <c r="N44" s="28"/>
      <c r="O44" s="28"/>
      <c r="P44" s="28"/>
      <c r="Q44" s="28"/>
      <c r="R44" s="28"/>
      <c r="S44" s="28"/>
      <c r="T44" s="28"/>
      <c r="U44" s="28"/>
      <c r="V44" s="28"/>
      <c r="W44" s="28"/>
      <c r="X44" s="28"/>
      <c r="Y44" s="28"/>
      <c r="Z44" s="28"/>
      <c r="AA44" s="28"/>
    </row>
    <row r="45" spans="1:27" ht="15.75" thickBot="1" x14ac:dyDescent="0.3">
      <c r="A45" s="18">
        <v>8</v>
      </c>
      <c r="B45" s="18">
        <v>2000</v>
      </c>
      <c r="C45" s="18">
        <v>149.9084799999996</v>
      </c>
      <c r="D45" s="18">
        <v>1.5548444297208988</v>
      </c>
      <c r="E45" s="15"/>
      <c r="F45" s="18">
        <v>93.75</v>
      </c>
      <c r="G45" s="18">
        <v>2149.9084799999996</v>
      </c>
      <c r="H45" s="15"/>
      <c r="I45" s="15"/>
      <c r="J45" s="15"/>
      <c r="K45" s="28"/>
      <c r="L45" s="28"/>
      <c r="M45" s="28"/>
      <c r="N45" s="28"/>
      <c r="O45" s="28"/>
      <c r="P45" s="28"/>
      <c r="Q45" s="28"/>
      <c r="R45" s="28"/>
      <c r="S45" s="28"/>
      <c r="T45" s="28"/>
      <c r="U45" s="28"/>
      <c r="V45" s="28"/>
      <c r="W45" s="28"/>
      <c r="X45" s="28"/>
      <c r="Y45" s="28"/>
      <c r="Z45" s="28"/>
      <c r="AA45" s="28"/>
    </row>
    <row r="46" spans="1:27" x14ac:dyDescent="0.25">
      <c r="A46" s="15"/>
      <c r="B46" s="15"/>
      <c r="C46" s="15"/>
      <c r="D46" s="15"/>
      <c r="E46" s="15"/>
      <c r="F46" s="15"/>
      <c r="G46" s="15"/>
      <c r="H46" s="15"/>
      <c r="I46" s="15"/>
      <c r="J46" s="15"/>
    </row>
    <row r="47" spans="1:27" x14ac:dyDescent="0.25">
      <c r="A47" s="15"/>
      <c r="B47" s="15"/>
      <c r="C47" s="15"/>
      <c r="D47" s="15"/>
      <c r="E47" s="15"/>
      <c r="F47" s="15"/>
      <c r="G47" s="15"/>
      <c r="H47" s="15"/>
      <c r="I47" s="15"/>
      <c r="J47" s="15"/>
      <c r="P47">
        <f>N41/P48</f>
        <v>-3.7416573867739413</v>
      </c>
      <c r="R47">
        <f>8.8178E-16/4.74751E-16</f>
        <v>1.8573525911477806</v>
      </c>
    </row>
    <row r="48" spans="1:27" x14ac:dyDescent="0.25">
      <c r="A48" s="15"/>
      <c r="B48" s="15"/>
      <c r="C48" s="15"/>
      <c r="D48" s="15"/>
      <c r="E48" s="15"/>
      <c r="F48" s="15"/>
      <c r="G48" s="15"/>
      <c r="H48" s="15"/>
      <c r="I48" s="15"/>
      <c r="J48" s="15"/>
      <c r="P48">
        <f>_xlfn.STDEV.S(N36:N43)</f>
        <v>4.7475133497773995E-16</v>
      </c>
      <c r="Q48">
        <f>N36/P48</f>
        <v>-1.8708286933869707</v>
      </c>
    </row>
    <row r="49" spans="1:21" x14ac:dyDescent="0.25">
      <c r="A49" s="15"/>
      <c r="B49" s="15"/>
      <c r="C49" s="15"/>
      <c r="D49" s="15"/>
      <c r="E49" s="15"/>
      <c r="F49" s="15"/>
      <c r="G49" s="15"/>
      <c r="H49" s="15"/>
      <c r="I49" s="15"/>
      <c r="J49" s="15"/>
      <c r="N49" s="34"/>
      <c r="P49">
        <f>-8.88178E-16/4.74475E-16*2</f>
        <v>-3.7438347647399759</v>
      </c>
    </row>
    <row r="50" spans="1:21" x14ac:dyDescent="0.25">
      <c r="A50" s="15"/>
      <c r="B50" s="15"/>
      <c r="C50" s="15"/>
      <c r="D50" s="15"/>
      <c r="E50" s="15"/>
      <c r="F50" s="15"/>
      <c r="G50" s="15"/>
      <c r="H50" s="15"/>
      <c r="I50" s="15"/>
      <c r="J50" s="15"/>
      <c r="P50">
        <f>O36-N36</f>
        <v>-0.83666002653407467</v>
      </c>
      <c r="U50" s="34">
        <v>4.7475133497773995E-16</v>
      </c>
    </row>
    <row r="51" spans="1:21" x14ac:dyDescent="0.25">
      <c r="A51" s="15"/>
      <c r="B51" s="15"/>
      <c r="C51" s="15"/>
      <c r="D51" s="15"/>
      <c r="E51" s="15"/>
      <c r="F51" s="15"/>
      <c r="G51" s="15"/>
      <c r="H51" s="15"/>
      <c r="I51" s="15"/>
      <c r="J51" s="15"/>
      <c r="P51">
        <f>N41-O41</f>
        <v>1.6733200530681493</v>
      </c>
      <c r="Q51">
        <f>8.8178E-16-0.836660027</f>
        <v>-0.83666002699999908</v>
      </c>
    </row>
    <row r="52" spans="1:21" x14ac:dyDescent="0.25">
      <c r="A52" s="15"/>
      <c r="B52" s="15"/>
      <c r="C52" s="15"/>
      <c r="D52" s="15"/>
      <c r="E52" s="15"/>
      <c r="F52" s="15"/>
      <c r="G52" s="15"/>
      <c r="H52" s="15"/>
      <c r="I52" s="15"/>
      <c r="J52" s="15"/>
    </row>
    <row r="53" spans="1:21" x14ac:dyDescent="0.25">
      <c r="A53" s="15"/>
      <c r="B53" s="15"/>
      <c r="C53" s="15"/>
      <c r="D53" s="15"/>
      <c r="E53" s="15"/>
      <c r="F53" s="15"/>
      <c r="G53" s="15"/>
      <c r="H53" s="15"/>
      <c r="I53" s="15"/>
      <c r="J53" s="15"/>
      <c r="U53">
        <v>-1.8708286933869707</v>
      </c>
    </row>
    <row r="54" spans="1:21" x14ac:dyDescent="0.25">
      <c r="A54" s="15"/>
      <c r="B54" s="15"/>
      <c r="C54" s="15"/>
      <c r="D54" s="15"/>
      <c r="E54" s="15"/>
      <c r="F54" s="15"/>
      <c r="G54" s="15"/>
      <c r="H54" s="15"/>
      <c r="I54" s="15"/>
      <c r="J54" s="15"/>
      <c r="S54" t="e">
        <f>0/0</f>
        <v>#DIV/0!</v>
      </c>
    </row>
    <row r="55" spans="1:21" x14ac:dyDescent="0.25">
      <c r="A55" s="15"/>
      <c r="B55" s="15"/>
      <c r="C55" s="15"/>
      <c r="D55" s="15"/>
      <c r="E55" s="15"/>
      <c r="F55" s="15"/>
      <c r="G55" s="15"/>
      <c r="H55" s="15"/>
      <c r="I55" s="15"/>
      <c r="J55" s="15"/>
    </row>
    <row r="56" spans="1:21" x14ac:dyDescent="0.25">
      <c r="A56" s="15"/>
      <c r="B56" s="15"/>
      <c r="C56" s="15"/>
      <c r="D56" s="15"/>
      <c r="E56" s="15"/>
      <c r="F56" s="15"/>
      <c r="G56" s="15"/>
      <c r="H56" s="15"/>
      <c r="I56" s="15"/>
      <c r="J56" s="15"/>
    </row>
  </sheetData>
  <sortState xmlns:xlrd2="http://schemas.microsoft.com/office/spreadsheetml/2017/richdata2" ref="R36:R43">
    <sortCondition ref="R36"/>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1. Curvilinear not adressed</vt:lpstr>
      <vt:lpstr>Curvilinear adressed</vt:lpstr>
      <vt:lpstr>2. Interaction Data table</vt:lpstr>
      <vt:lpstr>Interaction pivot table &amp; long</vt:lpstr>
      <vt:lpstr>More interaction scatter plots</vt:lpstr>
      <vt:lpstr>Regression Interaction adressed</vt:lpstr>
      <vt:lpstr>3. Nonconstant variance</vt:lpstr>
      <vt:lpstr>Adressed nonconstant variance</vt:lpstr>
      <vt:lpstr>4. Change by percentage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Alvarez</dc:creator>
  <cp:lastModifiedBy>Cristian Alvarez</cp:lastModifiedBy>
  <dcterms:created xsi:type="dcterms:W3CDTF">2023-09-07T20:33:07Z</dcterms:created>
  <dcterms:modified xsi:type="dcterms:W3CDTF">2025-09-08T23:43:41Z</dcterms:modified>
</cp:coreProperties>
</file>