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4773F6CA-8551-4FA9-9EDC-74019C854692}" xr6:coauthVersionLast="47" xr6:coauthVersionMax="47" xr10:uidLastSave="{00000000-0000-0000-0000-000000000000}"/>
  <bookViews>
    <workbookView xWindow="-120" yWindow="-120" windowWidth="20730" windowHeight="11040" activeTab="1" xr2:uid="{024820EB-F8AD-45D6-9BA0-39C149899805}"/>
  </bookViews>
  <sheets>
    <sheet name="6.1 Uniform" sheetId="1" r:id="rId1"/>
    <sheet name="6.2 standard normal distribut." sheetId="2" r:id="rId2"/>
    <sheet name="6.2 Normal Distribution" sheetId="5" r:id="rId3"/>
    <sheet name="normal approximation for binomi" sheetId="3" r:id="rId4"/>
    <sheet name=" 6.4 Exponential Distribution" sheetId="4" r:id="rId5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'6.2 standard normal distribut.'!$J$5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B15" i="2"/>
  <c r="C16" i="2"/>
  <c r="H13" i="2"/>
  <c r="E3" i="4"/>
  <c r="B7" i="4"/>
  <c r="E14" i="5"/>
  <c r="B13" i="4" l="1"/>
  <c r="H2" i="1"/>
  <c r="I2" i="5" l="1"/>
  <c r="B2" i="2"/>
  <c r="I30" i="5" l="1"/>
  <c r="I28" i="5"/>
  <c r="I29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H5" i="5"/>
  <c r="H6" i="5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2" i="4"/>
  <c r="B11" i="4"/>
  <c r="B10" i="4"/>
  <c r="B9" i="4"/>
  <c r="B8" i="4"/>
  <c r="B4" i="4"/>
  <c r="F3" i="4"/>
  <c r="B3" i="4"/>
  <c r="B2" i="4"/>
  <c r="B6" i="3"/>
  <c r="B5" i="3"/>
  <c r="B4" i="3"/>
  <c r="G3" i="3"/>
  <c r="F3" i="3"/>
  <c r="E3" i="3"/>
  <c r="I2" i="3"/>
  <c r="G2" i="3"/>
  <c r="F2" i="3"/>
  <c r="E2" i="3"/>
  <c r="E22" i="5"/>
  <c r="E15" i="5"/>
  <c r="F14" i="5"/>
  <c r="H39" i="2"/>
  <c r="G39" i="2"/>
  <c r="H38" i="2"/>
  <c r="G38" i="2"/>
  <c r="F20" i="2"/>
  <c r="F21" i="2" s="1"/>
  <c r="F19" i="2"/>
  <c r="H19" i="2" s="1"/>
  <c r="F18" i="2"/>
  <c r="H18" i="2" s="1"/>
  <c r="H17" i="2"/>
  <c r="G17" i="2"/>
  <c r="F17" i="2"/>
  <c r="H16" i="2"/>
  <c r="G16" i="2"/>
  <c r="F16" i="2"/>
  <c r="B16" i="2"/>
  <c r="H15" i="2"/>
  <c r="G15" i="2"/>
  <c r="C15" i="2"/>
  <c r="H14" i="2"/>
  <c r="G14" i="2"/>
  <c r="C14" i="2"/>
  <c r="B14" i="2"/>
  <c r="G13" i="2"/>
  <c r="B12" i="2"/>
  <c r="B10" i="2"/>
  <c r="B6" i="2"/>
  <c r="B5" i="2"/>
  <c r="B8" i="2" s="1"/>
  <c r="B3" i="2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K4" i="1"/>
  <c r="D4" i="1"/>
  <c r="C4" i="1"/>
  <c r="K3" i="1"/>
  <c r="H3" i="1"/>
  <c r="D3" i="1"/>
  <c r="C3" i="1"/>
  <c r="K2" i="1"/>
  <c r="D2" i="1"/>
  <c r="G21" i="2" l="1"/>
  <c r="F22" i="2"/>
  <c r="H21" i="2"/>
  <c r="G19" i="2"/>
  <c r="G20" i="2"/>
  <c r="H20" i="2"/>
  <c r="G18" i="2"/>
  <c r="H22" i="2" l="1"/>
  <c r="F23" i="2"/>
  <c r="G22" i="2"/>
  <c r="F24" i="2" l="1"/>
  <c r="H23" i="2"/>
  <c r="G23" i="2"/>
  <c r="G24" i="2" l="1"/>
  <c r="F25" i="2"/>
  <c r="H24" i="2"/>
  <c r="F26" i="2" l="1"/>
  <c r="H25" i="2"/>
  <c r="G25" i="2"/>
  <c r="F27" i="2" l="1"/>
  <c r="H26" i="2"/>
  <c r="G26" i="2"/>
  <c r="F28" i="2" l="1"/>
  <c r="H27" i="2"/>
  <c r="G27" i="2"/>
  <c r="F29" i="2" l="1"/>
  <c r="H28" i="2"/>
  <c r="G28" i="2"/>
  <c r="H29" i="2" l="1"/>
  <c r="G29" i="2"/>
  <c r="F30" i="2"/>
  <c r="F31" i="2" l="1"/>
  <c r="H30" i="2"/>
  <c r="G30" i="2"/>
  <c r="F32" i="2" l="1"/>
  <c r="H31" i="2"/>
  <c r="G31" i="2"/>
  <c r="G32" i="2" l="1"/>
  <c r="F33" i="2"/>
  <c r="H32" i="2"/>
  <c r="G33" i="2" l="1"/>
  <c r="F34" i="2"/>
  <c r="H33" i="2"/>
  <c r="F35" i="2" l="1"/>
  <c r="H34" i="2"/>
  <c r="G34" i="2"/>
  <c r="F36" i="2" l="1"/>
  <c r="H35" i="2"/>
  <c r="G35" i="2"/>
  <c r="G36" i="2" l="1"/>
  <c r="F37" i="2"/>
  <c r="H36" i="2"/>
  <c r="H37" i="2" l="1"/>
  <c r="G37" i="2"/>
</calcChain>
</file>

<file path=xl/sharedStrings.xml><?xml version="1.0" encoding="utf-8"?>
<sst xmlns="http://schemas.openxmlformats.org/spreadsheetml/2006/main" count="61" uniqueCount="53">
  <si>
    <t>a</t>
  </si>
  <si>
    <t>b</t>
  </si>
  <si>
    <t>Probability</t>
  </si>
  <si>
    <t>p(128&lt;=x&lt;=136)</t>
  </si>
  <si>
    <t>E(x)</t>
  </si>
  <si>
    <t>Var(x)</t>
  </si>
  <si>
    <t>stdev</t>
  </si>
  <si>
    <t>minutes</t>
  </si>
  <si>
    <t>P(z≤-1)</t>
  </si>
  <si>
    <t>P(z≤1)</t>
  </si>
  <si>
    <t>P(z≤1.25)</t>
  </si>
  <si>
    <t>P(z≤-0.50)</t>
  </si>
  <si>
    <t>P(-0.50≤z≤1.25)</t>
  </si>
  <si>
    <t>P(-1≤z≤1)</t>
  </si>
  <si>
    <r>
      <t>P(z</t>
    </r>
    <r>
      <rPr>
        <b/>
        <sz val="14"/>
        <color rgb="FF00B050"/>
        <rFont val="Aptos Narrow"/>
        <family val="2"/>
        <scheme val="minor"/>
      </rPr>
      <t>≥</t>
    </r>
    <r>
      <rPr>
        <sz val="14"/>
        <color theme="1"/>
        <rFont val="Aptos Narrow"/>
        <family val="2"/>
        <scheme val="minor"/>
      </rPr>
      <t>1.58)</t>
    </r>
  </si>
  <si>
    <t>Probability less than Z value is 0.9, what is Z value?</t>
  </si>
  <si>
    <t>Probability greater than Z value is 0.1, what is Z value?</t>
  </si>
  <si>
    <t>Standard Normal Distribution</t>
  </si>
  <si>
    <t>Inverze question (z values)</t>
  </si>
  <si>
    <t>Probability less than Z value is 0.10. What is Z value?</t>
  </si>
  <si>
    <t>trials</t>
  </si>
  <si>
    <t>u</t>
  </si>
  <si>
    <t>variance</t>
  </si>
  <si>
    <t>x</t>
  </si>
  <si>
    <t>z</t>
  </si>
  <si>
    <t>P(11.5&lt;=x&lt;=12.5)</t>
  </si>
  <si>
    <t>prob of success</t>
  </si>
  <si>
    <t>Probability of less than Z</t>
  </si>
  <si>
    <t>Rounded Z to get textbook answer</t>
  </si>
  <si>
    <t>mean "u"</t>
  </si>
  <si>
    <r>
      <t>lamda "</t>
    </r>
    <r>
      <rPr>
        <sz val="11"/>
        <color theme="1"/>
        <rFont val="Calibri"/>
        <family val="2"/>
      </rPr>
      <t>λ</t>
    </r>
    <r>
      <rPr>
        <sz val="11"/>
        <color theme="1"/>
        <rFont val="Aptos Narrow"/>
        <family val="2"/>
      </rPr>
      <t>"</t>
    </r>
  </si>
  <si>
    <t>P(x&lt;=6)</t>
  </si>
  <si>
    <t>Manual Calculation</t>
  </si>
  <si>
    <t>X</t>
  </si>
  <si>
    <t>Loading Time</t>
  </si>
  <si>
    <t>f(x)</t>
  </si>
  <si>
    <t>P(minute)</t>
  </si>
  <si>
    <t>stdev in minutes</t>
  </si>
  <si>
    <t>NORM.DIST(A2,0,1,FALSE)</t>
  </si>
  <si>
    <t>Z value</t>
  </si>
  <si>
    <t>NORM.DIST(A2,mean,stdev,FALSE)</t>
  </si>
  <si>
    <t>DENSITY FUNCTION Manually (not recommended)</t>
  </si>
  <si>
    <t>Excel Calculated Density Function</t>
  </si>
  <si>
    <t>Stdev</t>
  </si>
  <si>
    <t>Mean "u"</t>
  </si>
  <si>
    <t xml:space="preserve">Probability </t>
  </si>
  <si>
    <t>P(x&gt;=40,000)</t>
  </si>
  <si>
    <t>Density Function</t>
  </si>
  <si>
    <t>P(x&lt;=40,000)</t>
  </si>
  <si>
    <t>Inverse Question</t>
  </si>
  <si>
    <t>or this way</t>
  </si>
  <si>
    <t>P(120&lt;=x&lt;=130)</t>
  </si>
  <si>
    <t>Formula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</si>
</sst>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0" fontId="0" fillId="0" borderId="0" xfId="0" applyAlignment="1">
      <alignment wrapText="1"/>
    </xf>
    <xf numFmtId="166" fontId="0" fillId="0" borderId="0" xfId="0" applyNumberFormat="1"/>
    <xf numFmtId="0" fontId="2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2">
    <dxf>
      <numFmt numFmtId="165" formatCode="0.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'6.1 Uniform'!$C$2:$C$22</c:f>
              <c:numCache>
                <c:formatCode>General</c:formatCode>
                <c:ptCount val="21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</c:numCache>
            </c:numRef>
          </c:cat>
          <c:val>
            <c:numRef>
              <c:f>'6.1 Uniform'!$D$2:$D$22</c:f>
              <c:numCache>
                <c:formatCode>0.00</c:formatCode>
                <c:ptCount val="2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F9D-9601-7E6FD2BCC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05779568"/>
        <c:axId val="505780048"/>
      </c:barChart>
      <c:catAx>
        <c:axId val="5057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8004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57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39728523565650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'6.2 standard normal distribut.'!$G$12</c:f>
              <c:strCache>
                <c:ptCount val="1"/>
                <c:pt idx="0">
                  <c:v>DENSITY FUNCTION Manually (not recommended)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'6.2 standard normal distribut.'!$F$13:$F$39</c:f>
              <c:numCache>
                <c:formatCode>General</c:formatCode>
                <c:ptCount val="27"/>
                <c:pt idx="0">
                  <c:v>-2</c:v>
                </c:pt>
                <c:pt idx="1">
                  <c:v>-1.28155</c:v>
                </c:pt>
                <c:pt idx="2">
                  <c:v>-1</c:v>
                </c:pt>
                <c:pt idx="3">
                  <c:v>-0.9</c:v>
                </c:pt>
                <c:pt idx="4">
                  <c:v>-0.8</c:v>
                </c:pt>
                <c:pt idx="5">
                  <c:v>-0.70000000000000007</c:v>
                </c:pt>
                <c:pt idx="6">
                  <c:v>-0.60000000000000009</c:v>
                </c:pt>
                <c:pt idx="7">
                  <c:v>-0.50000000000000011</c:v>
                </c:pt>
                <c:pt idx="8">
                  <c:v>-0.40000000000000013</c:v>
                </c:pt>
                <c:pt idx="9">
                  <c:v>-0.30000000000000016</c:v>
                </c:pt>
                <c:pt idx="10">
                  <c:v>-0.20000000000000015</c:v>
                </c:pt>
                <c:pt idx="11">
                  <c:v>-0.10000000000000014</c:v>
                </c:pt>
                <c:pt idx="12" formatCode="0.00">
                  <c:v>-1.3877787807814457E-16</c:v>
                </c:pt>
                <c:pt idx="13">
                  <c:v>9.9999999999999867E-2</c:v>
                </c:pt>
                <c:pt idx="14">
                  <c:v>0.19999999999999987</c:v>
                </c:pt>
                <c:pt idx="15">
                  <c:v>0.29999999999999988</c:v>
                </c:pt>
                <c:pt idx="16">
                  <c:v>0.39999999999999991</c:v>
                </c:pt>
                <c:pt idx="17">
                  <c:v>0.49999999999999989</c:v>
                </c:pt>
                <c:pt idx="18">
                  <c:v>0.59999999999999987</c:v>
                </c:pt>
                <c:pt idx="19">
                  <c:v>0.69999999999999984</c:v>
                </c:pt>
                <c:pt idx="20">
                  <c:v>0.79999999999999982</c:v>
                </c:pt>
                <c:pt idx="21">
                  <c:v>0.8999999999999998</c:v>
                </c:pt>
                <c:pt idx="22">
                  <c:v>0.99999999999999978</c:v>
                </c:pt>
                <c:pt idx="23">
                  <c:v>1.0999999999999999</c:v>
                </c:pt>
                <c:pt idx="24">
                  <c:v>1.2</c:v>
                </c:pt>
                <c:pt idx="25">
                  <c:v>1.5</c:v>
                </c:pt>
                <c:pt idx="26">
                  <c:v>2</c:v>
                </c:pt>
              </c:numCache>
            </c:numRef>
          </c:xVal>
          <c:yVal>
            <c:numRef>
              <c:f>'6.2 standard normal distribut.'!$G$13:$G$39</c:f>
              <c:numCache>
                <c:formatCode>0.0000</c:formatCode>
                <c:ptCount val="27"/>
                <c:pt idx="0">
                  <c:v>5.3990989315311738E-2</c:v>
                </c:pt>
                <c:pt idx="1">
                  <c:v>0.1754987581582601</c:v>
                </c:pt>
                <c:pt idx="2">
                  <c:v>0.24197082671117182</c:v>
                </c:pt>
                <c:pt idx="3">
                  <c:v>0.26608536227512386</c:v>
                </c:pt>
                <c:pt idx="4">
                  <c:v>0.28969167510755356</c:v>
                </c:pt>
                <c:pt idx="5">
                  <c:v>0.31225406524165195</c:v>
                </c:pt>
                <c:pt idx="6">
                  <c:v>0.33322474362327931</c:v>
                </c:pt>
                <c:pt idx="7">
                  <c:v>0.35206547545282352</c:v>
                </c:pt>
                <c:pt idx="8">
                  <c:v>0.3682702958356619</c:v>
                </c:pt>
                <c:pt idx="9">
                  <c:v>0.38138797653287931</c:v>
                </c:pt>
                <c:pt idx="10">
                  <c:v>0.39104285912537717</c:v>
                </c:pt>
                <c:pt idx="11">
                  <c:v>0.39695271512285452</c:v>
                </c:pt>
                <c:pt idx="12">
                  <c:v>0.39894244888760372</c:v>
                </c:pt>
                <c:pt idx="13">
                  <c:v>0.39695271512285452</c:v>
                </c:pt>
                <c:pt idx="14">
                  <c:v>0.39104285912537723</c:v>
                </c:pt>
                <c:pt idx="15">
                  <c:v>0.38138797653287937</c:v>
                </c:pt>
                <c:pt idx="16">
                  <c:v>0.36827029583566195</c:v>
                </c:pt>
                <c:pt idx="17">
                  <c:v>0.35206547545282357</c:v>
                </c:pt>
                <c:pt idx="18">
                  <c:v>0.33322474362327936</c:v>
                </c:pt>
                <c:pt idx="19">
                  <c:v>0.312254065241652</c:v>
                </c:pt>
                <c:pt idx="20">
                  <c:v>0.28969167510755367</c:v>
                </c:pt>
                <c:pt idx="21">
                  <c:v>0.26608536227512392</c:v>
                </c:pt>
                <c:pt idx="22">
                  <c:v>0.24197082671117187</c:v>
                </c:pt>
                <c:pt idx="23">
                  <c:v>0.21785226903853983</c:v>
                </c:pt>
                <c:pt idx="24">
                  <c:v>0.19418613699423681</c:v>
                </c:pt>
                <c:pt idx="25">
                  <c:v>0.12951765036534288</c:v>
                </c:pt>
                <c:pt idx="26">
                  <c:v>5.3990989315311738E-2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8-484C-A604-018852B7F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486432"/>
        <c:axId val="951488832"/>
      </c:scatterChart>
      <c:valAx>
        <c:axId val="9514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88832"/>
        <c:crosses val="autoZero"/>
        <c:crossBetween val="midCat"/>
      </c:valAx>
      <c:valAx>
        <c:axId val="95148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48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'6.2 Normal Distribution'!$I$1</c:f>
              <c:strCache>
                <c:ptCount val="1"/>
                <c:pt idx="0">
                  <c:v>Density Function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'6.2 Normal Distribution'!$H$2:$H$30</c:f>
              <c:numCache>
                <c:formatCode>General</c:formatCode>
                <c:ptCount val="29"/>
                <c:pt idx="0">
                  <c:v>20000</c:v>
                </c:pt>
                <c:pt idx="1">
                  <c:v>22500</c:v>
                </c:pt>
                <c:pt idx="2">
                  <c:v>25000</c:v>
                </c:pt>
                <c:pt idx="3">
                  <c:v>26000</c:v>
                </c:pt>
                <c:pt idx="4">
                  <c:v>27000</c:v>
                </c:pt>
                <c:pt idx="5">
                  <c:v>28000</c:v>
                </c:pt>
                <c:pt idx="6">
                  <c:v>29000</c:v>
                </c:pt>
                <c:pt idx="7">
                  <c:v>30000</c:v>
                </c:pt>
                <c:pt idx="8">
                  <c:v>31000</c:v>
                </c:pt>
                <c:pt idx="9">
                  <c:v>32000</c:v>
                </c:pt>
                <c:pt idx="10">
                  <c:v>33000</c:v>
                </c:pt>
                <c:pt idx="11">
                  <c:v>34000</c:v>
                </c:pt>
                <c:pt idx="12">
                  <c:v>35000</c:v>
                </c:pt>
                <c:pt idx="13">
                  <c:v>36000</c:v>
                </c:pt>
                <c:pt idx="14">
                  <c:v>37000</c:v>
                </c:pt>
                <c:pt idx="15">
                  <c:v>38000</c:v>
                </c:pt>
                <c:pt idx="16">
                  <c:v>39000</c:v>
                </c:pt>
                <c:pt idx="17">
                  <c:v>40000</c:v>
                </c:pt>
                <c:pt idx="18">
                  <c:v>41000</c:v>
                </c:pt>
                <c:pt idx="19">
                  <c:v>42000</c:v>
                </c:pt>
                <c:pt idx="20">
                  <c:v>43000</c:v>
                </c:pt>
                <c:pt idx="21">
                  <c:v>44000</c:v>
                </c:pt>
                <c:pt idx="22">
                  <c:v>45000</c:v>
                </c:pt>
                <c:pt idx="23">
                  <c:v>46000</c:v>
                </c:pt>
                <c:pt idx="24">
                  <c:v>47000</c:v>
                </c:pt>
                <c:pt idx="25">
                  <c:v>48000</c:v>
                </c:pt>
                <c:pt idx="26">
                  <c:v>49000</c:v>
                </c:pt>
                <c:pt idx="27">
                  <c:v>53500</c:v>
                </c:pt>
                <c:pt idx="28">
                  <c:v>54000</c:v>
                </c:pt>
              </c:numCache>
            </c:numRef>
          </c:xVal>
          <c:yVal>
            <c:numRef>
              <c:f>'6.2 Normal Distribution'!$I$2:$I$30</c:f>
              <c:numCache>
                <c:formatCode>0.0000000</c:formatCode>
                <c:ptCount val="29"/>
                <c:pt idx="0">
                  <c:v>3.4451378781073624E-7</c:v>
                </c:pt>
                <c:pt idx="1">
                  <c:v>1.5830903165959935E-6</c:v>
                </c:pt>
                <c:pt idx="2">
                  <c:v>5.6654075483202376E-6</c:v>
                </c:pt>
                <c:pt idx="3">
                  <c:v>8.7967191960854374E-6</c:v>
                </c:pt>
                <c:pt idx="4">
                  <c:v>1.312316295493532E-5</c:v>
                </c:pt>
                <c:pt idx="5">
                  <c:v>1.8809815475377392E-5</c:v>
                </c:pt>
                <c:pt idx="6">
                  <c:v>2.5903519133178345E-5</c:v>
                </c:pt>
                <c:pt idx="7">
                  <c:v>3.427371840956147E-5</c:v>
                </c:pt>
                <c:pt idx="8">
                  <c:v>4.3570435406510113E-5</c:v>
                </c:pt>
                <c:pt idx="9">
                  <c:v>5.3217049979750972E-5</c:v>
                </c:pt>
                <c:pt idx="10">
                  <c:v>6.245078667335226E-5</c:v>
                </c:pt>
                <c:pt idx="11">
                  <c:v>7.0413065352859902E-5</c:v>
                </c:pt>
                <c:pt idx="12">
                  <c:v>7.6277563092104833E-5</c:v>
                </c:pt>
                <c:pt idx="13">
                  <c:v>7.9390509495402354E-5</c:v>
                </c:pt>
                <c:pt idx="14">
                  <c:v>7.9390509495402354E-5</c:v>
                </c:pt>
                <c:pt idx="15">
                  <c:v>7.6277563092104833E-5</c:v>
                </c:pt>
                <c:pt idx="16">
                  <c:v>7.0413065352859902E-5</c:v>
                </c:pt>
                <c:pt idx="17">
                  <c:v>6.245078667335226E-5</c:v>
                </c:pt>
                <c:pt idx="18">
                  <c:v>5.3217049979750972E-5</c:v>
                </c:pt>
                <c:pt idx="19">
                  <c:v>4.3570435406510113E-5</c:v>
                </c:pt>
                <c:pt idx="20">
                  <c:v>3.427371840956147E-5</c:v>
                </c:pt>
                <c:pt idx="21">
                  <c:v>2.5903519133178345E-5</c:v>
                </c:pt>
                <c:pt idx="22">
                  <c:v>1.8809815475377392E-5</c:v>
                </c:pt>
                <c:pt idx="23">
                  <c:v>1.312316295493532E-5</c:v>
                </c:pt>
                <c:pt idx="24">
                  <c:v>8.7967191960854374E-6</c:v>
                </c:pt>
                <c:pt idx="25">
                  <c:v>5.6654075483202376E-6</c:v>
                </c:pt>
                <c:pt idx="26">
                  <c:v>3.5056600987137079E-6</c:v>
                </c:pt>
                <c:pt idx="27">
                  <c:v>2.4644383369460398E-7</c:v>
                </c:pt>
                <c:pt idx="28">
                  <c:v>1.7453653900915202E-7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1-48DE-8D77-62823D111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323584"/>
        <c:axId val="1612324064"/>
      </c:scatterChart>
      <c:valAx>
        <c:axId val="161232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24064"/>
        <c:crosses val="autoZero"/>
        <c:crossBetween val="midCat"/>
      </c:valAx>
      <c:valAx>
        <c:axId val="16123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Exponential Distribution for Ships</a:t>
            </a:r>
            <a:r>
              <a:rPr lang="en-US" b="1" baseline="0"/>
              <a:t> Loading Docks</a:t>
            </a:r>
          </a:p>
        </c:rich>
      </c:tx>
      <c:layout>
        <c:manualLayout>
          <c:xMode val="edge"/>
          <c:yMode val="edge"/>
          <c:x val="0.172097331583552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 6.4 Exponential Distribution'!$B$6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 6.4 Exponential Distribution'!$A$7:$A$37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 6.4 Exponential Distribution'!$B$7:$B$37</c:f>
              <c:numCache>
                <c:formatCode>General</c:formatCode>
                <c:ptCount val="31"/>
                <c:pt idx="0">
                  <c:v>6.6666666666666666E-2</c:v>
                </c:pt>
                <c:pt idx="1">
                  <c:v>6.2367132335441187E-2</c:v>
                </c:pt>
                <c:pt idx="2">
                  <c:v>5.83448879361965E-2</c:v>
                </c:pt>
                <c:pt idx="3">
                  <c:v>5.4582050205198789E-2</c:v>
                </c:pt>
                <c:pt idx="4">
                  <c:v>5.106188922430991E-2</c:v>
                </c:pt>
                <c:pt idx="5">
                  <c:v>4.776875403825262E-2</c:v>
                </c:pt>
                <c:pt idx="6">
                  <c:v>4.4688003069042623E-2</c:v>
                </c:pt>
                <c:pt idx="7">
                  <c:v>4.1805939018203737E-2</c:v>
                </c:pt>
                <c:pt idx="8">
                  <c:v>3.9109747967335455E-2</c:v>
                </c:pt>
                <c:pt idx="9">
                  <c:v>3.6587442406268426E-2</c:v>
                </c:pt>
                <c:pt idx="10">
                  <c:v>3.4227807935506137E-2</c:v>
                </c:pt>
                <c:pt idx="11">
                  <c:v>3.2020353405986628E-2</c:v>
                </c:pt>
                <c:pt idx="12">
                  <c:v>2.9955264274481436E-2</c:v>
                </c:pt>
                <c:pt idx="13">
                  <c:v>2.8023358967245459E-2</c:v>
                </c:pt>
                <c:pt idx="14">
                  <c:v>2.621604805790655E-2</c:v>
                </c:pt>
                <c:pt idx="15">
                  <c:v>2.4525296078096157E-2</c:v>
                </c:pt>
                <c:pt idx="16">
                  <c:v>2.2943585791027492E-2</c:v>
                </c:pt>
                <c:pt idx="17">
                  <c:v>2.1463884769178394E-2</c:v>
                </c:pt>
                <c:pt idx="18">
                  <c:v>2.0079614127480144E-2</c:v>
                </c:pt>
                <c:pt idx="19">
                  <c:v>1.8784619272997224E-2</c:v>
                </c:pt>
                <c:pt idx="20">
                  <c:v>1.7573142541048452E-2</c:v>
                </c:pt>
                <c:pt idx="21">
                  <c:v>1.64397975961071E-2</c:v>
                </c:pt>
                <c:pt idx="22">
                  <c:v>1.537954548366419E-2</c:v>
                </c:pt>
                <c:pt idx="23">
                  <c:v>1.4387672226579315E-2</c:v>
                </c:pt>
                <c:pt idx="24">
                  <c:v>1.3459767866310359E-2</c:v>
                </c:pt>
                <c:pt idx="25">
                  <c:v>1.2591706855837456E-2</c:v>
                </c:pt>
                <c:pt idx="26">
                  <c:v>1.1779629717106449E-2</c:v>
                </c:pt>
                <c:pt idx="27">
                  <c:v>1.1019925881439102E-2</c:v>
                </c:pt>
                <c:pt idx="28">
                  <c:v>1.0309217636616987E-2</c:v>
                </c:pt>
                <c:pt idx="29">
                  <c:v>9.6443451092663376E-3</c:v>
                </c:pt>
                <c:pt idx="30">
                  <c:v>9.0223522157741806E-3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7-4439-8035-0EFA3F9A8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972368"/>
        <c:axId val="494972848"/>
      </c:areaChart>
      <c:catAx>
        <c:axId val="49497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Loading</a:t>
                </a:r>
                <a:r>
                  <a:rPr lang="en-US" baseline="0"/>
                  <a:t> Time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72848"/>
        <c:crosses val="autoZero"/>
        <c:auto val="1"/>
        <c:lblAlgn val="ctr"/>
        <c:lblOffset val="100"/>
        <c:tickLblSkip val="6"/>
        <c:noMultiLvlLbl val="0"/>
      </c:catAx>
      <c:valAx>
        <c:axId val="4949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layout>
            <c:manualLayout>
              <c:xMode val="edge"/>
              <c:yMode val="edge"/>
              <c:x val="9.4444444444444442E-2"/>
              <c:y val="7.83023476232137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97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4661</xdr:colOff>
      <xdr:row>6</xdr:row>
      <xdr:rowOff>170335</xdr:rowOff>
    </xdr:from>
    <xdr:to>
      <xdr:col>12</xdr:col>
      <xdr:colOff>216400</xdr:colOff>
      <xdr:row>21</xdr:row>
      <xdr:rowOff>54008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4D842-E141-8B3F-F30D-59816A078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409575</xdr:colOff>
      <xdr:row>8</xdr:row>
      <xdr:rowOff>71437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CE0600-FF61-EE4A-8DA6-285FBDCDEECB}"/>
            </a:ext>
          </a:extLst>
        </xdr:cNvPr>
        <xdr:cNvSpPr txBox="1"/>
      </xdr:nvSpPr>
      <xdr:spPr>
        <a:xfrm>
          <a:off x="5819775" y="1595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635934</xdr:colOff>
      <xdr:row>2</xdr:row>
      <xdr:rowOff>133349</xdr:rowOff>
    </xdr:from>
    <xdr:ext cx="1609725" cy="17240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6A78A8-DCF7-E8BC-DD4D-0112D16C7400}"/>
            </a:ext>
          </a:extLst>
        </xdr:cNvPr>
        <xdr:cNvSpPr txBox="1"/>
      </xdr:nvSpPr>
      <xdr:spPr>
        <a:xfrm>
          <a:off x="4277846" y="603996"/>
          <a:ext cx="1609725" cy="1724025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The</a:t>
          </a:r>
          <a:r>
            <a:rPr lang="en-US" sz="1100" baseline="0"/>
            <a:t> letter z is commmonly used to designate the particular normal random variable that has a normal distribution with a mean of zero and a standard deviation of one.  (Standard normal)</a:t>
          </a:r>
          <a:endParaRPr lang="en-US" sz="1100"/>
        </a:p>
      </xdr:txBody>
    </xdr:sp>
    <xdr:clientData/>
  </xdr:oneCellAnchor>
  <xdr:twoCellAnchor>
    <xdr:from>
      <xdr:col>5</xdr:col>
      <xdr:colOff>1704092</xdr:colOff>
      <xdr:row>0</xdr:row>
      <xdr:rowOff>1</xdr:rowOff>
    </xdr:from>
    <xdr:to>
      <xdr:col>7</xdr:col>
      <xdr:colOff>1614446</xdr:colOff>
      <xdr:row>9</xdr:row>
      <xdr:rowOff>201707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4B95C5-F824-BA67-2CF5-1B00827AE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0</xdr:row>
      <xdr:rowOff>85725</xdr:rowOff>
    </xdr:from>
    <xdr:to>
      <xdr:col>6</xdr:col>
      <xdr:colOff>228600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CD301B-6D20-4EE8-4F77-C2280BEA91B4}"/>
            </a:ext>
          </a:extLst>
        </xdr:cNvPr>
        <xdr:cNvSpPr txBox="1"/>
      </xdr:nvSpPr>
      <xdr:spPr>
        <a:xfrm>
          <a:off x="1533525" y="85725"/>
          <a:ext cx="3705225" cy="2200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manual calculations</a:t>
          </a:r>
          <a:r>
            <a:rPr lang="en-US" sz="1100" baseline="0"/>
            <a:t> or the textbook you convert to the standard normal random variable, but in excel you can skip that. Just do this:</a:t>
          </a:r>
          <a:endParaRPr lang="en-US" sz="1100"/>
        </a:p>
        <a:p>
          <a:endParaRPr lang="en-US" sz="1100"/>
        </a:p>
        <a:p>
          <a:r>
            <a:rPr lang="en-US" sz="1100"/>
            <a:t>For</a:t>
          </a:r>
          <a:r>
            <a:rPr lang="en-US" sz="1100" baseline="0"/>
            <a:t> Probability Density F unction(Height of curve at z value): =NORM.DIST(x value,mean,stdev,</a:t>
          </a:r>
          <a:r>
            <a:rPr lang="en-US" sz="1100" b="1" baseline="0"/>
            <a:t>FALSE</a:t>
          </a:r>
          <a:r>
            <a:rPr lang="en-US" sz="1100" baseline="0"/>
            <a:t>)</a:t>
          </a:r>
        </a:p>
        <a:p>
          <a:endParaRPr lang="en-US" sz="1100" baseline="0"/>
        </a:p>
        <a:p>
          <a:r>
            <a:rPr lang="en-US" sz="1100" baseline="0"/>
            <a:t>For probability: =NORM.DIST(x value,mean,stdev,</a:t>
          </a:r>
          <a:r>
            <a:rPr lang="en-US" sz="1100" b="1" baseline="0"/>
            <a:t>TRUE</a:t>
          </a:r>
          <a:r>
            <a:rPr lang="en-US" sz="1100" baseline="0"/>
            <a:t>)</a:t>
          </a:r>
        </a:p>
        <a:p>
          <a:endParaRPr lang="en-US" sz="1100" baseline="0"/>
        </a:p>
        <a:p>
          <a:r>
            <a:rPr lang="en-US" sz="1100" baseline="0"/>
            <a:t>For inverse question (At what x value is this probability) "what mileage will no more than ten percent of tires be elligable for a gaurantee? 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>
    <xdr:from>
      <xdr:col>9</xdr:col>
      <xdr:colOff>441774</xdr:colOff>
      <xdr:row>4</xdr:row>
      <xdr:rowOff>138829</xdr:rowOff>
    </xdr:from>
    <xdr:to>
      <xdr:col>20</xdr:col>
      <xdr:colOff>11230</xdr:colOff>
      <xdr:row>19</xdr:row>
      <xdr:rowOff>24529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08BD00-959E-73BA-1144-87F9BD9B8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8</xdr:row>
      <xdr:rowOff>0</xdr:rowOff>
    </xdr:from>
    <xdr:to>
      <xdr:col>6</xdr:col>
      <xdr:colOff>85725</xdr:colOff>
      <xdr:row>14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AEB2E8-3A16-1326-0B20-FEE74A07A77F}"/>
            </a:ext>
          </a:extLst>
        </xdr:cNvPr>
        <xdr:cNvSpPr txBox="1"/>
      </xdr:nvSpPr>
      <xdr:spPr>
        <a:xfrm>
          <a:off x="1466850" y="1524000"/>
          <a:ext cx="2276475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stdev for normal</a:t>
          </a:r>
          <a:r>
            <a:rPr lang="en-US" sz="1100" baseline="0"/>
            <a:t> approximation of binomial is: square root of (np(1-p)</a:t>
          </a:r>
        </a:p>
        <a:p>
          <a:endParaRPr lang="en-US" sz="1100" baseline="0"/>
        </a:p>
        <a:p>
          <a:r>
            <a:rPr lang="en-US" sz="1100" baseline="0"/>
            <a:t>mean for normal approximation of binomail is: u= n*p</a:t>
          </a:r>
        </a:p>
        <a:p>
          <a:endParaRPr lang="en-US" sz="1100"/>
        </a:p>
        <a:p>
          <a:r>
            <a:rPr lang="en-US" sz="1100"/>
            <a:t>z=(x-u)/stdev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5</xdr:row>
      <xdr:rowOff>119062</xdr:rowOff>
    </xdr:from>
    <xdr:to>
      <xdr:col>9</xdr:col>
      <xdr:colOff>581025</xdr:colOff>
      <xdr:row>20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40628-9F91-0879-091E-B26A87DCB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7E35FC-5424-451B-9A46-B0D57E10D472}" name="Table2" displayName="Table2" ref="F12:H39" totalsRowShown="0">
  <autoFilter ref="F12:H39" xr:uid="{977E35FC-5424-451B-9A46-B0D57E10D472}">
    <filterColumn colId="0" hiddenButton="1"/>
    <filterColumn colId="1" hiddenButton="1"/>
    <filterColumn colId="2" hiddenButton="1"/>
  </autoFilter>
  <tableColumns count="3">
    <tableColumn id="1" xr3:uid="{06702FA9-C33C-4577-83C2-2735E424A9B0}" name="Z value"/>
    <tableColumn id="2" xr3:uid="{0BD96C3E-31B8-49A5-A84F-E55B84041720}" name="DENSITY FUNCTION Manually (not recommended)" dataDxfId="1">
      <calculatedColumnFormula>(1/SQRT(2*3.14159))*EXP(-(F13^2)/2)</calculatedColumnFormula>
    </tableColumn>
    <tableColumn id="3" xr3:uid="{E93F329C-FE39-4B61-B64F-F241D0D40A2A}" name="Excel Calculated Density Function" dataDxfId="0">
      <calculatedColumnFormula>_xlfn.NORM.S.DIST(F13,FALSE)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27AA-B54C-49EE-BA90-480565F839C5}">
  <dimension ref="A1:L22"/>
  <sheetViews>
    <sheetView zoomScale="94" workbookViewId="0">
      <selection activeCell="K2" sqref="K2"/>
    </sheetView>
  </sheetViews>
  <sheetFormatPr defaultRowHeight="15" x14ac:dyDescent="0.25"/>
  <cols>
    <col min="1" max="1" width="9" customWidth="1"/>
    <col min="7" max="7" width="15" bestFit="1" customWidth="1"/>
    <col min="8" max="8" width="10.5703125" bestFit="1" customWidth="1"/>
  </cols>
  <sheetData>
    <row r="1" spans="1:12" x14ac:dyDescent="0.25">
      <c r="D1" t="s">
        <v>2</v>
      </c>
      <c r="H1" t="s">
        <v>2</v>
      </c>
    </row>
    <row r="2" spans="1:12" x14ac:dyDescent="0.25">
      <c r="A2" t="s">
        <v>0</v>
      </c>
      <c r="B2">
        <v>120</v>
      </c>
      <c r="C2">
        <v>120</v>
      </c>
      <c r="D2" s="1">
        <f>1/20</f>
        <v>0.05</v>
      </c>
      <c r="G2" t="s">
        <v>51</v>
      </c>
      <c r="H2">
        <f>(130-120)*D2</f>
        <v>0.5</v>
      </c>
      <c r="J2" t="s">
        <v>4</v>
      </c>
      <c r="K2">
        <f>(B2+B3)/2</f>
        <v>130</v>
      </c>
    </row>
    <row r="3" spans="1:12" x14ac:dyDescent="0.25">
      <c r="A3" t="s">
        <v>1</v>
      </c>
      <c r="B3">
        <v>140</v>
      </c>
      <c r="C3">
        <f>C2+1</f>
        <v>121</v>
      </c>
      <c r="D3" s="1">
        <f t="shared" ref="D3:D22" si="0">1/20</f>
        <v>0.05</v>
      </c>
      <c r="G3" t="s">
        <v>3</v>
      </c>
      <c r="H3">
        <f>(136-128)*D2</f>
        <v>0.4</v>
      </c>
      <c r="J3" t="s">
        <v>5</v>
      </c>
      <c r="K3">
        <f>(B3-B2)^2/12</f>
        <v>33.333333333333336</v>
      </c>
    </row>
    <row r="4" spans="1:12" x14ac:dyDescent="0.25">
      <c r="C4">
        <f t="shared" ref="C4:C21" si="1">C3+1</f>
        <v>122</v>
      </c>
      <c r="D4" s="1">
        <f t="shared" si="0"/>
        <v>0.05</v>
      </c>
      <c r="J4" t="s">
        <v>6</v>
      </c>
      <c r="K4">
        <f>SQRT(K3)</f>
        <v>5.7735026918962582</v>
      </c>
      <c r="L4" t="s">
        <v>7</v>
      </c>
    </row>
    <row r="5" spans="1:12" x14ac:dyDescent="0.25">
      <c r="C5">
        <f t="shared" si="1"/>
        <v>123</v>
      </c>
      <c r="D5" s="1">
        <f t="shared" si="0"/>
        <v>0.05</v>
      </c>
    </row>
    <row r="6" spans="1:12" x14ac:dyDescent="0.25">
      <c r="C6">
        <f t="shared" si="1"/>
        <v>124</v>
      </c>
      <c r="D6" s="1">
        <f t="shared" si="0"/>
        <v>0.05</v>
      </c>
    </row>
    <row r="7" spans="1:12" x14ac:dyDescent="0.25">
      <c r="C7">
        <f t="shared" si="1"/>
        <v>125</v>
      </c>
      <c r="D7" s="1">
        <f t="shared" si="0"/>
        <v>0.05</v>
      </c>
    </row>
    <row r="8" spans="1:12" x14ac:dyDescent="0.25">
      <c r="C8">
        <f t="shared" si="1"/>
        <v>126</v>
      </c>
      <c r="D8" s="1">
        <f t="shared" si="0"/>
        <v>0.05</v>
      </c>
    </row>
    <row r="9" spans="1:12" x14ac:dyDescent="0.25">
      <c r="C9">
        <f t="shared" si="1"/>
        <v>127</v>
      </c>
      <c r="D9" s="1">
        <f t="shared" si="0"/>
        <v>0.05</v>
      </c>
    </row>
    <row r="10" spans="1:12" x14ac:dyDescent="0.25">
      <c r="C10">
        <f t="shared" si="1"/>
        <v>128</v>
      </c>
      <c r="D10" s="1">
        <f t="shared" si="0"/>
        <v>0.05</v>
      </c>
    </row>
    <row r="11" spans="1:12" x14ac:dyDescent="0.25">
      <c r="C11">
        <f t="shared" si="1"/>
        <v>129</v>
      </c>
      <c r="D11" s="1">
        <f t="shared" si="0"/>
        <v>0.05</v>
      </c>
    </row>
    <row r="12" spans="1:12" x14ac:dyDescent="0.25">
      <c r="C12">
        <f t="shared" si="1"/>
        <v>130</v>
      </c>
      <c r="D12" s="1">
        <f t="shared" si="0"/>
        <v>0.05</v>
      </c>
    </row>
    <row r="13" spans="1:12" x14ac:dyDescent="0.25">
      <c r="C13">
        <f t="shared" si="1"/>
        <v>131</v>
      </c>
      <c r="D13" s="1">
        <f t="shared" si="0"/>
        <v>0.05</v>
      </c>
    </row>
    <row r="14" spans="1:12" x14ac:dyDescent="0.25">
      <c r="C14">
        <f t="shared" si="1"/>
        <v>132</v>
      </c>
      <c r="D14" s="1">
        <f t="shared" si="0"/>
        <v>0.05</v>
      </c>
    </row>
    <row r="15" spans="1:12" x14ac:dyDescent="0.25">
      <c r="C15">
        <f t="shared" si="1"/>
        <v>133</v>
      </c>
      <c r="D15" s="1">
        <f t="shared" si="0"/>
        <v>0.05</v>
      </c>
    </row>
    <row r="16" spans="1:12" x14ac:dyDescent="0.25">
      <c r="C16">
        <f t="shared" si="1"/>
        <v>134</v>
      </c>
      <c r="D16" s="1">
        <f t="shared" si="0"/>
        <v>0.05</v>
      </c>
    </row>
    <row r="17" spans="3:4" x14ac:dyDescent="0.25">
      <c r="C17">
        <f t="shared" si="1"/>
        <v>135</v>
      </c>
      <c r="D17" s="1">
        <f t="shared" si="0"/>
        <v>0.05</v>
      </c>
    </row>
    <row r="18" spans="3:4" x14ac:dyDescent="0.25">
      <c r="C18">
        <f t="shared" si="1"/>
        <v>136</v>
      </c>
      <c r="D18" s="1">
        <f t="shared" si="0"/>
        <v>0.05</v>
      </c>
    </row>
    <row r="19" spans="3:4" x14ac:dyDescent="0.25">
      <c r="C19">
        <f>C18+1</f>
        <v>137</v>
      </c>
      <c r="D19" s="1">
        <f t="shared" si="0"/>
        <v>0.05</v>
      </c>
    </row>
    <row r="20" spans="3:4" x14ac:dyDescent="0.25">
      <c r="C20">
        <f t="shared" si="1"/>
        <v>138</v>
      </c>
      <c r="D20" s="1">
        <f t="shared" si="0"/>
        <v>0.05</v>
      </c>
    </row>
    <row r="21" spans="3:4" x14ac:dyDescent="0.25">
      <c r="C21">
        <f t="shared" si="1"/>
        <v>139</v>
      </c>
      <c r="D21" s="1">
        <f t="shared" si="0"/>
        <v>0.05</v>
      </c>
    </row>
    <row r="22" spans="3:4" x14ac:dyDescent="0.25">
      <c r="C22">
        <f>C21+1</f>
        <v>140</v>
      </c>
      <c r="D22" s="1">
        <f t="shared" si="0"/>
        <v>0.05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A570-DC48-496C-850F-8EF0CC46D70E}">
  <dimension ref="A1:H39"/>
  <sheetViews>
    <sheetView tabSelected="1" topLeftCell="A11" zoomScaleNormal="100" workbookViewId="0">
      <selection activeCell="C15" sqref="C15"/>
    </sheetView>
  </sheetViews>
  <sheetFormatPr defaultRowHeight="15" x14ac:dyDescent="0.25"/>
  <cols>
    <col min="1" max="1" width="26.140625" bestFit="1" customWidth="1"/>
    <col min="2" max="2" width="28.42578125" bestFit="1" customWidth="1"/>
    <col min="3" max="4" width="12.5703125" customWidth="1"/>
    <col min="5" max="5" width="8.42578125" customWidth="1"/>
    <col min="6" max="6" width="26.28515625" customWidth="1"/>
    <col min="7" max="7" width="43.7109375" customWidth="1"/>
    <col min="8" max="8" width="31.140625" customWidth="1"/>
  </cols>
  <sheetData>
    <row r="1" spans="1:8" ht="18.75" x14ac:dyDescent="0.3">
      <c r="A1" s="5"/>
      <c r="B1" s="6" t="s">
        <v>17</v>
      </c>
    </row>
    <row r="2" spans="1:8" ht="18.75" x14ac:dyDescent="0.3">
      <c r="A2" s="5" t="s">
        <v>8</v>
      </c>
      <c r="B2" s="6">
        <f>_xlfn.NORM.S.DIST(-1,TRUE)</f>
        <v>0.15865525393145699</v>
      </c>
    </row>
    <row r="3" spans="1:8" ht="18.75" x14ac:dyDescent="0.3">
      <c r="A3" s="5" t="s">
        <v>9</v>
      </c>
      <c r="B3" s="6">
        <f>_xlfn.NORM.S.DIST(1,TRUE)</f>
        <v>0.84134474606854304</v>
      </c>
    </row>
    <row r="4" spans="1:8" ht="18.75" x14ac:dyDescent="0.3">
      <c r="A4" s="5"/>
      <c r="B4" s="6"/>
    </row>
    <row r="5" spans="1:8" ht="18.75" x14ac:dyDescent="0.3">
      <c r="A5" s="5" t="s">
        <v>10</v>
      </c>
      <c r="B5" s="7">
        <f>_xlfn.NORM.S.DIST(1.25,TRUE)</f>
        <v>0.89435022633314476</v>
      </c>
      <c r="G5" s="4"/>
    </row>
    <row r="6" spans="1:8" ht="18.75" x14ac:dyDescent="0.3">
      <c r="A6" s="5" t="s">
        <v>11</v>
      </c>
      <c r="B6" s="7">
        <f>_xlfn.NORM.S.DIST(-0.5,TRUE)</f>
        <v>0.30853753872598688</v>
      </c>
    </row>
    <row r="7" spans="1:8" ht="18.75" x14ac:dyDescent="0.3">
      <c r="A7" s="5"/>
      <c r="B7" s="6"/>
    </row>
    <row r="8" spans="1:8" ht="18.75" x14ac:dyDescent="0.3">
      <c r="A8" s="5" t="s">
        <v>12</v>
      </c>
      <c r="B8" s="7">
        <f>B5-B6</f>
        <v>0.58581268760715788</v>
      </c>
    </row>
    <row r="9" spans="1:8" ht="18.75" x14ac:dyDescent="0.3">
      <c r="A9" s="5"/>
      <c r="B9" s="6"/>
    </row>
    <row r="10" spans="1:8" ht="18.75" x14ac:dyDescent="0.3">
      <c r="A10" s="5" t="s">
        <v>13</v>
      </c>
      <c r="B10" s="7">
        <f>B3-B2</f>
        <v>0.68268949213708607</v>
      </c>
    </row>
    <row r="11" spans="1:8" ht="15.75" x14ac:dyDescent="0.25">
      <c r="B11" s="7"/>
    </row>
    <row r="12" spans="1:8" ht="30.75" x14ac:dyDescent="0.3">
      <c r="A12" s="5" t="s">
        <v>14</v>
      </c>
      <c r="B12" s="7">
        <f>1-_xlfn.NORM.S.DIST(1.58,TRUE)</f>
        <v>5.7053433237754136E-2</v>
      </c>
      <c r="F12" s="14" t="s">
        <v>39</v>
      </c>
      <c r="G12" s="8" t="s">
        <v>41</v>
      </c>
      <c r="H12" s="8" t="s">
        <v>42</v>
      </c>
    </row>
    <row r="13" spans="1:8" ht="28.5" customHeight="1" x14ac:dyDescent="0.25">
      <c r="B13" s="10" t="s">
        <v>18</v>
      </c>
      <c r="C13" s="11" t="s">
        <v>50</v>
      </c>
      <c r="D13" s="11" t="s">
        <v>50</v>
      </c>
      <c r="F13">
        <v>-2</v>
      </c>
      <c r="G13" s="3">
        <f t="shared" ref="G13:G39" si="0">(1/SQRT(2*3.14159))*EXP(-(F13^2)/2)</f>
        <v>5.3990989315311738E-2</v>
      </c>
      <c r="H13" s="3">
        <f>_xlfn.NORM.S.DIST(F13,FALSE)</f>
        <v>5.3990966513188063E-2</v>
      </c>
    </row>
    <row r="14" spans="1:8" ht="45" customHeight="1" x14ac:dyDescent="0.25">
      <c r="A14" s="8" t="s">
        <v>15</v>
      </c>
      <c r="B14" s="3">
        <f>_xlfn.NORM.INV(0.9, 0,1)</f>
        <v>1.2815515655446006</v>
      </c>
      <c r="C14">
        <f>_xlfn.NORM.S.INV(0.9)</f>
        <v>1.2815515655446006</v>
      </c>
      <c r="F14">
        <v>-1.28155</v>
      </c>
      <c r="G14" s="3">
        <f t="shared" si="0"/>
        <v>0.1754987581582601</v>
      </c>
      <c r="H14" s="3">
        <f>_xlfn.NORM.S.DIST(F14,FALSE)</f>
        <v>0.17549868403951474</v>
      </c>
    </row>
    <row r="15" spans="1:8" ht="30" x14ac:dyDescent="0.25">
      <c r="A15" s="8" t="s">
        <v>16</v>
      </c>
      <c r="B15" s="3">
        <f>_xlfn.NORM.INV(0.9, 0,1)</f>
        <v>1.2815515655446006</v>
      </c>
      <c r="C15">
        <f>_xlfn.NORM.S.INV(0.9)</f>
        <v>1.2815515655446006</v>
      </c>
      <c r="D15">
        <f>_xlfn.NORM.INV(1-0.1, 0,1)</f>
        <v>1.2815515655446006</v>
      </c>
      <c r="F15">
        <v>-1</v>
      </c>
      <c r="G15" s="3">
        <f t="shared" si="0"/>
        <v>0.24197082671117182</v>
      </c>
      <c r="H15" s="3">
        <f>_xlfn.NORM.S.DIST(F15,FALSE)</f>
        <v>0.24197072451914337</v>
      </c>
    </row>
    <row r="16" spans="1:8" ht="36" customHeight="1" x14ac:dyDescent="0.25">
      <c r="A16" s="8" t="s">
        <v>19</v>
      </c>
      <c r="B16">
        <f>_xlfn.NORM.INV(0.1, 0,1)</f>
        <v>-1.2815515655446006</v>
      </c>
      <c r="C16">
        <f>_xlfn.NORM.S.INV(0.1)</f>
        <v>-1.2815515655446006</v>
      </c>
      <c r="F16">
        <f>F15+0.1</f>
        <v>-0.9</v>
      </c>
      <c r="G16" s="3">
        <f t="shared" si="0"/>
        <v>0.26608536227512386</v>
      </c>
      <c r="H16" s="3">
        <f t="shared" ref="H16:H39" si="1">_xlfn.NORM.S.DIST(F16,FALSE)</f>
        <v>0.26608524989875482</v>
      </c>
    </row>
    <row r="17" spans="6:8" x14ac:dyDescent="0.25">
      <c r="F17">
        <f t="shared" ref="F17:F28" si="2">F16+0.1</f>
        <v>-0.8</v>
      </c>
      <c r="G17" s="3">
        <f t="shared" si="0"/>
        <v>0.28969167510755356</v>
      </c>
      <c r="H17" s="3">
        <f t="shared" si="1"/>
        <v>0.28969155276148273</v>
      </c>
    </row>
    <row r="18" spans="6:8" x14ac:dyDescent="0.25">
      <c r="F18">
        <f t="shared" si="2"/>
        <v>-0.70000000000000007</v>
      </c>
      <c r="G18" s="3">
        <f t="shared" si="0"/>
        <v>0.31225406524165195</v>
      </c>
      <c r="H18" s="3">
        <f t="shared" si="1"/>
        <v>0.31225393336676127</v>
      </c>
    </row>
    <row r="19" spans="6:8" x14ac:dyDescent="0.25">
      <c r="F19">
        <f t="shared" si="2"/>
        <v>-0.60000000000000009</v>
      </c>
      <c r="G19" s="3">
        <f t="shared" si="0"/>
        <v>0.33322474362327931</v>
      </c>
      <c r="H19" s="3">
        <f t="shared" si="1"/>
        <v>0.33322460289179967</v>
      </c>
    </row>
    <row r="20" spans="6:8" x14ac:dyDescent="0.25">
      <c r="F20">
        <f t="shared" si="2"/>
        <v>-0.50000000000000011</v>
      </c>
      <c r="G20" s="3">
        <f t="shared" si="0"/>
        <v>0.35206547545282352</v>
      </c>
      <c r="H20" s="3">
        <f t="shared" si="1"/>
        <v>0.35206532676429947</v>
      </c>
    </row>
    <row r="21" spans="6:8" x14ac:dyDescent="0.25">
      <c r="F21">
        <f t="shared" si="2"/>
        <v>-0.40000000000000013</v>
      </c>
      <c r="G21" s="3">
        <f t="shared" si="0"/>
        <v>0.3682702958356619</v>
      </c>
      <c r="H21" s="3">
        <f t="shared" si="1"/>
        <v>0.36827014030332333</v>
      </c>
    </row>
    <row r="22" spans="6:8" x14ac:dyDescent="0.25">
      <c r="F22">
        <f t="shared" si="2"/>
        <v>-0.30000000000000016</v>
      </c>
      <c r="G22" s="3">
        <f t="shared" si="0"/>
        <v>0.38138797653287931</v>
      </c>
      <c r="H22" s="3">
        <f t="shared" si="1"/>
        <v>0.38138781546052408</v>
      </c>
    </row>
    <row r="23" spans="6:8" x14ac:dyDescent="0.25">
      <c r="F23">
        <f t="shared" si="2"/>
        <v>-0.20000000000000015</v>
      </c>
      <c r="G23" s="3">
        <f t="shared" si="0"/>
        <v>0.39104285912537717</v>
      </c>
      <c r="H23" s="3">
        <f t="shared" si="1"/>
        <v>0.39104269397545588</v>
      </c>
    </row>
    <row r="24" spans="6:8" x14ac:dyDescent="0.25">
      <c r="F24">
        <f t="shared" si="2"/>
        <v>-0.10000000000000014</v>
      </c>
      <c r="G24" s="3">
        <f t="shared" si="0"/>
        <v>0.39695271512285452</v>
      </c>
      <c r="H24" s="3">
        <f t="shared" si="1"/>
        <v>0.39695254747701181</v>
      </c>
    </row>
    <row r="25" spans="6:8" x14ac:dyDescent="0.25">
      <c r="F25" s="1">
        <f>F24+0.1</f>
        <v>-1.3877787807814457E-16</v>
      </c>
      <c r="G25" s="3">
        <f t="shared" si="0"/>
        <v>0.39894244888760372</v>
      </c>
      <c r="H25" s="3">
        <f t="shared" si="1"/>
        <v>0.3989422804014327</v>
      </c>
    </row>
    <row r="26" spans="6:8" x14ac:dyDescent="0.25">
      <c r="F26">
        <f t="shared" si="2"/>
        <v>9.9999999999999867E-2</v>
      </c>
      <c r="G26" s="3">
        <f t="shared" si="0"/>
        <v>0.39695271512285452</v>
      </c>
      <c r="H26" s="3">
        <f t="shared" si="1"/>
        <v>0.39695254747701181</v>
      </c>
    </row>
    <row r="27" spans="6:8" x14ac:dyDescent="0.25">
      <c r="F27">
        <f t="shared" si="2"/>
        <v>0.19999999999999987</v>
      </c>
      <c r="G27" s="3">
        <f t="shared" si="0"/>
        <v>0.39104285912537723</v>
      </c>
      <c r="H27" s="3">
        <f t="shared" si="1"/>
        <v>0.39104269397545594</v>
      </c>
    </row>
    <row r="28" spans="6:8" x14ac:dyDescent="0.25">
      <c r="F28">
        <f t="shared" si="2"/>
        <v>0.29999999999999988</v>
      </c>
      <c r="G28" s="3">
        <f t="shared" si="0"/>
        <v>0.38138797653287937</v>
      </c>
      <c r="H28" s="3">
        <f t="shared" si="1"/>
        <v>0.38138781546052414</v>
      </c>
    </row>
    <row r="29" spans="6:8" x14ac:dyDescent="0.25">
      <c r="F29">
        <f t="shared" ref="F29:F37" si="3">F28+0.1</f>
        <v>0.39999999999999991</v>
      </c>
      <c r="G29" s="3">
        <f t="shared" si="0"/>
        <v>0.36827029583566195</v>
      </c>
      <c r="H29" s="3">
        <f t="shared" si="1"/>
        <v>0.36827014030332339</v>
      </c>
    </row>
    <row r="30" spans="6:8" x14ac:dyDescent="0.25">
      <c r="F30">
        <f t="shared" si="3"/>
        <v>0.49999999999999989</v>
      </c>
      <c r="G30" s="3">
        <f t="shared" si="0"/>
        <v>0.35206547545282357</v>
      </c>
      <c r="H30" s="3">
        <f t="shared" si="1"/>
        <v>0.35206532676429952</v>
      </c>
    </row>
    <row r="31" spans="6:8" x14ac:dyDescent="0.25">
      <c r="F31">
        <f t="shared" si="3"/>
        <v>0.59999999999999987</v>
      </c>
      <c r="G31" s="3">
        <f t="shared" si="0"/>
        <v>0.33322474362327936</v>
      </c>
      <c r="H31" s="3">
        <f t="shared" si="1"/>
        <v>0.33322460289179967</v>
      </c>
    </row>
    <row r="32" spans="6:8" x14ac:dyDescent="0.25">
      <c r="F32">
        <f t="shared" si="3"/>
        <v>0.69999999999999984</v>
      </c>
      <c r="G32" s="3">
        <f t="shared" si="0"/>
        <v>0.312254065241652</v>
      </c>
      <c r="H32" s="3">
        <f t="shared" si="1"/>
        <v>0.31225393336676133</v>
      </c>
    </row>
    <row r="33" spans="6:8" x14ac:dyDescent="0.25">
      <c r="F33">
        <f t="shared" si="3"/>
        <v>0.79999999999999982</v>
      </c>
      <c r="G33" s="3">
        <f t="shared" si="0"/>
        <v>0.28969167510755367</v>
      </c>
      <c r="H33" s="3">
        <f t="shared" si="1"/>
        <v>0.28969155276148278</v>
      </c>
    </row>
    <row r="34" spans="6:8" x14ac:dyDescent="0.25">
      <c r="F34">
        <f t="shared" si="3"/>
        <v>0.8999999999999998</v>
      </c>
      <c r="G34" s="3">
        <f t="shared" si="0"/>
        <v>0.26608536227512392</v>
      </c>
      <c r="H34" s="3">
        <f t="shared" si="1"/>
        <v>0.26608524989875487</v>
      </c>
    </row>
    <row r="35" spans="6:8" x14ac:dyDescent="0.25">
      <c r="F35">
        <f t="shared" si="3"/>
        <v>0.99999999999999978</v>
      </c>
      <c r="G35" s="3">
        <f t="shared" si="0"/>
        <v>0.24197082671117187</v>
      </c>
      <c r="H35" s="3">
        <f t="shared" si="1"/>
        <v>0.24197072451914342</v>
      </c>
    </row>
    <row r="36" spans="6:8" x14ac:dyDescent="0.25">
      <c r="F36">
        <f t="shared" si="3"/>
        <v>1.0999999999999999</v>
      </c>
      <c r="G36" s="3">
        <f t="shared" si="0"/>
        <v>0.21785226903853983</v>
      </c>
      <c r="H36" s="3">
        <f t="shared" si="1"/>
        <v>0.21785217703255058</v>
      </c>
    </row>
    <row r="37" spans="6:8" x14ac:dyDescent="0.25">
      <c r="F37">
        <f t="shared" si="3"/>
        <v>1.2</v>
      </c>
      <c r="G37" s="3">
        <f t="shared" si="0"/>
        <v>0.19418613699423681</v>
      </c>
      <c r="H37" s="3">
        <f t="shared" si="1"/>
        <v>0.19418605498321295</v>
      </c>
    </row>
    <row r="38" spans="6:8" x14ac:dyDescent="0.25">
      <c r="F38">
        <v>1.5</v>
      </c>
      <c r="G38" s="3">
        <f t="shared" si="0"/>
        <v>0.12951765036534288</v>
      </c>
      <c r="H38" s="3">
        <f t="shared" si="1"/>
        <v>0.12951759566589174</v>
      </c>
    </row>
    <row r="39" spans="6:8" x14ac:dyDescent="0.25">
      <c r="F39">
        <v>2</v>
      </c>
      <c r="G39" s="3">
        <f t="shared" si="0"/>
        <v>5.3990989315311738E-2</v>
      </c>
      <c r="H39" s="3">
        <f t="shared" si="1"/>
        <v>5.3990966513188063E-2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D7ED-5D03-4F55-AC9B-DA61C8B36ECC}">
  <dimension ref="A1:I31"/>
  <sheetViews>
    <sheetView zoomScale="85" zoomScaleNormal="85" workbookViewId="0">
      <selection activeCell="E15" sqref="E15"/>
    </sheetView>
  </sheetViews>
  <sheetFormatPr defaultRowHeight="15" x14ac:dyDescent="0.25"/>
  <cols>
    <col min="4" max="4" width="16.28515625" customWidth="1"/>
    <col min="5" max="5" width="14" customWidth="1"/>
    <col min="6" max="6" width="17.42578125" customWidth="1"/>
    <col min="9" max="9" width="12" bestFit="1" customWidth="1"/>
  </cols>
  <sheetData>
    <row r="1" spans="1:9" x14ac:dyDescent="0.25">
      <c r="H1" t="s">
        <v>33</v>
      </c>
      <c r="I1" t="s">
        <v>47</v>
      </c>
    </row>
    <row r="2" spans="1:9" x14ac:dyDescent="0.25">
      <c r="A2" t="s">
        <v>43</v>
      </c>
      <c r="B2">
        <v>5000</v>
      </c>
      <c r="H2">
        <v>20000</v>
      </c>
      <c r="I2" s="9">
        <f>_xlfn.NORM.DIST(H2,$B$3,$B$2,FALSE)</f>
        <v>3.4451378781073624E-7</v>
      </c>
    </row>
    <row r="3" spans="1:9" x14ac:dyDescent="0.25">
      <c r="A3" t="s">
        <v>44</v>
      </c>
      <c r="B3" s="15">
        <v>36500</v>
      </c>
      <c r="H3">
        <v>22500</v>
      </c>
      <c r="I3" s="9">
        <f t="shared" ref="I3:I27" si="0">_xlfn.NORM.DIST(H3,$B$3,$B$2,FALSE)</f>
        <v>1.5830903165959935E-6</v>
      </c>
    </row>
    <row r="4" spans="1:9" x14ac:dyDescent="0.25">
      <c r="H4">
        <v>25000</v>
      </c>
      <c r="I4" s="9">
        <f t="shared" si="0"/>
        <v>5.6654075483202376E-6</v>
      </c>
    </row>
    <row r="5" spans="1:9" x14ac:dyDescent="0.25">
      <c r="H5">
        <f>H4+1000</f>
        <v>26000</v>
      </c>
      <c r="I5" s="9">
        <f t="shared" si="0"/>
        <v>8.7967191960854374E-6</v>
      </c>
    </row>
    <row r="6" spans="1:9" x14ac:dyDescent="0.25">
      <c r="H6">
        <f t="shared" ref="H6:H28" si="1">H5+1000</f>
        <v>27000</v>
      </c>
      <c r="I6" s="9">
        <f t="shared" si="0"/>
        <v>1.312316295493532E-5</v>
      </c>
    </row>
    <row r="7" spans="1:9" x14ac:dyDescent="0.25">
      <c r="H7">
        <f t="shared" si="1"/>
        <v>28000</v>
      </c>
      <c r="I7" s="9">
        <f t="shared" si="0"/>
        <v>1.8809815475377392E-5</v>
      </c>
    </row>
    <row r="8" spans="1:9" x14ac:dyDescent="0.25">
      <c r="H8">
        <f t="shared" si="1"/>
        <v>29000</v>
      </c>
      <c r="I8" s="9">
        <f t="shared" si="0"/>
        <v>2.5903519133178345E-5</v>
      </c>
    </row>
    <row r="9" spans="1:9" x14ac:dyDescent="0.25">
      <c r="H9">
        <f t="shared" si="1"/>
        <v>30000</v>
      </c>
      <c r="I9" s="9">
        <f t="shared" si="0"/>
        <v>3.427371840956147E-5</v>
      </c>
    </row>
    <row r="10" spans="1:9" x14ac:dyDescent="0.25">
      <c r="H10">
        <f t="shared" si="1"/>
        <v>31000</v>
      </c>
      <c r="I10" s="9">
        <f t="shared" si="0"/>
        <v>4.3570435406510113E-5</v>
      </c>
    </row>
    <row r="11" spans="1:9" x14ac:dyDescent="0.25">
      <c r="H11">
        <f t="shared" si="1"/>
        <v>32000</v>
      </c>
      <c r="I11" s="9">
        <f t="shared" si="0"/>
        <v>5.3217049979750972E-5</v>
      </c>
    </row>
    <row r="12" spans="1:9" x14ac:dyDescent="0.25">
      <c r="H12">
        <f t="shared" si="1"/>
        <v>33000</v>
      </c>
      <c r="I12" s="9">
        <f t="shared" si="0"/>
        <v>6.245078667335226E-5</v>
      </c>
    </row>
    <row r="13" spans="1:9" x14ac:dyDescent="0.25">
      <c r="D13" s="10" t="s">
        <v>45</v>
      </c>
      <c r="E13" s="10" t="s">
        <v>2</v>
      </c>
      <c r="F13" s="10" t="s">
        <v>47</v>
      </c>
      <c r="H13">
        <f t="shared" si="1"/>
        <v>34000</v>
      </c>
      <c r="I13" s="9">
        <f t="shared" si="0"/>
        <v>7.0413065352859902E-5</v>
      </c>
    </row>
    <row r="14" spans="1:9" x14ac:dyDescent="0.25">
      <c r="D14" t="s">
        <v>48</v>
      </c>
      <c r="E14">
        <f>_xlfn.NORM.DIST(40000,B3,B2,TRUE)</f>
        <v>0.75803634777692697</v>
      </c>
      <c r="F14" s="9">
        <f>_xlfn.NORM.DIST(40000,B3,B2,FALSE)</f>
        <v>6.245078667335226E-5</v>
      </c>
      <c r="H14">
        <f t="shared" si="1"/>
        <v>35000</v>
      </c>
      <c r="I14" s="9">
        <f t="shared" si="0"/>
        <v>7.6277563092104833E-5</v>
      </c>
    </row>
    <row r="15" spans="1:9" x14ac:dyDescent="0.25">
      <c r="D15" t="s">
        <v>46</v>
      </c>
      <c r="E15">
        <f>1-E14</f>
        <v>0.24196365222307303</v>
      </c>
      <c r="H15">
        <f t="shared" si="1"/>
        <v>36000</v>
      </c>
      <c r="I15" s="9">
        <f t="shared" si="0"/>
        <v>7.9390509495402354E-5</v>
      </c>
    </row>
    <row r="16" spans="1:9" x14ac:dyDescent="0.25">
      <c r="H16">
        <f t="shared" si="1"/>
        <v>37000</v>
      </c>
      <c r="I16" s="9">
        <f t="shared" si="0"/>
        <v>7.9390509495402354E-5</v>
      </c>
    </row>
    <row r="17" spans="4:9" x14ac:dyDescent="0.25">
      <c r="H17">
        <f t="shared" si="1"/>
        <v>38000</v>
      </c>
      <c r="I17" s="9">
        <f t="shared" si="0"/>
        <v>7.6277563092104833E-5</v>
      </c>
    </row>
    <row r="18" spans="4:9" x14ac:dyDescent="0.25">
      <c r="H18">
        <f t="shared" si="1"/>
        <v>39000</v>
      </c>
      <c r="I18" s="9">
        <f t="shared" si="0"/>
        <v>7.0413065352859902E-5</v>
      </c>
    </row>
    <row r="19" spans="4:9" x14ac:dyDescent="0.25">
      <c r="E19" t="s">
        <v>40</v>
      </c>
      <c r="H19">
        <f t="shared" si="1"/>
        <v>40000</v>
      </c>
      <c r="I19" s="9">
        <f t="shared" si="0"/>
        <v>6.245078667335226E-5</v>
      </c>
    </row>
    <row r="20" spans="4:9" x14ac:dyDescent="0.25">
      <c r="E20" t="s">
        <v>38</v>
      </c>
      <c r="H20">
        <f t="shared" si="1"/>
        <v>41000</v>
      </c>
      <c r="I20" s="9">
        <f t="shared" si="0"/>
        <v>5.3217049979750972E-5</v>
      </c>
    </row>
    <row r="21" spans="4:9" x14ac:dyDescent="0.25">
      <c r="H21">
        <f t="shared" si="1"/>
        <v>42000</v>
      </c>
      <c r="I21" s="9">
        <f t="shared" si="0"/>
        <v>4.3570435406510113E-5</v>
      </c>
    </row>
    <row r="22" spans="4:9" x14ac:dyDescent="0.25">
      <c r="D22" t="s">
        <v>49</v>
      </c>
      <c r="E22">
        <f>_xlfn.NORM.INV(0.1,B3,B2)</f>
        <v>30092.242172276998</v>
      </c>
      <c r="H22">
        <f t="shared" si="1"/>
        <v>43000</v>
      </c>
      <c r="I22" s="9">
        <f t="shared" si="0"/>
        <v>3.427371840956147E-5</v>
      </c>
    </row>
    <row r="23" spans="4:9" x14ac:dyDescent="0.25">
      <c r="H23">
        <f t="shared" si="1"/>
        <v>44000</v>
      </c>
      <c r="I23" s="9">
        <f t="shared" si="0"/>
        <v>2.5903519133178345E-5</v>
      </c>
    </row>
    <row r="24" spans="4:9" x14ac:dyDescent="0.25">
      <c r="H24">
        <f t="shared" si="1"/>
        <v>45000</v>
      </c>
      <c r="I24" s="9">
        <f t="shared" si="0"/>
        <v>1.8809815475377392E-5</v>
      </c>
    </row>
    <row r="25" spans="4:9" x14ac:dyDescent="0.25">
      <c r="H25">
        <f t="shared" si="1"/>
        <v>46000</v>
      </c>
      <c r="I25" s="9">
        <f t="shared" si="0"/>
        <v>1.312316295493532E-5</v>
      </c>
    </row>
    <row r="26" spans="4:9" x14ac:dyDescent="0.25">
      <c r="H26">
        <f t="shared" si="1"/>
        <v>47000</v>
      </c>
      <c r="I26" s="9">
        <f t="shared" si="0"/>
        <v>8.7967191960854374E-6</v>
      </c>
    </row>
    <row r="27" spans="4:9" x14ac:dyDescent="0.25">
      <c r="H27">
        <f t="shared" si="1"/>
        <v>48000</v>
      </c>
      <c r="I27" s="9">
        <f t="shared" si="0"/>
        <v>5.6654075483202376E-6</v>
      </c>
    </row>
    <row r="28" spans="4:9" x14ac:dyDescent="0.25">
      <c r="H28">
        <f t="shared" si="1"/>
        <v>49000</v>
      </c>
      <c r="I28" s="9">
        <f>_xlfn.NORM.DIST(H28,$B$3,$B$2,FALSE)</f>
        <v>3.5056600987137079E-6</v>
      </c>
    </row>
    <row r="29" spans="4:9" x14ac:dyDescent="0.25">
      <c r="H29">
        <v>53500</v>
      </c>
      <c r="I29" s="9">
        <f>_xlfn.NORM.DIST(H29,$B$3,$B$2,FALSE)</f>
        <v>2.4644383369460398E-7</v>
      </c>
    </row>
    <row r="30" spans="4:9" x14ac:dyDescent="0.25">
      <c r="H30">
        <v>54000</v>
      </c>
      <c r="I30" s="9">
        <f>_xlfn.NORM.DIST(H30,$B$3,$B$2,FALSE)</f>
        <v>1.7453653900915202E-7</v>
      </c>
    </row>
    <row r="31" spans="4:9" x14ac:dyDescent="0.25">
      <c r="I31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F1F2-37A9-4D21-BFEB-B6271AC8963E}">
  <dimension ref="A1:I6"/>
  <sheetViews>
    <sheetView workbookViewId="0">
      <selection activeCell="G2" sqref="G2"/>
    </sheetView>
  </sheetViews>
  <sheetFormatPr defaultRowHeight="15" x14ac:dyDescent="0.25"/>
  <cols>
    <col min="1" max="1" width="15" bestFit="1" customWidth="1"/>
    <col min="6" max="6" width="30.85546875" bestFit="1" customWidth="1"/>
    <col min="7" max="7" width="23.42578125" customWidth="1"/>
    <col min="8" max="8" width="16.42578125" customWidth="1"/>
  </cols>
  <sheetData>
    <row r="1" spans="1:9" x14ac:dyDescent="0.25">
      <c r="A1" t="s">
        <v>26</v>
      </c>
      <c r="B1">
        <v>0.1</v>
      </c>
      <c r="D1" t="s">
        <v>23</v>
      </c>
      <c r="E1" t="s">
        <v>24</v>
      </c>
      <c r="F1" t="s">
        <v>28</v>
      </c>
      <c r="G1" t="s">
        <v>27</v>
      </c>
    </row>
    <row r="2" spans="1:9" x14ac:dyDescent="0.25">
      <c r="A2" t="s">
        <v>20</v>
      </c>
      <c r="B2">
        <v>100</v>
      </c>
      <c r="D2">
        <v>12.5</v>
      </c>
      <c r="E2" s="1">
        <f>(D2-$B$4)/$B$6</f>
        <v>0.83333333333333337</v>
      </c>
      <c r="F2" s="1">
        <f>ROUND(E2,2)</f>
        <v>0.83</v>
      </c>
      <c r="G2" s="3">
        <f>_xlfn.NORM.S.DIST(F2,TRUE)</f>
        <v>0.79673060817193153</v>
      </c>
      <c r="H2" t="s">
        <v>25</v>
      </c>
      <c r="I2" s="2">
        <f>G2-G3</f>
        <v>0.10526814689791841</v>
      </c>
    </row>
    <row r="3" spans="1:9" x14ac:dyDescent="0.25">
      <c r="D3">
        <v>11.5</v>
      </c>
      <c r="E3" s="1">
        <f>(D3-$B$4)/$B$6</f>
        <v>0.5</v>
      </c>
      <c r="F3" s="1">
        <f>ROUND(E3,2)</f>
        <v>0.5</v>
      </c>
      <c r="G3" s="3">
        <f>_xlfn.NORM.S.DIST(F3,TRUE)</f>
        <v>0.69146246127401312</v>
      </c>
    </row>
    <row r="4" spans="1:9" x14ac:dyDescent="0.25">
      <c r="A4" t="s">
        <v>21</v>
      </c>
      <c r="B4">
        <f>B2*B1</f>
        <v>10</v>
      </c>
    </row>
    <row r="5" spans="1:9" x14ac:dyDescent="0.25">
      <c r="A5" t="s">
        <v>22</v>
      </c>
      <c r="B5">
        <f>B4*(1-B1)</f>
        <v>9</v>
      </c>
    </row>
    <row r="6" spans="1:9" x14ac:dyDescent="0.25">
      <c r="A6" t="s">
        <v>6</v>
      </c>
      <c r="B6">
        <f>SQRT(B5)</f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E22-8FD1-4379-85DA-0BE473E8F959}">
  <dimension ref="A1:F37"/>
  <sheetViews>
    <sheetView workbookViewId="0">
      <selection activeCell="E4" sqref="E4"/>
    </sheetView>
  </sheetViews>
  <sheetFormatPr defaultRowHeight="15" x14ac:dyDescent="0.25"/>
  <cols>
    <col min="1" max="1" width="16" customWidth="1"/>
    <col min="2" max="2" width="13.42578125" bestFit="1" customWidth="1"/>
    <col min="5" max="5" width="19.85546875" customWidth="1"/>
    <col min="6" max="6" width="19.7109375" customWidth="1"/>
  </cols>
  <sheetData>
    <row r="1" spans="1:6" x14ac:dyDescent="0.25">
      <c r="A1" t="s">
        <v>29</v>
      </c>
      <c r="B1">
        <v>15</v>
      </c>
      <c r="E1" t="s">
        <v>2</v>
      </c>
      <c r="F1" t="s">
        <v>2</v>
      </c>
    </row>
    <row r="2" spans="1:6" x14ac:dyDescent="0.25">
      <c r="A2" t="s">
        <v>30</v>
      </c>
      <c r="B2">
        <f>1/B1</f>
        <v>6.6666666666666666E-2</v>
      </c>
      <c r="D2" t="s">
        <v>36</v>
      </c>
      <c r="E2" t="s">
        <v>52</v>
      </c>
      <c r="F2" t="s">
        <v>32</v>
      </c>
    </row>
    <row r="3" spans="1:6" x14ac:dyDescent="0.25">
      <c r="A3" t="s">
        <v>37</v>
      </c>
      <c r="B3">
        <f>B1</f>
        <v>15</v>
      </c>
      <c r="D3" t="s">
        <v>31</v>
      </c>
      <c r="E3" s="3">
        <f>_xlfn.EXPON.DIST(6,B2,TRUE)</f>
        <v>0.32967995396436073</v>
      </c>
      <c r="F3">
        <f>1-EXP(-6/B1)</f>
        <v>0.32967995396436067</v>
      </c>
    </row>
    <row r="4" spans="1:6" x14ac:dyDescent="0.25">
      <c r="A4" t="s">
        <v>22</v>
      </c>
      <c r="B4">
        <f>B3^2</f>
        <v>225</v>
      </c>
    </row>
    <row r="6" spans="1:6" x14ac:dyDescent="0.25">
      <c r="A6" s="10" t="s">
        <v>34</v>
      </c>
      <c r="B6" s="13" t="s">
        <v>35</v>
      </c>
    </row>
    <row r="7" spans="1:6" x14ac:dyDescent="0.25">
      <c r="A7">
        <v>0</v>
      </c>
      <c r="B7" s="12">
        <f>(1/$B$1)*EXP(-A7/$B$1)</f>
        <v>6.6666666666666666E-2</v>
      </c>
    </row>
    <row r="8" spans="1:6" x14ac:dyDescent="0.25">
      <c r="A8">
        <v>1</v>
      </c>
      <c r="B8" s="12">
        <f t="shared" ref="B8:B37" si="0">(1/$B$1)*EXP(-A8/$B$1)</f>
        <v>6.2367132335441187E-2</v>
      </c>
    </row>
    <row r="9" spans="1:6" x14ac:dyDescent="0.25">
      <c r="A9">
        <v>2</v>
      </c>
      <c r="B9" s="12">
        <f t="shared" si="0"/>
        <v>5.83448879361965E-2</v>
      </c>
    </row>
    <row r="10" spans="1:6" x14ac:dyDescent="0.25">
      <c r="A10">
        <v>3</v>
      </c>
      <c r="B10" s="12">
        <f t="shared" si="0"/>
        <v>5.4582050205198789E-2</v>
      </c>
    </row>
    <row r="11" spans="1:6" x14ac:dyDescent="0.25">
      <c r="A11">
        <v>4</v>
      </c>
      <c r="B11" s="12">
        <f t="shared" si="0"/>
        <v>5.106188922430991E-2</v>
      </c>
    </row>
    <row r="12" spans="1:6" x14ac:dyDescent="0.25">
      <c r="A12">
        <v>5</v>
      </c>
      <c r="B12" s="12">
        <f t="shared" si="0"/>
        <v>4.776875403825262E-2</v>
      </c>
    </row>
    <row r="13" spans="1:6" x14ac:dyDescent="0.25">
      <c r="A13">
        <v>6</v>
      </c>
      <c r="B13" s="12">
        <f>(1/$B$1)*EXP(-A13/$B$1)</f>
        <v>4.4688003069042623E-2</v>
      </c>
    </row>
    <row r="14" spans="1:6" x14ac:dyDescent="0.25">
      <c r="A14">
        <v>7</v>
      </c>
      <c r="B14" s="12">
        <f t="shared" si="0"/>
        <v>4.1805939018203737E-2</v>
      </c>
    </row>
    <row r="15" spans="1:6" x14ac:dyDescent="0.25">
      <c r="A15">
        <v>8</v>
      </c>
      <c r="B15" s="12">
        <f t="shared" si="0"/>
        <v>3.9109747967335455E-2</v>
      </c>
    </row>
    <row r="16" spans="1:6" x14ac:dyDescent="0.25">
      <c r="A16">
        <v>9</v>
      </c>
      <c r="B16" s="12">
        <f t="shared" si="0"/>
        <v>3.6587442406268426E-2</v>
      </c>
    </row>
    <row r="17" spans="1:2" x14ac:dyDescent="0.25">
      <c r="A17">
        <v>10</v>
      </c>
      <c r="B17" s="12">
        <f t="shared" si="0"/>
        <v>3.4227807935506137E-2</v>
      </c>
    </row>
    <row r="18" spans="1:2" x14ac:dyDescent="0.25">
      <c r="A18">
        <v>11</v>
      </c>
      <c r="B18" s="12">
        <f t="shared" si="0"/>
        <v>3.2020353405986628E-2</v>
      </c>
    </row>
    <row r="19" spans="1:2" x14ac:dyDescent="0.25">
      <c r="A19">
        <v>12</v>
      </c>
      <c r="B19" s="12">
        <f t="shared" si="0"/>
        <v>2.9955264274481436E-2</v>
      </c>
    </row>
    <row r="20" spans="1:2" x14ac:dyDescent="0.25">
      <c r="A20">
        <v>13</v>
      </c>
      <c r="B20" s="12">
        <f t="shared" si="0"/>
        <v>2.8023358967245459E-2</v>
      </c>
    </row>
    <row r="21" spans="1:2" x14ac:dyDescent="0.25">
      <c r="A21">
        <v>14</v>
      </c>
      <c r="B21" s="12">
        <f t="shared" si="0"/>
        <v>2.621604805790655E-2</v>
      </c>
    </row>
    <row r="22" spans="1:2" x14ac:dyDescent="0.25">
      <c r="A22">
        <v>15</v>
      </c>
      <c r="B22" s="12">
        <f t="shared" si="0"/>
        <v>2.4525296078096157E-2</v>
      </c>
    </row>
    <row r="23" spans="1:2" x14ac:dyDescent="0.25">
      <c r="A23">
        <v>16</v>
      </c>
      <c r="B23" s="12">
        <f t="shared" si="0"/>
        <v>2.2943585791027492E-2</v>
      </c>
    </row>
    <row r="24" spans="1:2" x14ac:dyDescent="0.25">
      <c r="A24">
        <v>17</v>
      </c>
      <c r="B24" s="12">
        <f t="shared" si="0"/>
        <v>2.1463884769178394E-2</v>
      </c>
    </row>
    <row r="25" spans="1:2" x14ac:dyDescent="0.25">
      <c r="A25">
        <v>18</v>
      </c>
      <c r="B25" s="12">
        <f t="shared" si="0"/>
        <v>2.0079614127480144E-2</v>
      </c>
    </row>
    <row r="26" spans="1:2" x14ac:dyDescent="0.25">
      <c r="A26">
        <v>19</v>
      </c>
      <c r="B26" s="12">
        <f t="shared" si="0"/>
        <v>1.8784619272997224E-2</v>
      </c>
    </row>
    <row r="27" spans="1:2" x14ac:dyDescent="0.25">
      <c r="A27">
        <v>20</v>
      </c>
      <c r="B27" s="12">
        <f t="shared" si="0"/>
        <v>1.7573142541048452E-2</v>
      </c>
    </row>
    <row r="28" spans="1:2" x14ac:dyDescent="0.25">
      <c r="A28">
        <v>21</v>
      </c>
      <c r="B28" s="12">
        <f t="shared" si="0"/>
        <v>1.64397975961071E-2</v>
      </c>
    </row>
    <row r="29" spans="1:2" x14ac:dyDescent="0.25">
      <c r="A29">
        <v>22</v>
      </c>
      <c r="B29" s="12">
        <f t="shared" si="0"/>
        <v>1.537954548366419E-2</v>
      </c>
    </row>
    <row r="30" spans="1:2" x14ac:dyDescent="0.25">
      <c r="A30">
        <v>23</v>
      </c>
      <c r="B30" s="12">
        <f t="shared" si="0"/>
        <v>1.4387672226579315E-2</v>
      </c>
    </row>
    <row r="31" spans="1:2" x14ac:dyDescent="0.25">
      <c r="A31">
        <v>24</v>
      </c>
      <c r="B31" s="12">
        <f t="shared" si="0"/>
        <v>1.3459767866310359E-2</v>
      </c>
    </row>
    <row r="32" spans="1:2" x14ac:dyDescent="0.25">
      <c r="A32">
        <v>25</v>
      </c>
      <c r="B32" s="12">
        <f t="shared" si="0"/>
        <v>1.2591706855837456E-2</v>
      </c>
    </row>
    <row r="33" spans="1:2" x14ac:dyDescent="0.25">
      <c r="A33">
        <v>26</v>
      </c>
      <c r="B33" s="12">
        <f t="shared" si="0"/>
        <v>1.1779629717106449E-2</v>
      </c>
    </row>
    <row r="34" spans="1:2" x14ac:dyDescent="0.25">
      <c r="A34">
        <v>27</v>
      </c>
      <c r="B34" s="12">
        <f t="shared" si="0"/>
        <v>1.1019925881439102E-2</v>
      </c>
    </row>
    <row r="35" spans="1:2" x14ac:dyDescent="0.25">
      <c r="A35">
        <v>28</v>
      </c>
      <c r="B35" s="12">
        <f t="shared" si="0"/>
        <v>1.0309217636616987E-2</v>
      </c>
    </row>
    <row r="36" spans="1:2" x14ac:dyDescent="0.25">
      <c r="A36">
        <v>29</v>
      </c>
      <c r="B36" s="12">
        <f t="shared" si="0"/>
        <v>9.6443451092663376E-3</v>
      </c>
    </row>
    <row r="37" spans="1:2" x14ac:dyDescent="0.25">
      <c r="A37">
        <v>30</v>
      </c>
      <c r="B37" s="12">
        <f t="shared" si="0"/>
        <v>9.0223522157741806E-3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6.1 Uniform</vt:lpstr>
      <vt:lpstr>6.2 standard normal distribut.</vt:lpstr>
      <vt:lpstr>6.2 Normal Distribution</vt:lpstr>
      <vt:lpstr>normal approximation for binomi</vt:lpstr>
      <vt:lpstr> 6.4 Exponential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2025-08-12T20:22:36Z</dcterms:created>
  <dcterms:modified xsi:type="dcterms:W3CDTF">2025-08-26T23:39:55Z</dcterms:modified>
</cp:coreProperties>
</file>