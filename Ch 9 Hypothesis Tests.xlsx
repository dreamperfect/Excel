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D3A0DF0F-851B-43B9-81D5-8B8E1E1B26CF}" xr6:coauthVersionLast="47" xr6:coauthVersionMax="47" xr10:uidLastSave="{00000000-0000-0000-0000-000000000000}"/>
  <bookViews>
    <workbookView xWindow="-120" yWindow="-120" windowWidth="20730" windowHeight="11040" firstSheet="1" activeTab="1" xr2:uid="{1608F12B-14FA-4B2D-905D-B5242AD34B10}"/>
  </bookViews>
  <sheets>
    <sheet name="pop mean, stdev known low tail" sheetId="1" r:id="rId1"/>
    <sheet name="pop mean, stdev known upp. tail" sheetId="3" r:id="rId2"/>
    <sheet name="pop mean, stdev known 2 tail" sheetId="4" r:id="rId3"/>
    <sheet name="pop mean stdev unknown upp tail" sheetId="5" r:id="rId4"/>
    <sheet name="pop mean stdev unknown low tail" sheetId="6" r:id="rId5"/>
    <sheet name="pop mean stdev unknown 2 tail" sheetId="7" r:id="rId6"/>
    <sheet name="9.5 Pop proportion lower ta" sheetId="10" r:id="rId7"/>
    <sheet name="9.5 Pop proportion upper tail" sheetId="9" r:id="rId8"/>
    <sheet name="9.5 Pop proportion 2 tail" sheetId="12" r:id="rId9"/>
    <sheet name="9.7 type 2 error" sheetId="11" r:id="rId10"/>
    <sheet name="9.8 sample size 4 1 tail hypoth" sheetId="13" r:id="rId11"/>
    <sheet name="9.8 sample size 4 2 tail hypoth" sheetId="15" r:id="rId12"/>
    <sheet name="Sheet14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7" i="3" s="1"/>
  <c r="G3" i="4"/>
  <c r="H4" i="12"/>
  <c r="H4" i="9"/>
  <c r="G3" i="1"/>
  <c r="F3" i="1"/>
  <c r="F7" i="15"/>
  <c r="F6" i="15"/>
  <c r="G10" i="15"/>
  <c r="G9" i="15"/>
  <c r="F7" i="13"/>
  <c r="F6" i="13"/>
  <c r="C13" i="13" s="1"/>
  <c r="C14" i="13" s="1"/>
  <c r="G10" i="13"/>
  <c r="G9" i="13"/>
  <c r="O7" i="11"/>
  <c r="N10" i="11"/>
  <c r="N9" i="11"/>
  <c r="L5" i="11"/>
  <c r="N5" i="11" s="1"/>
  <c r="O5" i="11" s="1"/>
  <c r="J13" i="11"/>
  <c r="E6" i="11"/>
  <c r="E4" i="11" s="1"/>
  <c r="B13" i="11"/>
  <c r="F10" i="11"/>
  <c r="F9" i="11"/>
  <c r="G9" i="12"/>
  <c r="G8" i="12"/>
  <c r="G8" i="10"/>
  <c r="G7" i="10"/>
  <c r="D16" i="12"/>
  <c r="D15" i="12"/>
  <c r="D14" i="12"/>
  <c r="D5" i="12"/>
  <c r="G4" i="12" s="1"/>
  <c r="F4" i="12"/>
  <c r="G8" i="9"/>
  <c r="G7" i="9"/>
  <c r="H4" i="10"/>
  <c r="D16" i="10"/>
  <c r="D15" i="10"/>
  <c r="D14" i="10"/>
  <c r="D5" i="10"/>
  <c r="F4" i="10" s="1"/>
  <c r="G4" i="10"/>
  <c r="H8" i="9"/>
  <c r="H7" i="9"/>
  <c r="G4" i="9"/>
  <c r="D15" i="9"/>
  <c r="F4" i="9"/>
  <c r="D14" i="9"/>
  <c r="D5" i="9"/>
  <c r="D16" i="9"/>
  <c r="I8" i="7"/>
  <c r="D12" i="7"/>
  <c r="G4" i="7" s="1"/>
  <c r="I4" i="7" s="1"/>
  <c r="I7" i="7" s="1"/>
  <c r="H10" i="7"/>
  <c r="H8" i="7"/>
  <c r="H7" i="7"/>
  <c r="F4" i="7"/>
  <c r="F4" i="6"/>
  <c r="H10" i="6"/>
  <c r="D12" i="6"/>
  <c r="G4" i="6"/>
  <c r="I4" i="6" s="1"/>
  <c r="I7" i="6" s="1"/>
  <c r="H8" i="6"/>
  <c r="H7" i="6"/>
  <c r="D11" i="5"/>
  <c r="D10" i="5"/>
  <c r="G3" i="5"/>
  <c r="I3" i="5" s="1"/>
  <c r="I8" i="5" s="1"/>
  <c r="D12" i="5"/>
  <c r="H10" i="5"/>
  <c r="K11" i="4"/>
  <c r="F10" i="4"/>
  <c r="F3" i="5"/>
  <c r="F3" i="4"/>
  <c r="D3" i="4"/>
  <c r="K3" i="3"/>
  <c r="L3" i="3" s="1"/>
  <c r="M8" i="3" s="1"/>
  <c r="L6" i="3"/>
  <c r="M9" i="1"/>
  <c r="M8" i="1"/>
  <c r="L9" i="3"/>
  <c r="L8" i="3"/>
  <c r="K6" i="3"/>
  <c r="J6" i="3"/>
  <c r="B11" i="1"/>
  <c r="B11" i="3"/>
  <c r="D13" i="7"/>
  <c r="H8" i="5"/>
  <c r="H7" i="5"/>
  <c r="D14" i="7"/>
  <c r="F3" i="3"/>
  <c r="D14" i="6"/>
  <c r="D13" i="6"/>
  <c r="M3" i="4"/>
  <c r="K3" i="4"/>
  <c r="M8" i="4" s="1"/>
  <c r="J6" i="1"/>
  <c r="J6" i="4"/>
  <c r="K3" i="1"/>
  <c r="D3" i="1"/>
  <c r="D3" i="3"/>
  <c r="B11" i="4"/>
  <c r="L9" i="4"/>
  <c r="L8" i="4"/>
  <c r="F8" i="4"/>
  <c r="F7" i="4"/>
  <c r="K6" i="4"/>
  <c r="F8" i="3"/>
  <c r="F7" i="3"/>
  <c r="L9" i="1"/>
  <c r="L8" i="1"/>
  <c r="K6" i="1"/>
  <c r="F8" i="1"/>
  <c r="F7" i="1"/>
  <c r="G8" i="3" l="1"/>
  <c r="C13" i="15"/>
  <c r="C14" i="15" s="1"/>
  <c r="O10" i="11"/>
  <c r="O9" i="11"/>
  <c r="G8" i="1"/>
  <c r="G7" i="1"/>
  <c r="H9" i="12"/>
  <c r="H8" i="12"/>
  <c r="H7" i="10"/>
  <c r="H8" i="10"/>
  <c r="I7" i="5"/>
  <c r="J3" i="5"/>
  <c r="I8" i="6"/>
  <c r="M9" i="4"/>
  <c r="M9" i="3"/>
  <c r="G7" i="4" l="1"/>
  <c r="G8" i="4"/>
</calcChain>
</file>

<file path=xl/sharedStrings.xml><?xml version="1.0" encoding="utf-8"?>
<sst xmlns="http://schemas.openxmlformats.org/spreadsheetml/2006/main" count="207" uniqueCount="70">
  <si>
    <t>Sample size n</t>
  </si>
  <si>
    <t>hypothesized population mean uo</t>
  </si>
  <si>
    <r>
      <t>sample mean x</t>
    </r>
    <r>
      <rPr>
        <sz val="11"/>
        <color theme="1"/>
        <rFont val="Calibri"/>
        <family val="2"/>
      </rPr>
      <t>̅</t>
    </r>
  </si>
  <si>
    <t>Ho:</t>
  </si>
  <si>
    <t>Ha:</t>
  </si>
  <si>
    <t>Z =</t>
  </si>
  <si>
    <t>P (Z&lt;=Z value)</t>
  </si>
  <si>
    <t xml:space="preserve">population stdev </t>
  </si>
  <si>
    <t>a</t>
  </si>
  <si>
    <t>u&gt;=</t>
  </si>
  <si>
    <t>u&lt;</t>
  </si>
  <si>
    <t>Reject Ho if z&lt;=</t>
  </si>
  <si>
    <t>u&lt;=</t>
  </si>
  <si>
    <t>u&gt;</t>
  </si>
  <si>
    <t>u=</t>
  </si>
  <si>
    <t>u does not equal</t>
  </si>
  <si>
    <t>standard error</t>
  </si>
  <si>
    <t>standard error of sample mean x</t>
  </si>
  <si>
    <t>P (Z&gt;=Z value)  times 2</t>
  </si>
  <si>
    <t>or Z&gt;=</t>
  </si>
  <si>
    <t>sample size</t>
  </si>
  <si>
    <t>test statistic t</t>
  </si>
  <si>
    <t>degrees of freedom</t>
  </si>
  <si>
    <t>Ho: u=</t>
  </si>
  <si>
    <t>Ha: u does not equal</t>
  </si>
  <si>
    <t>Ho: u&lt;=</t>
  </si>
  <si>
    <t>Ha: u&gt;</t>
  </si>
  <si>
    <t>hypothesized pop mean value</t>
  </si>
  <si>
    <t>sample mean x̅</t>
  </si>
  <si>
    <t>sample stdev s</t>
  </si>
  <si>
    <t>positive Z</t>
  </si>
  <si>
    <t>Za</t>
  </si>
  <si>
    <t>Positive Za</t>
  </si>
  <si>
    <t>Reject Ho if z&gt;=</t>
  </si>
  <si>
    <r>
      <t>sample mean x</t>
    </r>
    <r>
      <rPr>
        <b/>
        <sz val="11"/>
        <color theme="1"/>
        <rFont val="Calibri"/>
        <family val="2"/>
      </rPr>
      <t>̅</t>
    </r>
  </si>
  <si>
    <t>Ho: u&gt;=</t>
  </si>
  <si>
    <t>Ha: u&lt;</t>
  </si>
  <si>
    <t>or</t>
  </si>
  <si>
    <t>p=2×P(t≥t value)</t>
  </si>
  <si>
    <t>p=P(t&lt;=t value)</t>
  </si>
  <si>
    <t>p=P(t ≥ t value)</t>
  </si>
  <si>
    <t>P(Z≥zobs​)</t>
  </si>
  <si>
    <r>
      <t>sample mean x</t>
    </r>
    <r>
      <rPr>
        <sz val="12"/>
        <color theme="1"/>
        <rFont val="Calibri"/>
        <family val="2"/>
      </rPr>
      <t>̅</t>
    </r>
  </si>
  <si>
    <r>
      <t>sample proportion p</t>
    </r>
    <r>
      <rPr>
        <sz val="11"/>
        <color theme="1"/>
        <rFont val="Calibri"/>
        <family val="2"/>
      </rPr>
      <t>̅</t>
    </r>
  </si>
  <si>
    <t>variable of interest (women)</t>
  </si>
  <si>
    <t>sample proportion p̅</t>
  </si>
  <si>
    <t>test statistic z</t>
  </si>
  <si>
    <t>p(z&gt;=z value)</t>
  </si>
  <si>
    <t>p(z&lt;=z value)</t>
  </si>
  <si>
    <t>hypothesized pop proportion po</t>
  </si>
  <si>
    <t>Ho: p&lt;=</t>
  </si>
  <si>
    <t>Ha: p&gt;</t>
  </si>
  <si>
    <t>Ho: p&gt;=</t>
  </si>
  <si>
    <t>Ho: p&lt;</t>
  </si>
  <si>
    <t>Ho: p=</t>
  </si>
  <si>
    <t>Ho: p does not equal</t>
  </si>
  <si>
    <t>Reject Ho if sample mean x̅&lt;=</t>
  </si>
  <si>
    <t>solve for</t>
  </si>
  <si>
    <t>Z (a)</t>
  </si>
  <si>
    <t xml:space="preserve">&gt;accept Ho if </t>
  </si>
  <si>
    <r>
      <rPr>
        <sz val="11"/>
        <color rgb="FF00B050"/>
        <rFont val="Aptos Narrow"/>
        <family val="2"/>
        <scheme val="minor"/>
      </rPr>
      <t>hypothesized</t>
    </r>
    <r>
      <rPr>
        <sz val="11"/>
        <color theme="1"/>
        <rFont val="Aptos Narrow"/>
        <family val="2"/>
        <scheme val="minor"/>
      </rPr>
      <t xml:space="preserve"> population mean </t>
    </r>
    <r>
      <rPr>
        <sz val="11"/>
        <color rgb="FF00B050"/>
        <rFont val="Aptos Narrow"/>
        <family val="2"/>
        <scheme val="minor"/>
      </rPr>
      <t>uo</t>
    </r>
  </si>
  <si>
    <t>Type 2 error probability B:</t>
  </si>
  <si>
    <r>
      <rPr>
        <sz val="11"/>
        <color rgb="FF00B050"/>
        <rFont val="Aptos Narrow"/>
        <family val="2"/>
        <scheme val="minor"/>
      </rPr>
      <t xml:space="preserve">Hypothesized Actual </t>
    </r>
    <r>
      <rPr>
        <sz val="11"/>
        <color theme="1"/>
        <rFont val="Aptos Narrow"/>
        <family val="2"/>
        <scheme val="minor"/>
      </rPr>
      <t xml:space="preserve">  population mean </t>
    </r>
    <r>
      <rPr>
        <sz val="11"/>
        <color rgb="FF00B050"/>
        <rFont val="Aptos Narrow"/>
        <family val="2"/>
        <scheme val="minor"/>
      </rPr>
      <t>u</t>
    </r>
  </si>
  <si>
    <t>B</t>
  </si>
  <si>
    <r>
      <rPr>
        <sz val="11"/>
        <color rgb="FF00B050"/>
        <rFont val="Aptos Narrow"/>
        <family val="2"/>
        <scheme val="minor"/>
      </rPr>
      <t>hypothesized</t>
    </r>
    <r>
      <rPr>
        <sz val="11"/>
        <color theme="1"/>
        <rFont val="Aptos Narrow"/>
        <family val="2"/>
        <scheme val="minor"/>
      </rPr>
      <t xml:space="preserve"> population mean in null hypothesis </t>
    </r>
    <r>
      <rPr>
        <sz val="11"/>
        <color rgb="FF00B050"/>
        <rFont val="Aptos Narrow"/>
        <family val="2"/>
        <scheme val="minor"/>
      </rPr>
      <t>uo</t>
    </r>
  </si>
  <si>
    <r>
      <t xml:space="preserve">hypothesized population mean for the Type 2 error </t>
    </r>
    <r>
      <rPr>
        <sz val="11"/>
        <color rgb="FF00B050"/>
        <rFont val="Aptos Narrow"/>
        <family val="2"/>
        <scheme val="minor"/>
      </rPr>
      <t>ua</t>
    </r>
  </si>
  <si>
    <t>ABS(Z (a))</t>
  </si>
  <si>
    <t>ABS(Z(b))</t>
  </si>
  <si>
    <t>Rounded n</t>
  </si>
  <si>
    <t>u does not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</si>
</sst>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.00000"/>
    <numFmt numFmtId="167" formatCode="0.0000"/>
    <numFmt numFmtId="168" formatCode="0.000"/>
    <numFmt numFmtId="170" formatCode="0.00000000000000"/>
    <numFmt numFmtId="172" formatCode="0.00000000000"/>
    <numFmt numFmtId="175" formatCode="0.0000000000000"/>
  </numFmts>
  <fonts count="1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theme="3" tint="0.499984740745262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rgb="FF00B05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wrapText="1"/>
    </xf>
    <xf numFmtId="168" fontId="0" fillId="0" borderId="0" xfId="0" applyNumberFormat="1"/>
    <xf numFmtId="2" fontId="0" fillId="0" borderId="0" xfId="0" applyNumberFormat="1"/>
    <xf numFmtId="0" fontId="5" fillId="0" borderId="0" xfId="0" applyFont="1"/>
    <xf numFmtId="2" fontId="6" fillId="0" borderId="0" xfId="0" applyNumberFormat="1" applyFon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2" fontId="6" fillId="0" borderId="0" xfId="0" applyNumberFormat="1" applyFont="1" applyBorder="1"/>
    <xf numFmtId="0" fontId="6" fillId="0" borderId="5" xfId="0" applyFont="1" applyBorder="1"/>
    <xf numFmtId="0" fontId="0" fillId="0" borderId="5" xfId="0" applyBorder="1"/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7" xfId="0" applyBorder="1"/>
    <xf numFmtId="0" fontId="0" fillId="0" borderId="8" xfId="0" applyBorder="1"/>
    <xf numFmtId="2" fontId="0" fillId="0" borderId="0" xfId="0" applyNumberFormat="1" applyBorder="1"/>
    <xf numFmtId="0" fontId="0" fillId="0" borderId="6" xfId="0" applyBorder="1" applyAlignment="1">
      <alignment horizontal="right"/>
    </xf>
    <xf numFmtId="0" fontId="0" fillId="0" borderId="9" xfId="0" applyBorder="1"/>
    <xf numFmtId="0" fontId="0" fillId="0" borderId="3" xfId="0" applyBorder="1" applyAlignment="1">
      <alignment wrapText="1"/>
    </xf>
    <xf numFmtId="166" fontId="6" fillId="0" borderId="5" xfId="0" applyNumberFormat="1" applyFont="1" applyBorder="1"/>
    <xf numFmtId="167" fontId="6" fillId="0" borderId="5" xfId="0" applyNumberFormat="1" applyFont="1" applyBorder="1"/>
    <xf numFmtId="0" fontId="7" fillId="2" borderId="0" xfId="0" applyFont="1" applyFill="1" applyBorder="1"/>
    <xf numFmtId="167" fontId="0" fillId="0" borderId="5" xfId="0" applyNumberFormat="1" applyBorder="1"/>
    <xf numFmtId="168" fontId="0" fillId="0" borderId="5" xfId="0" applyNumberFormat="1" applyBorder="1"/>
    <xf numFmtId="0" fontId="0" fillId="0" borderId="0" xfId="0" applyBorder="1" applyAlignment="1">
      <alignment horizontal="center"/>
    </xf>
    <xf numFmtId="0" fontId="1" fillId="0" borderId="0" xfId="0" applyFont="1"/>
    <xf numFmtId="170" fontId="6" fillId="0" borderId="5" xfId="0" applyNumberFormat="1" applyFont="1" applyBorder="1"/>
    <xf numFmtId="0" fontId="3" fillId="0" borderId="0" xfId="0" applyFont="1"/>
    <xf numFmtId="0" fontId="8" fillId="0" borderId="0" xfId="0" applyFont="1"/>
    <xf numFmtId="172" fontId="0" fillId="0" borderId="0" xfId="0" applyNumberFormat="1"/>
    <xf numFmtId="2" fontId="9" fillId="0" borderId="0" xfId="0" applyNumberFormat="1" applyFont="1" applyBorder="1"/>
    <xf numFmtId="2" fontId="8" fillId="0" borderId="0" xfId="0" applyNumberFormat="1" applyFont="1"/>
    <xf numFmtId="175" fontId="0" fillId="0" borderId="0" xfId="0" applyNumberFormat="1"/>
    <xf numFmtId="172" fontId="9" fillId="0" borderId="0" xfId="0" applyNumberFormat="1" applyFont="1"/>
    <xf numFmtId="168" fontId="10" fillId="0" borderId="0" xfId="0" applyNumberFormat="1" applyFont="1"/>
    <xf numFmtId="175" fontId="10" fillId="0" borderId="0" xfId="0" applyNumberFormat="1" applyFont="1"/>
    <xf numFmtId="0" fontId="8" fillId="0" borderId="3" xfId="0" applyFont="1" applyBorder="1"/>
    <xf numFmtId="0" fontId="2" fillId="0" borderId="2" xfId="0" applyFont="1" applyBorder="1"/>
    <xf numFmtId="0" fontId="1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2" borderId="0" xfId="0" applyFont="1" applyFill="1" applyBorder="1" applyAlignment="1">
      <alignment horizontal="right"/>
    </xf>
    <xf numFmtId="0" fontId="3" fillId="3" borderId="0" xfId="0" applyFont="1" applyFill="1"/>
    <xf numFmtId="2" fontId="3" fillId="3" borderId="0" xfId="0" applyNumberFormat="1" applyFont="1" applyFill="1"/>
    <xf numFmtId="0" fontId="3" fillId="3" borderId="0" xfId="0" applyFont="1" applyFill="1" applyBorder="1" applyAlignment="1">
      <alignment horizontal="center"/>
    </xf>
    <xf numFmtId="2" fontId="3" fillId="3" borderId="0" xfId="0" applyNumberFormat="1" applyFont="1" applyFill="1" applyBorder="1" applyAlignment="1">
      <alignment horizontal="center"/>
    </xf>
    <xf numFmtId="2" fontId="3" fillId="3" borderId="0" xfId="0" applyNumberFormat="1" applyFont="1" applyFill="1" applyBorder="1"/>
    <xf numFmtId="167" fontId="3" fillId="3" borderId="5" xfId="0" applyNumberFormat="1" applyFont="1" applyFill="1" applyBorder="1"/>
    <xf numFmtId="0" fontId="14" fillId="0" borderId="3" xfId="0" applyFont="1" applyBorder="1"/>
    <xf numFmtId="168" fontId="9" fillId="0" borderId="0" xfId="0" applyNumberFormat="1" applyFont="1" applyBorder="1"/>
    <xf numFmtId="0" fontId="15" fillId="0" borderId="3" xfId="0" applyFont="1" applyBorder="1"/>
    <xf numFmtId="0" fontId="15" fillId="0" borderId="1" xfId="0" applyFont="1" applyBorder="1"/>
    <xf numFmtId="0" fontId="0" fillId="0" borderId="0" xfId="0" applyAlignment="1">
      <alignment horizontal="left"/>
    </xf>
    <xf numFmtId="168" fontId="7" fillId="2" borderId="0" xfId="0" applyNumberFormat="1" applyFont="1" applyFill="1" applyBorder="1"/>
    <xf numFmtId="0" fontId="11" fillId="0" borderId="5" xfId="0" applyFont="1" applyBorder="1"/>
    <xf numFmtId="0" fontId="6" fillId="0" borderId="0" xfId="0" applyFont="1" applyBorder="1"/>
    <xf numFmtId="0" fontId="0" fillId="0" borderId="9" xfId="0" applyBorder="1" applyAlignment="1">
      <alignment wrapText="1"/>
    </xf>
    <xf numFmtId="0" fontId="0" fillId="4" borderId="0" xfId="0" applyFill="1"/>
    <xf numFmtId="0" fontId="0" fillId="4" borderId="0" xfId="0" applyFill="1" applyBorder="1"/>
    <xf numFmtId="2" fontId="6" fillId="0" borderId="0" xfId="0" applyNumberFormat="1" applyFont="1" applyBorder="1" applyAlignment="1">
      <alignment horizontal="center"/>
    </xf>
    <xf numFmtId="0" fontId="11" fillId="0" borderId="0" xfId="0" applyFont="1" applyBorder="1"/>
    <xf numFmtId="0" fontId="0" fillId="0" borderId="0" xfId="0" applyFill="1" applyBorder="1" applyAlignment="1">
      <alignment horizontal="right"/>
    </xf>
    <xf numFmtId="0" fontId="0" fillId="0" borderId="0" xfId="0" applyFill="1" applyBorder="1"/>
    <xf numFmtId="0" fontId="8" fillId="0" borderId="0" xfId="0" applyFont="1" applyBorder="1"/>
    <xf numFmtId="0" fontId="0" fillId="0" borderId="1" xfId="0" applyBorder="1" applyAlignment="1">
      <alignment horizontal="right"/>
    </xf>
    <xf numFmtId="2" fontId="6" fillId="0" borderId="2" xfId="0" applyNumberFormat="1" applyFont="1" applyBorder="1"/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Border="1" applyAlignment="1">
      <alignment wrapText="1"/>
    </xf>
    <xf numFmtId="0" fontId="0" fillId="0" borderId="5" xfId="0" applyFill="1" applyBorder="1"/>
    <xf numFmtId="0" fontId="7" fillId="0" borderId="0" xfId="0" applyFont="1" applyFill="1" applyBorder="1"/>
    <xf numFmtId="0" fontId="0" fillId="0" borderId="0" xfId="0" applyFill="1"/>
    <xf numFmtId="168" fontId="7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114300</xdr:rowOff>
    </xdr:from>
    <xdr:to>
      <xdr:col>5</xdr:col>
      <xdr:colOff>590550</xdr:colOff>
      <xdr:row>1</xdr:row>
      <xdr:rowOff>209550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D5FE-B278-EB10-82EE-DEFC50B9852D}"/>
            </a:ext>
          </a:extLst>
        </xdr:cNvPr>
        <xdr:cNvSpPr txBox="1"/>
      </xdr:nvSpPr>
      <xdr:spPr>
        <a:xfrm>
          <a:off x="3476625" y="114300"/>
          <a:ext cx="11715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P value</a:t>
          </a:r>
          <a:r>
            <a:rPr lang="en-US" sz="1100" b="1" baseline="0"/>
            <a:t> approach</a:t>
          </a:r>
          <a:endParaRPr lang="en-US" sz="1100" b="1"/>
        </a:p>
      </xdr:txBody>
    </xdr:sp>
    <xdr:clientData/>
  </xdr:twoCellAnchor>
  <xdr:twoCellAnchor>
    <xdr:from>
      <xdr:col>9</xdr:col>
      <xdr:colOff>504825</xdr:colOff>
      <xdr:row>0</xdr:row>
      <xdr:rowOff>190500</xdr:rowOff>
    </xdr:from>
    <xdr:to>
      <xdr:col>11</xdr:col>
      <xdr:colOff>361950</xdr:colOff>
      <xdr:row>1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59B855-F392-43A4-8E68-7BAB8D23226B}"/>
            </a:ext>
          </a:extLst>
        </xdr:cNvPr>
        <xdr:cNvSpPr txBox="1"/>
      </xdr:nvSpPr>
      <xdr:spPr>
        <a:xfrm>
          <a:off x="6819900" y="190500"/>
          <a:ext cx="157162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Critical Value</a:t>
          </a:r>
          <a:r>
            <a:rPr lang="en-US" sz="1100" b="1" baseline="0"/>
            <a:t> Approach</a:t>
          </a:r>
        </a:p>
        <a:p>
          <a:endParaRPr lang="en-US" sz="1100" b="1"/>
        </a:p>
      </xdr:txBody>
    </xdr:sp>
    <xdr:clientData/>
  </xdr:twoCellAnchor>
  <xdr:twoCellAnchor>
    <xdr:from>
      <xdr:col>9</xdr:col>
      <xdr:colOff>704850</xdr:colOff>
      <xdr:row>11</xdr:row>
      <xdr:rowOff>161925</xdr:rowOff>
    </xdr:from>
    <xdr:to>
      <xdr:col>11</xdr:col>
      <xdr:colOff>581025</xdr:colOff>
      <xdr:row>15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618E0E4-3B11-68BD-C02E-D1BEE519B206}"/>
            </a:ext>
          </a:extLst>
        </xdr:cNvPr>
        <xdr:cNvSpPr txBox="1"/>
      </xdr:nvSpPr>
      <xdr:spPr>
        <a:xfrm>
          <a:off x="7600950" y="2714625"/>
          <a:ext cx="1590675" cy="733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Reject</a:t>
          </a:r>
          <a:r>
            <a:rPr lang="en-US" sz="1400" baseline="0"/>
            <a:t> Ho if z&lt;= -za</a:t>
          </a:r>
          <a:endParaRPr lang="en-US" sz="1400"/>
        </a:p>
      </xdr:txBody>
    </xdr:sp>
    <xdr:clientData/>
  </xdr:twoCellAnchor>
  <xdr:twoCellAnchor>
    <xdr:from>
      <xdr:col>3</xdr:col>
      <xdr:colOff>742950</xdr:colOff>
      <xdr:row>10</xdr:row>
      <xdr:rowOff>323850</xdr:rowOff>
    </xdr:from>
    <xdr:to>
      <xdr:col>6</xdr:col>
      <xdr:colOff>647700</xdr:colOff>
      <xdr:row>13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0084EC-3687-EB35-301B-5B1353C76A24}"/>
            </a:ext>
          </a:extLst>
        </xdr:cNvPr>
        <xdr:cNvSpPr txBox="1"/>
      </xdr:nvSpPr>
      <xdr:spPr>
        <a:xfrm>
          <a:off x="3228975" y="2486025"/>
          <a:ext cx="2162175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Reject</a:t>
          </a:r>
          <a:r>
            <a:rPr lang="en-US" sz="1400" baseline="0"/>
            <a:t> Ho if p-value&lt;=a</a:t>
          </a:r>
          <a:endParaRPr lang="en-U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114300</xdr:rowOff>
    </xdr:from>
    <xdr:to>
      <xdr:col>5</xdr:col>
      <xdr:colOff>590550</xdr:colOff>
      <xdr:row>1</xdr:row>
      <xdr:rowOff>209550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00710F-1126-418B-BE87-758DA33D03BA}"/>
            </a:ext>
          </a:extLst>
        </xdr:cNvPr>
        <xdr:cNvSpPr txBox="1"/>
      </xdr:nvSpPr>
      <xdr:spPr>
        <a:xfrm>
          <a:off x="3476625" y="114300"/>
          <a:ext cx="11715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P value</a:t>
          </a:r>
          <a:r>
            <a:rPr lang="en-US" sz="1100" b="1" baseline="0"/>
            <a:t> approach</a:t>
          </a:r>
          <a:endParaRPr lang="en-US" sz="1100" b="1"/>
        </a:p>
      </xdr:txBody>
    </xdr:sp>
    <xdr:clientData/>
  </xdr:twoCellAnchor>
  <xdr:twoCellAnchor>
    <xdr:from>
      <xdr:col>9</xdr:col>
      <xdr:colOff>247650</xdr:colOff>
      <xdr:row>11</xdr:row>
      <xdr:rowOff>123825</xdr:rowOff>
    </xdr:from>
    <xdr:to>
      <xdr:col>12</xdr:col>
      <xdr:colOff>304800</xdr:colOff>
      <xdr:row>16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C0069A-1FE7-93A2-95B3-D1709A5AB5B2}"/>
            </a:ext>
          </a:extLst>
        </xdr:cNvPr>
        <xdr:cNvSpPr txBox="1"/>
      </xdr:nvSpPr>
      <xdr:spPr>
        <a:xfrm>
          <a:off x="7067550" y="3009900"/>
          <a:ext cx="2238375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Reject Ho</a:t>
          </a:r>
          <a:r>
            <a:rPr lang="en-US" sz="1400" baseline="0"/>
            <a:t> if z&gt;=positve  za</a:t>
          </a:r>
          <a:endParaRPr lang="en-US" sz="1400"/>
        </a:p>
      </xdr:txBody>
    </xdr:sp>
    <xdr:clientData/>
  </xdr:twoCellAnchor>
  <xdr:twoCellAnchor>
    <xdr:from>
      <xdr:col>9</xdr:col>
      <xdr:colOff>504825</xdr:colOff>
      <xdr:row>0</xdr:row>
      <xdr:rowOff>190500</xdr:rowOff>
    </xdr:from>
    <xdr:to>
      <xdr:col>11</xdr:col>
      <xdr:colOff>361950</xdr:colOff>
      <xdr:row>1</xdr:row>
      <xdr:rowOff>381000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0576A69-CD60-42E9-82AD-C693006B70CD}"/>
            </a:ext>
          </a:extLst>
        </xdr:cNvPr>
        <xdr:cNvSpPr txBox="1"/>
      </xdr:nvSpPr>
      <xdr:spPr>
        <a:xfrm>
          <a:off x="7400925" y="190500"/>
          <a:ext cx="157162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Critical Value</a:t>
          </a:r>
          <a:r>
            <a:rPr lang="en-US" sz="1100" b="1" baseline="0"/>
            <a:t> Approach</a:t>
          </a:r>
        </a:p>
        <a:p>
          <a:endParaRPr lang="en-US" sz="1100" b="1"/>
        </a:p>
      </xdr:txBody>
    </xdr:sp>
    <xdr:clientData/>
  </xdr:twoCellAnchor>
  <xdr:twoCellAnchor>
    <xdr:from>
      <xdr:col>3</xdr:col>
      <xdr:colOff>628651</xdr:colOff>
      <xdr:row>10</xdr:row>
      <xdr:rowOff>409575</xdr:rowOff>
    </xdr:from>
    <xdr:to>
      <xdr:col>6</xdr:col>
      <xdr:colOff>276226</xdr:colOff>
      <xdr:row>11</xdr:row>
      <xdr:rowOff>161925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1E1921A-073B-639F-3D21-1400D7F77FA8}"/>
            </a:ext>
          </a:extLst>
        </xdr:cNvPr>
        <xdr:cNvSpPr txBox="1"/>
      </xdr:nvSpPr>
      <xdr:spPr>
        <a:xfrm>
          <a:off x="2933701" y="2714625"/>
          <a:ext cx="182880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Reject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Ho if p-value&lt;=a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114300</xdr:rowOff>
    </xdr:from>
    <xdr:to>
      <xdr:col>5</xdr:col>
      <xdr:colOff>590550</xdr:colOff>
      <xdr:row>1</xdr:row>
      <xdr:rowOff>209550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F42B5F-2A80-4F47-8EBD-D70F8D53BEA2}"/>
            </a:ext>
          </a:extLst>
        </xdr:cNvPr>
        <xdr:cNvSpPr txBox="1"/>
      </xdr:nvSpPr>
      <xdr:spPr>
        <a:xfrm>
          <a:off x="3476625" y="114300"/>
          <a:ext cx="11715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P value</a:t>
          </a:r>
          <a:r>
            <a:rPr lang="en-US" sz="1100" b="1" baseline="0"/>
            <a:t> approach</a:t>
          </a:r>
          <a:endParaRPr lang="en-US" sz="1100" b="1"/>
        </a:p>
      </xdr:txBody>
    </xdr:sp>
    <xdr:clientData/>
  </xdr:twoCellAnchor>
  <xdr:twoCellAnchor>
    <xdr:from>
      <xdr:col>9</xdr:col>
      <xdr:colOff>504825</xdr:colOff>
      <xdr:row>0</xdr:row>
      <xdr:rowOff>190500</xdr:rowOff>
    </xdr:from>
    <xdr:to>
      <xdr:col>11</xdr:col>
      <xdr:colOff>361950</xdr:colOff>
      <xdr:row>1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8ADD0B-8A7A-42C5-BFB7-3DCEA8140694}"/>
            </a:ext>
          </a:extLst>
        </xdr:cNvPr>
        <xdr:cNvSpPr txBox="1"/>
      </xdr:nvSpPr>
      <xdr:spPr>
        <a:xfrm>
          <a:off x="6819900" y="190500"/>
          <a:ext cx="157162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Critical Value</a:t>
          </a:r>
          <a:r>
            <a:rPr lang="en-US" sz="1100" b="1" baseline="0"/>
            <a:t> Approach</a:t>
          </a:r>
        </a:p>
        <a:p>
          <a:endParaRPr lang="en-US" sz="1100" b="1"/>
        </a:p>
      </xdr:txBody>
    </xdr:sp>
    <xdr:clientData/>
  </xdr:twoCellAnchor>
  <xdr:twoCellAnchor>
    <xdr:from>
      <xdr:col>3</xdr:col>
      <xdr:colOff>95250</xdr:colOff>
      <xdr:row>10</xdr:row>
      <xdr:rowOff>180974</xdr:rowOff>
    </xdr:from>
    <xdr:to>
      <xdr:col>4</xdr:col>
      <xdr:colOff>904875</xdr:colOff>
      <xdr:row>19</xdr:row>
      <xdr:rowOff>190499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855EFEA-22A1-8580-9E33-03B424ED941C}"/>
            </a:ext>
          </a:extLst>
        </xdr:cNvPr>
        <xdr:cNvSpPr txBox="1"/>
      </xdr:nvSpPr>
      <xdr:spPr>
        <a:xfrm>
          <a:off x="2400300" y="2486024"/>
          <a:ext cx="1771650" cy="1914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If z is</a:t>
          </a:r>
          <a:r>
            <a:rPr lang="en-US" sz="1100" baseline="0"/>
            <a:t> &gt; 0, find area to the standard normal curve to the right of z (1-probability).</a:t>
          </a:r>
        </a:p>
        <a:p>
          <a:endParaRPr lang="en-US" sz="1100" baseline="0"/>
        </a:p>
        <a:p>
          <a:r>
            <a:rPr lang="en-US" sz="1100"/>
            <a:t>If z&lt;0</a:t>
          </a:r>
          <a:r>
            <a:rPr lang="en-US" sz="1100" baseline="0"/>
            <a:t> just the probability is what you find. </a:t>
          </a:r>
        </a:p>
        <a:p>
          <a:endParaRPr lang="en-US" sz="1100" baseline="0"/>
        </a:p>
        <a:p>
          <a:r>
            <a:rPr lang="en-US" sz="1100" baseline="0"/>
            <a:t>either way you then multiply by 2.</a:t>
          </a:r>
          <a:endParaRPr lang="en-US" sz="1100"/>
        </a:p>
      </xdr:txBody>
    </xdr:sp>
    <xdr:clientData/>
  </xdr:twoCellAnchor>
  <xdr:twoCellAnchor>
    <xdr:from>
      <xdr:col>5</xdr:col>
      <xdr:colOff>47624</xdr:colOff>
      <xdr:row>10</xdr:row>
      <xdr:rowOff>257175</xdr:rowOff>
    </xdr:from>
    <xdr:to>
      <xdr:col>8</xdr:col>
      <xdr:colOff>66675</xdr:colOff>
      <xdr:row>12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8696231-C6D5-BFA7-FDFB-A008376587C6}"/>
            </a:ext>
          </a:extLst>
        </xdr:cNvPr>
        <xdr:cNvSpPr txBox="1"/>
      </xdr:nvSpPr>
      <xdr:spPr>
        <a:xfrm>
          <a:off x="4362449" y="2562225"/>
          <a:ext cx="1847851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Reject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Ho if p-value&lt;=a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9</xdr:col>
      <xdr:colOff>57150</xdr:colOff>
      <xdr:row>12</xdr:row>
      <xdr:rowOff>104775</xdr:rowOff>
    </xdr:from>
    <xdr:to>
      <xdr:col>12</xdr:col>
      <xdr:colOff>533400</xdr:colOff>
      <xdr:row>15</xdr:row>
      <xdr:rowOff>47625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813F48A-7713-0FD1-DE6A-902D0A72FDD6}"/>
            </a:ext>
          </a:extLst>
        </xdr:cNvPr>
        <xdr:cNvSpPr txBox="1"/>
      </xdr:nvSpPr>
      <xdr:spPr>
        <a:xfrm>
          <a:off x="6810375" y="2981325"/>
          <a:ext cx="2657475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Reject</a:t>
          </a:r>
          <a:r>
            <a:rPr lang="en-US" sz="1400" baseline="0"/>
            <a:t> Ho if z&lt;= -za/2 or if z &gt;= z a/2</a:t>
          </a:r>
          <a:endParaRPr lang="en-US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904875</xdr:colOff>
      <xdr:row>11</xdr:row>
      <xdr:rowOff>28576</xdr:rowOff>
    </xdr:from>
    <xdr:to>
      <xdr:col>8</xdr:col>
      <xdr:colOff>381000</xdr:colOff>
      <xdr:row>13</xdr:row>
      <xdr:rowOff>28576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EEB41E-BA73-2CD3-1505-A4C9D29E1B55}"/>
            </a:ext>
          </a:extLst>
        </xdr:cNvPr>
        <xdr:cNvSpPr txBox="1"/>
      </xdr:nvSpPr>
      <xdr:spPr>
        <a:xfrm>
          <a:off x="6038850" y="2286001"/>
          <a:ext cx="211455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Reject Ho if p-value is &lt;= a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6</xdr:col>
      <xdr:colOff>85725</xdr:colOff>
      <xdr:row>0</xdr:row>
      <xdr:rowOff>19050</xdr:rowOff>
    </xdr:from>
    <xdr:to>
      <xdr:col>7</xdr:col>
      <xdr:colOff>466725</xdr:colOff>
      <xdr:row>0</xdr:row>
      <xdr:rowOff>304800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A47C251-BA9C-43E8-BD68-72A6AAD335D2}"/>
            </a:ext>
          </a:extLst>
        </xdr:cNvPr>
        <xdr:cNvSpPr txBox="1"/>
      </xdr:nvSpPr>
      <xdr:spPr>
        <a:xfrm>
          <a:off x="7010400" y="19050"/>
          <a:ext cx="12192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P value</a:t>
          </a:r>
          <a:r>
            <a:rPr lang="en-US" sz="1100" b="1" baseline="0"/>
            <a:t> approach</a:t>
          </a:r>
          <a:endParaRPr lang="en-US" sz="1100" b="1"/>
        </a:p>
      </xdr:txBody>
    </xdr:sp>
    <xdr:clientData/>
  </xdr:twoCellAnchor>
  <xdr:twoCellAnchor>
    <xdr:from>
      <xdr:col>9</xdr:col>
      <xdr:colOff>581025</xdr:colOff>
      <xdr:row>5</xdr:row>
      <xdr:rowOff>47625</xdr:rowOff>
    </xdr:from>
    <xdr:to>
      <xdr:col>11</xdr:col>
      <xdr:colOff>552450</xdr:colOff>
      <xdr:row>15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79FE26-084D-F9B3-FD02-2FBCDC484D34}"/>
            </a:ext>
          </a:extLst>
        </xdr:cNvPr>
        <xdr:cNvSpPr txBox="1"/>
      </xdr:nvSpPr>
      <xdr:spPr>
        <a:xfrm>
          <a:off x="10134600" y="1009650"/>
          <a:ext cx="1190625" cy="201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probability of upper</a:t>
          </a:r>
          <a:r>
            <a:rPr lang="en-US" sz="1100" baseline="0"/>
            <a:t> tail, if the test statistic t is negative, it is first converted to positive as the upper tail is only positive. </a:t>
          </a:r>
        </a:p>
        <a:p>
          <a:endParaRPr lang="en-US" sz="1100"/>
        </a:p>
      </xdr:txBody>
    </xdr:sp>
    <xdr:clientData/>
  </xdr:twoCellAnchor>
  <xdr:twoCellAnchor>
    <xdr:from>
      <xdr:col>5</xdr:col>
      <xdr:colOff>323849</xdr:colOff>
      <xdr:row>13</xdr:row>
      <xdr:rowOff>142875</xdr:rowOff>
    </xdr:from>
    <xdr:to>
      <xdr:col>8</xdr:col>
      <xdr:colOff>1104899</xdr:colOff>
      <xdr:row>23</xdr:row>
      <xdr:rowOff>9525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765FAB7-7ED5-4642-8EF8-BB8D9B7ACA55}"/>
            </a:ext>
          </a:extLst>
        </xdr:cNvPr>
        <xdr:cNvSpPr txBox="1"/>
      </xdr:nvSpPr>
      <xdr:spPr>
        <a:xfrm>
          <a:off x="5457824" y="2781300"/>
          <a:ext cx="3419475" cy="1771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</a:t>
          </a:r>
          <a:r>
            <a:rPr lang="en-US" b="1"/>
            <a:t>p-value</a:t>
          </a:r>
          <a:r>
            <a:rPr lang="en-US"/>
            <a:t> tells you:</a:t>
          </a:r>
        </a:p>
        <a:p>
          <a:r>
            <a:rPr lang="en-US" i="1"/>
            <a:t>"If the null hypothesis is true, what's the probability of getting a sample mean </a:t>
          </a:r>
          <a:r>
            <a:rPr lang="en-US" b="1" i="1"/>
            <a:t>at least as extreme (high)</a:t>
          </a:r>
          <a:r>
            <a:rPr lang="en-US" i="1"/>
            <a:t> as the one you observed?"</a:t>
          </a:r>
          <a:endParaRPr lang="en-US"/>
        </a:p>
        <a:p>
          <a:r>
            <a:rPr lang="en-US" b="1"/>
            <a:t>Upper tail</a:t>
          </a:r>
          <a:r>
            <a:rPr lang="en-US"/>
            <a:t> means you're only looking at the probability on the right side (greater than your observed mean). This is common for one-sided tests (e.g., testing if the mean is </a:t>
          </a:r>
          <a:r>
            <a:rPr lang="en-US" b="1"/>
            <a:t>greater</a:t>
          </a:r>
          <a:r>
            <a:rPr lang="en-US"/>
            <a:t> than some hypothesized value).</a:t>
          </a:r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419101</xdr:colOff>
      <xdr:row>13</xdr:row>
      <xdr:rowOff>123825</xdr:rowOff>
    </xdr:from>
    <xdr:to>
      <xdr:col>7</xdr:col>
      <xdr:colOff>276225</xdr:colOff>
      <xdr:row>16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6F119F-1AD1-0DFB-6B16-465A9CA2D754}"/>
            </a:ext>
          </a:extLst>
        </xdr:cNvPr>
        <xdr:cNvSpPr txBox="1"/>
      </xdr:nvSpPr>
      <xdr:spPr>
        <a:xfrm>
          <a:off x="4695826" y="2619375"/>
          <a:ext cx="2076449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aseline="0"/>
            <a:t>Reject Ho if p-value is &lt;= a</a:t>
          </a:r>
          <a:endParaRPr lang="en-US" sz="1400"/>
        </a:p>
      </xdr:txBody>
    </xdr:sp>
    <xdr:clientData/>
  </xdr:twoCellAnchor>
  <xdr:twoCellAnchor>
    <xdr:from>
      <xdr:col>11</xdr:col>
      <xdr:colOff>457200</xdr:colOff>
      <xdr:row>14</xdr:row>
      <xdr:rowOff>57151</xdr:rowOff>
    </xdr:from>
    <xdr:to>
      <xdr:col>15</xdr:col>
      <xdr:colOff>152400</xdr:colOff>
      <xdr:row>17</xdr:row>
      <xdr:rowOff>95251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5BA259-0A3C-827D-324A-89618E365E5E}"/>
            </a:ext>
          </a:extLst>
        </xdr:cNvPr>
        <xdr:cNvSpPr txBox="1"/>
      </xdr:nvSpPr>
      <xdr:spPr>
        <a:xfrm>
          <a:off x="9896475" y="2743201"/>
          <a:ext cx="213360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Critical value approach: Reject Ho if t&lt;=</a:t>
          </a:r>
          <a:r>
            <a:rPr lang="en-US" sz="1400" baseline="0"/>
            <a:t> negative ta</a:t>
          </a:r>
          <a:endParaRPr lang="en-US" sz="1400"/>
        </a:p>
      </xdr:txBody>
    </xdr:sp>
    <xdr:clientData/>
  </xdr:twoCellAnchor>
  <xdr:twoCellAnchor>
    <xdr:from>
      <xdr:col>5</xdr:col>
      <xdr:colOff>752475</xdr:colOff>
      <xdr:row>0</xdr:row>
      <xdr:rowOff>76200</xdr:rowOff>
    </xdr:from>
    <xdr:to>
      <xdr:col>8</xdr:col>
      <xdr:colOff>133350</xdr:colOff>
      <xdr:row>1</xdr:row>
      <xdr:rowOff>161925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74099D-B2B8-4BBA-B103-71FF34D6D96B}"/>
            </a:ext>
          </a:extLst>
        </xdr:cNvPr>
        <xdr:cNvSpPr txBox="1"/>
      </xdr:nvSpPr>
      <xdr:spPr>
        <a:xfrm>
          <a:off x="5029200" y="76200"/>
          <a:ext cx="17907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P value</a:t>
          </a:r>
          <a:r>
            <a:rPr lang="en-US" sz="1100" b="1" baseline="0"/>
            <a:t> approach</a:t>
          </a:r>
          <a:endParaRPr lang="en-US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11</xdr:row>
      <xdr:rowOff>104775</xdr:rowOff>
    </xdr:from>
    <xdr:to>
      <xdr:col>7</xdr:col>
      <xdr:colOff>428625</xdr:colOff>
      <xdr:row>14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1312EF-CBD4-4E9B-AF66-21AE7321470A}"/>
            </a:ext>
          </a:extLst>
        </xdr:cNvPr>
        <xdr:cNvSpPr txBox="1"/>
      </xdr:nvSpPr>
      <xdr:spPr>
        <a:xfrm>
          <a:off x="5276850" y="2219325"/>
          <a:ext cx="1685925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Reject Ho if p-value is &lt;= a</a:t>
          </a:r>
          <a:endParaRPr lang="en-US" sz="1400">
            <a:effectLst/>
          </a:endParaRPr>
        </a:p>
        <a:p>
          <a:endParaRPr lang="en-US" sz="1100">
            <a:solidFill>
              <a:srgbClr val="FF0000"/>
            </a:solidFill>
          </a:endParaRPr>
        </a:p>
        <a:p>
          <a:endParaRPr lang="en-US" sz="1100">
            <a:solidFill>
              <a:srgbClr val="FF0000"/>
            </a:solidFill>
          </a:endParaRPr>
        </a:p>
        <a:p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752475</xdr:colOff>
      <xdr:row>0</xdr:row>
      <xdr:rowOff>76200</xdr:rowOff>
    </xdr:from>
    <xdr:to>
      <xdr:col>8</xdr:col>
      <xdr:colOff>133350</xdr:colOff>
      <xdr:row>1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7EED7D-8093-4001-89E2-8D44FEA75429}"/>
            </a:ext>
          </a:extLst>
        </xdr:cNvPr>
        <xdr:cNvSpPr txBox="1"/>
      </xdr:nvSpPr>
      <xdr:spPr>
        <a:xfrm>
          <a:off x="5029200" y="76200"/>
          <a:ext cx="22098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P value</a:t>
          </a:r>
          <a:r>
            <a:rPr lang="en-US" sz="1100" b="1" baseline="0"/>
            <a:t> approach</a:t>
          </a:r>
          <a:endParaRPr lang="en-US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504826</xdr:colOff>
      <xdr:row>1</xdr:row>
      <xdr:rowOff>190500</xdr:rowOff>
    </xdr:from>
    <xdr:to>
      <xdr:col>5</xdr:col>
      <xdr:colOff>775608</xdr:colOff>
      <xdr:row>2</xdr:row>
      <xdr:rowOff>495300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95211A-8CC2-46E7-82A7-E43044970BE1}"/>
            </a:ext>
          </a:extLst>
        </xdr:cNvPr>
        <xdr:cNvSpPr txBox="1"/>
      </xdr:nvSpPr>
      <xdr:spPr>
        <a:xfrm>
          <a:off x="2818040" y="190500"/>
          <a:ext cx="2692854" cy="5089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Critical Value </a:t>
          </a:r>
          <a:r>
            <a:rPr lang="en-US" sz="1100" b="1" baseline="0"/>
            <a:t> Approach for sample mean x̅</a:t>
          </a:r>
        </a:p>
        <a:p>
          <a:endParaRPr lang="en-US" sz="1100" b="1"/>
        </a:p>
      </xdr:txBody>
    </xdr:sp>
    <xdr:clientData/>
  </xdr:twoCellAnchor>
  <xdr:twoCellAnchor>
    <xdr:from>
      <xdr:col>11</xdr:col>
      <xdr:colOff>3309</xdr:colOff>
      <xdr:row>12</xdr:row>
      <xdr:rowOff>448328</xdr:rowOff>
    </xdr:from>
    <xdr:to>
      <xdr:col>17</xdr:col>
      <xdr:colOff>387646</xdr:colOff>
      <xdr:row>23</xdr:row>
      <xdr:rowOff>22150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6A0F9B-1920-429F-B7C4-D1F69708A657}"/>
            </a:ext>
          </a:extLst>
        </xdr:cNvPr>
        <xdr:cNvSpPr txBox="1"/>
      </xdr:nvSpPr>
      <xdr:spPr>
        <a:xfrm>
          <a:off x="9273571" y="3305828"/>
          <a:ext cx="4039278" cy="20326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Type 2 error probability (accepting Ho: u&gt;=120 when</a:t>
          </a:r>
          <a:r>
            <a:rPr lang="en-US" sz="1400" baseline="0"/>
            <a:t> the pop mean is actually &lt;120. For example pop mean actually u=112. </a:t>
          </a:r>
        </a:p>
        <a:p>
          <a:endParaRPr lang="en-US" sz="1400" baseline="0"/>
        </a:p>
        <a:p>
          <a:endParaRPr lang="en-US" sz="1400" baseline="0"/>
        </a:p>
        <a:p>
          <a:r>
            <a:rPr lang="en-US" sz="1400" baseline="0"/>
            <a:t>While the  hypothesis test is a lower tail, we are actually looking for the probability of Ha being true, so we subtract: 1-0.99074= 0.0093 is the probability of commiting a type 2 error</a:t>
          </a:r>
          <a:endParaRPr lang="en-US" sz="1400"/>
        </a:p>
      </xdr:txBody>
    </xdr:sp>
    <xdr:clientData/>
  </xdr:twoCellAnchor>
  <xdr:twoCellAnchor>
    <xdr:from>
      <xdr:col>12</xdr:col>
      <xdr:colOff>28575</xdr:colOff>
      <xdr:row>2</xdr:row>
      <xdr:rowOff>114300</xdr:rowOff>
    </xdr:from>
    <xdr:to>
      <xdr:col>13</xdr:col>
      <xdr:colOff>590550</xdr:colOff>
      <xdr:row>3</xdr:row>
      <xdr:rowOff>209550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C4E0DA-3859-4E3F-9A3E-4AC1DB668128}"/>
            </a:ext>
          </a:extLst>
        </xdr:cNvPr>
        <xdr:cNvSpPr txBox="1"/>
      </xdr:nvSpPr>
      <xdr:spPr>
        <a:xfrm>
          <a:off x="3476625" y="114300"/>
          <a:ext cx="11715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Type 2 error probability</a:t>
          </a:r>
        </a:p>
      </xdr:txBody>
    </xdr:sp>
    <xdr:clientData/>
  </xdr:twoCellAnchor>
  <xdr:twoCellAnchor>
    <xdr:from>
      <xdr:col>16</xdr:col>
      <xdr:colOff>432391</xdr:colOff>
      <xdr:row>4</xdr:row>
      <xdr:rowOff>146641</xdr:rowOff>
    </xdr:from>
    <xdr:to>
      <xdr:col>19</xdr:col>
      <xdr:colOff>432392</xdr:colOff>
      <xdr:row>9</xdr:row>
      <xdr:rowOff>5316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F11F29D-FBB8-46CE-89F2-F25EC41978F5}"/>
            </a:ext>
          </a:extLst>
        </xdr:cNvPr>
        <xdr:cNvSpPr txBox="1"/>
      </xdr:nvSpPr>
      <xdr:spPr>
        <a:xfrm>
          <a:off x="12748438" y="1486786"/>
          <a:ext cx="1827471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Reject</a:t>
          </a:r>
          <a:r>
            <a:rPr lang="en-US" sz="1400" baseline="0"/>
            <a:t> Ho if p-value&lt;=a</a:t>
          </a:r>
          <a:endParaRPr lang="en-US" sz="14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</xdr:row>
      <xdr:rowOff>38100</xdr:rowOff>
    </xdr:from>
    <xdr:to>
      <xdr:col>9</xdr:col>
      <xdr:colOff>419100</xdr:colOff>
      <xdr:row>3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94D189-9750-EF87-25AD-8C5FE4CCA6B2}"/>
            </a:ext>
          </a:extLst>
        </xdr:cNvPr>
        <xdr:cNvSpPr txBox="1"/>
      </xdr:nvSpPr>
      <xdr:spPr>
        <a:xfrm>
          <a:off x="2838450" y="228600"/>
          <a:ext cx="3067050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Sample Size for a one tailed hypothesis test about population mean</a:t>
          </a:r>
        </a:p>
      </xdr:txBody>
    </xdr:sp>
    <xdr:clientData/>
  </xdr:twoCellAnchor>
  <xdr:twoCellAnchor>
    <xdr:from>
      <xdr:col>4</xdr:col>
      <xdr:colOff>514350</xdr:colOff>
      <xdr:row>19</xdr:row>
      <xdr:rowOff>161924</xdr:rowOff>
    </xdr:from>
    <xdr:to>
      <xdr:col>8</xdr:col>
      <xdr:colOff>581025</xdr:colOff>
      <xdr:row>32</xdr:row>
      <xdr:rowOff>57150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E5EF68-221A-9F54-B964-E8E2F2476E7D}"/>
            </a:ext>
          </a:extLst>
        </xdr:cNvPr>
        <xdr:cNvSpPr txBox="1"/>
      </xdr:nvSpPr>
      <xdr:spPr>
        <a:xfrm>
          <a:off x="3429000" y="5333999"/>
          <a:ext cx="2505075" cy="2371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Type</a:t>
          </a:r>
          <a:r>
            <a:rPr lang="en-US" sz="1100" baseline="0"/>
            <a:t> 1 erorr statement: if the mean life of the batteries in the shipment is u = 120, I am willing to risk an a=0.05 probability of rejecting the shipment.</a:t>
          </a:r>
        </a:p>
        <a:p>
          <a:endParaRPr lang="en-US" sz="1100" baseline="0"/>
        </a:p>
        <a:p>
          <a:r>
            <a:rPr lang="en-US" sz="1100" baseline="0"/>
            <a:t>Type 2 error statement: If the mean life of the batteries in the shipment is 5 hours under the specification (</a:t>
          </a:r>
          <a:r>
            <a:rPr lang="en-US" sz="1100" baseline="0">
              <a:solidFill>
                <a:schemeClr val="accent6"/>
              </a:solidFill>
            </a:rPr>
            <a:t>u=115</a:t>
          </a:r>
          <a:r>
            <a:rPr lang="en-US" sz="1100" baseline="0"/>
            <a:t>), I am willing to risk B=0.10 probability of accepting the shipment.</a:t>
          </a:r>
        </a:p>
        <a:p>
          <a:endParaRPr lang="en-US" sz="1100" baseline="0"/>
        </a:p>
        <a:p>
          <a:r>
            <a:rPr lang="en-US" sz="1100" baseline="0"/>
            <a:t>a=0.05, B=0.10 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</xdr:row>
      <xdr:rowOff>38100</xdr:rowOff>
    </xdr:from>
    <xdr:to>
      <xdr:col>9</xdr:col>
      <xdr:colOff>419100</xdr:colOff>
      <xdr:row>3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383EB3-18AC-4129-A0B3-53217B2A4FEB}"/>
            </a:ext>
          </a:extLst>
        </xdr:cNvPr>
        <xdr:cNvSpPr txBox="1"/>
      </xdr:nvSpPr>
      <xdr:spPr>
        <a:xfrm>
          <a:off x="2943225" y="228600"/>
          <a:ext cx="3343275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Sample Size for a one tailed hypothesis test about population mean</a:t>
          </a:r>
        </a:p>
      </xdr:txBody>
    </xdr:sp>
    <xdr:clientData/>
  </xdr:twoCellAnchor>
  <xdr:twoCellAnchor>
    <xdr:from>
      <xdr:col>4</xdr:col>
      <xdr:colOff>514350</xdr:colOff>
      <xdr:row>19</xdr:row>
      <xdr:rowOff>161924</xdr:rowOff>
    </xdr:from>
    <xdr:to>
      <xdr:col>8</xdr:col>
      <xdr:colOff>581025</xdr:colOff>
      <xdr:row>32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CB50DE-1C50-4977-92D5-51EE396A7C93}"/>
            </a:ext>
          </a:extLst>
        </xdr:cNvPr>
        <xdr:cNvSpPr txBox="1"/>
      </xdr:nvSpPr>
      <xdr:spPr>
        <a:xfrm>
          <a:off x="3057525" y="5133974"/>
          <a:ext cx="2781300" cy="2371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Type</a:t>
          </a:r>
          <a:r>
            <a:rPr lang="en-US" sz="1100" baseline="0"/>
            <a:t> 1 erorr statement: if the mean life of the batteries in the shipment is u = 120, I am willing to risk an a=0.05 probability of rejecting the shipment.</a:t>
          </a:r>
        </a:p>
        <a:p>
          <a:endParaRPr lang="en-US" sz="1100" baseline="0"/>
        </a:p>
        <a:p>
          <a:r>
            <a:rPr lang="en-US" sz="1100" baseline="0"/>
            <a:t>Type 2 error statement: If the mean life of the batteries in the shipment is 5 hours under the specification (</a:t>
          </a:r>
          <a:r>
            <a:rPr lang="en-US" sz="1100" baseline="0">
              <a:solidFill>
                <a:schemeClr val="accent6"/>
              </a:solidFill>
            </a:rPr>
            <a:t>u=115</a:t>
          </a:r>
          <a:r>
            <a:rPr lang="en-US" sz="1100" baseline="0"/>
            <a:t>), I am willing to risk B=0.10 probability of accepting the shipment.</a:t>
          </a:r>
        </a:p>
        <a:p>
          <a:endParaRPr lang="en-US" sz="1100" baseline="0"/>
        </a:p>
        <a:p>
          <a:r>
            <a:rPr lang="en-US" sz="1100" baseline="0"/>
            <a:t>a=0.05, B=0.10 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7022-2F3C-44B6-9BC5-A094E1DB009B}">
  <dimension ref="A1:M11"/>
  <sheetViews>
    <sheetView workbookViewId="0">
      <selection activeCell="B5" sqref="B5"/>
    </sheetView>
  </sheetViews>
  <sheetFormatPr defaultRowHeight="15" x14ac:dyDescent="0.25"/>
  <cols>
    <col min="1" max="1" width="19" customWidth="1"/>
    <col min="4" max="4" width="14.42578125" bestFit="1" customWidth="1"/>
    <col min="6" max="6" width="10.28515625" bestFit="1" customWidth="1"/>
    <col min="7" max="7" width="14.5703125" customWidth="1"/>
    <col min="8" max="8" width="13.7109375" bestFit="1" customWidth="1"/>
    <col min="9" max="9" width="4" customWidth="1"/>
    <col min="10" max="10" width="16.5703125" customWidth="1"/>
    <col min="13" max="13" width="11.85546875" bestFit="1" customWidth="1"/>
  </cols>
  <sheetData>
    <row r="1" spans="1:13" ht="15.75" thickBot="1" x14ac:dyDescent="0.3">
      <c r="A1" t="s">
        <v>0</v>
      </c>
      <c r="B1">
        <v>36</v>
      </c>
    </row>
    <row r="2" spans="1:13" ht="33.75" customHeight="1" x14ac:dyDescent="0.25">
      <c r="A2" s="1" t="s">
        <v>1</v>
      </c>
      <c r="B2">
        <v>3</v>
      </c>
      <c r="D2" s="7" t="s">
        <v>2</v>
      </c>
      <c r="E2" s="8"/>
      <c r="F2" s="8"/>
      <c r="G2" s="9" t="s">
        <v>6</v>
      </c>
      <c r="J2" s="7"/>
      <c r="K2" s="8"/>
      <c r="L2" s="8"/>
      <c r="M2" s="9"/>
    </row>
    <row r="3" spans="1:13" x14ac:dyDescent="0.25">
      <c r="A3" t="s">
        <v>7</v>
      </c>
      <c r="B3">
        <v>0.18</v>
      </c>
      <c r="D3" s="10">
        <f>B5</f>
        <v>2.92</v>
      </c>
      <c r="E3" s="16" t="s">
        <v>5</v>
      </c>
      <c r="F3" s="12">
        <f>(D3-B2)/(B3/SQRT(B1))</f>
        <v>-2.6666666666666692</v>
      </c>
      <c r="G3" s="13">
        <f>_xlfn.NORM.S.DIST(F3,TRUE)</f>
        <v>3.8303805675897031E-3</v>
      </c>
      <c r="H3" s="35"/>
      <c r="J3" s="10" t="s">
        <v>11</v>
      </c>
      <c r="K3" s="12">
        <f>_xlfn.NORM.S.INV(K11)</f>
        <v>-2.3263478740408408</v>
      </c>
      <c r="L3" s="11"/>
      <c r="M3" s="14"/>
    </row>
    <row r="4" spans="1:13" x14ac:dyDescent="0.25">
      <c r="D4" s="10"/>
      <c r="E4" s="11"/>
      <c r="F4" s="11"/>
      <c r="G4" s="14"/>
      <c r="J4" s="10"/>
      <c r="K4" s="11"/>
      <c r="L4" s="11"/>
      <c r="M4" s="14"/>
    </row>
    <row r="5" spans="1:13" x14ac:dyDescent="0.25">
      <c r="A5" s="11" t="s">
        <v>2</v>
      </c>
      <c r="B5">
        <v>2.92</v>
      </c>
      <c r="D5" s="10"/>
      <c r="E5" s="11"/>
      <c r="F5" s="11"/>
      <c r="G5" s="14"/>
      <c r="J5" s="10" t="s">
        <v>2</v>
      </c>
      <c r="K5" s="11" t="s">
        <v>5</v>
      </c>
      <c r="L5" s="11"/>
      <c r="M5" s="14"/>
    </row>
    <row r="6" spans="1:13" x14ac:dyDescent="0.25">
      <c r="J6" s="10">
        <f>B5</f>
        <v>2.92</v>
      </c>
      <c r="K6" s="12">
        <f>(D3-B2)/(B3/SQRT(B1))</f>
        <v>-2.6666666666666692</v>
      </c>
      <c r="L6" s="11"/>
      <c r="M6" s="14"/>
    </row>
    <row r="7" spans="1:13" x14ac:dyDescent="0.25">
      <c r="D7" s="15" t="s">
        <v>3</v>
      </c>
      <c r="E7" s="16" t="s">
        <v>9</v>
      </c>
      <c r="F7" s="11">
        <f>B2</f>
        <v>3</v>
      </c>
      <c r="G7" s="13" t="str">
        <f>IF(G3&lt;=F10, "reject","do not reject")</f>
        <v>reject</v>
      </c>
      <c r="J7" s="10"/>
      <c r="K7" s="11"/>
      <c r="L7" s="11"/>
      <c r="M7" s="14"/>
    </row>
    <row r="8" spans="1:13" x14ac:dyDescent="0.25">
      <c r="D8" s="15" t="s">
        <v>4</v>
      </c>
      <c r="E8" s="16" t="s">
        <v>10</v>
      </c>
      <c r="F8" s="11">
        <f>B2</f>
        <v>3</v>
      </c>
      <c r="G8" s="13" t="str">
        <f>IF(G3&lt;=F10, "do not reject", "reject")</f>
        <v>do not reject</v>
      </c>
      <c r="J8" s="15" t="s">
        <v>3</v>
      </c>
      <c r="K8" s="16" t="s">
        <v>9</v>
      </c>
      <c r="L8" s="11">
        <f>B2</f>
        <v>3</v>
      </c>
      <c r="M8" s="14" t="str">
        <f>IF(K6&lt;=K3,"reject","do not reject")</f>
        <v>reject</v>
      </c>
    </row>
    <row r="9" spans="1:13" x14ac:dyDescent="0.25">
      <c r="D9" s="10"/>
      <c r="E9" s="11"/>
      <c r="F9" s="11"/>
      <c r="G9" s="14"/>
      <c r="J9" s="15" t="s">
        <v>4</v>
      </c>
      <c r="K9" s="16" t="s">
        <v>10</v>
      </c>
      <c r="L9" s="11">
        <f>B2</f>
        <v>3</v>
      </c>
      <c r="M9" s="14" t="str">
        <f>IF(K6&lt;=K3,"do not reject", "reject")</f>
        <v>do not reject</v>
      </c>
    </row>
    <row r="10" spans="1:13" ht="15.75" thickBot="1" x14ac:dyDescent="0.3">
      <c r="D10" s="17"/>
      <c r="E10" s="18" t="s">
        <v>8</v>
      </c>
      <c r="F10" s="19">
        <v>0.01</v>
      </c>
      <c r="G10" s="20"/>
      <c r="J10" s="10"/>
      <c r="K10" s="11"/>
      <c r="L10" s="11"/>
      <c r="M10" s="14"/>
    </row>
    <row r="11" spans="1:13" ht="30.75" thickBot="1" x14ac:dyDescent="0.3">
      <c r="A11" s="1" t="s">
        <v>17</v>
      </c>
      <c r="B11" s="5">
        <f>B3/SQRT(B1)</f>
        <v>0.03</v>
      </c>
      <c r="J11" s="22" t="s">
        <v>8</v>
      </c>
      <c r="K11" s="19">
        <v>0.01</v>
      </c>
      <c r="L11" s="19"/>
      <c r="M11" s="2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D36C-747A-4BA8-8192-5030A27DA82A}">
  <dimension ref="A1:M11"/>
  <sheetViews>
    <sheetView tabSelected="1" workbookViewId="0">
      <selection activeCell="G4" sqref="G4"/>
    </sheetView>
  </sheetViews>
  <sheetFormatPr defaultRowHeight="15" x14ac:dyDescent="0.25"/>
  <cols>
    <col min="1" max="1" width="16.28515625" bestFit="1" customWidth="1"/>
    <col min="4" max="4" width="15.140625" bestFit="1" customWidth="1"/>
    <col min="7" max="7" width="16.7109375" bestFit="1" customWidth="1"/>
    <col min="10" max="10" width="14.42578125" bestFit="1" customWidth="1"/>
    <col min="12" max="12" width="10.42578125" bestFit="1" customWidth="1"/>
    <col min="13" max="13" width="11.85546875" bestFit="1" customWidth="1"/>
  </cols>
  <sheetData>
    <row r="1" spans="1:13" ht="15.75" thickBot="1" x14ac:dyDescent="0.3">
      <c r="A1" t="s">
        <v>0</v>
      </c>
      <c r="B1">
        <v>36</v>
      </c>
    </row>
    <row r="2" spans="1:13" ht="45" x14ac:dyDescent="0.25">
      <c r="A2" s="1" t="s">
        <v>1</v>
      </c>
      <c r="B2">
        <v>3</v>
      </c>
      <c r="D2" s="59" t="s">
        <v>42</v>
      </c>
      <c r="E2" s="8"/>
      <c r="F2" s="8"/>
      <c r="G2" s="58" t="s">
        <v>41</v>
      </c>
      <c r="J2" s="7"/>
      <c r="K2" s="8" t="s">
        <v>31</v>
      </c>
      <c r="L2" s="8" t="s">
        <v>32</v>
      </c>
      <c r="M2" s="9"/>
    </row>
    <row r="3" spans="1:13" x14ac:dyDescent="0.25">
      <c r="A3" t="s">
        <v>7</v>
      </c>
      <c r="B3">
        <v>0.18</v>
      </c>
      <c r="D3" s="10">
        <f>B5</f>
        <v>2.92</v>
      </c>
      <c r="E3" s="16" t="s">
        <v>5</v>
      </c>
      <c r="F3" s="12">
        <f>(B5-B2)/(B3/SQRT(B1))</f>
        <v>-2.6666666666666692</v>
      </c>
      <c r="G3" s="32">
        <f>1-_xlfn.NORM.S.DIST(F3,TRUE)</f>
        <v>0.99616961943241034</v>
      </c>
      <c r="J3" s="10" t="s">
        <v>33</v>
      </c>
      <c r="K3" s="12">
        <f>_xlfn.NORM.S.INV(K11)</f>
        <v>-2.3263478740408408</v>
      </c>
      <c r="L3" s="21">
        <f>ABS(K3)</f>
        <v>2.3263478740408408</v>
      </c>
      <c r="M3" s="14"/>
    </row>
    <row r="4" spans="1:13" x14ac:dyDescent="0.25">
      <c r="D4" s="10"/>
      <c r="E4" s="11"/>
      <c r="F4" s="11"/>
      <c r="G4" s="14"/>
      <c r="J4" s="10"/>
      <c r="K4" s="11"/>
      <c r="L4" s="11"/>
      <c r="M4" s="14"/>
    </row>
    <row r="5" spans="1:13" x14ac:dyDescent="0.25">
      <c r="A5" s="11" t="s">
        <v>2</v>
      </c>
      <c r="B5" s="11">
        <v>2.92</v>
      </c>
      <c r="D5" s="10"/>
      <c r="E5" s="11"/>
      <c r="F5" s="11"/>
      <c r="G5" s="14"/>
      <c r="J5" s="10" t="s">
        <v>2</v>
      </c>
      <c r="K5" s="11" t="s">
        <v>5</v>
      </c>
      <c r="L5" s="11" t="s">
        <v>30</v>
      </c>
      <c r="M5" s="14"/>
    </row>
    <row r="6" spans="1:13" x14ac:dyDescent="0.25">
      <c r="D6" s="10"/>
      <c r="E6" s="11"/>
      <c r="F6" s="11"/>
      <c r="G6" s="14"/>
      <c r="J6" s="10">
        <f>B5</f>
        <v>2.92</v>
      </c>
      <c r="K6" s="12">
        <f>(D3-B2)/(B3/SQRT(B1))</f>
        <v>-2.6666666666666692</v>
      </c>
      <c r="L6" s="21">
        <f>ABS(K6)</f>
        <v>2.6666666666666692</v>
      </c>
      <c r="M6" s="14"/>
    </row>
    <row r="7" spans="1:13" x14ac:dyDescent="0.25">
      <c r="D7" s="15" t="s">
        <v>3</v>
      </c>
      <c r="E7" s="16" t="s">
        <v>12</v>
      </c>
      <c r="F7" s="11">
        <f>B2</f>
        <v>3</v>
      </c>
      <c r="G7" s="13" t="str">
        <f>IF(G3&lt;=F10, "reject","do not reject")</f>
        <v>do not reject</v>
      </c>
      <c r="J7" s="10"/>
      <c r="K7" s="11"/>
      <c r="L7" s="11"/>
      <c r="M7" s="14"/>
    </row>
    <row r="8" spans="1:13" x14ac:dyDescent="0.25">
      <c r="D8" s="15" t="s">
        <v>4</v>
      </c>
      <c r="E8" s="16" t="s">
        <v>13</v>
      </c>
      <c r="F8" s="11">
        <f>B2</f>
        <v>3</v>
      </c>
      <c r="G8" s="13" t="str">
        <f>IF(G3&lt;=F10, "do not reject","reject")</f>
        <v>reject</v>
      </c>
      <c r="J8" s="15" t="s">
        <v>3</v>
      </c>
      <c r="K8" s="16" t="s">
        <v>12</v>
      </c>
      <c r="L8" s="11">
        <f>B2</f>
        <v>3</v>
      </c>
      <c r="M8" s="14" t="str">
        <f>IF(L6&gt;=L3,"reject")</f>
        <v>reject</v>
      </c>
    </row>
    <row r="9" spans="1:13" x14ac:dyDescent="0.25">
      <c r="D9" s="10"/>
      <c r="E9" s="11"/>
      <c r="F9" s="11"/>
      <c r="G9" s="14"/>
      <c r="J9" s="15" t="s">
        <v>4</v>
      </c>
      <c r="K9" s="16" t="s">
        <v>13</v>
      </c>
      <c r="L9" s="11">
        <f>B2</f>
        <v>3</v>
      </c>
      <c r="M9" s="14" t="str">
        <f>IF(K6&lt;=K3,"do not reject")</f>
        <v>do not reject</v>
      </c>
    </row>
    <row r="10" spans="1:13" ht="15.75" thickBot="1" x14ac:dyDescent="0.3">
      <c r="D10" s="17"/>
      <c r="E10" s="18" t="s">
        <v>8</v>
      </c>
      <c r="F10" s="19">
        <v>0.01</v>
      </c>
      <c r="G10" s="20"/>
      <c r="J10" s="10"/>
      <c r="K10" s="11"/>
      <c r="L10" s="11"/>
      <c r="M10" s="14"/>
    </row>
    <row r="11" spans="1:13" ht="45.75" thickBot="1" x14ac:dyDescent="0.3">
      <c r="A11" s="1" t="s">
        <v>17</v>
      </c>
      <c r="B11" s="5">
        <f>B3/SQRT(B1)</f>
        <v>0.03</v>
      </c>
      <c r="J11" s="22" t="s">
        <v>8</v>
      </c>
      <c r="K11" s="19">
        <v>0.01</v>
      </c>
      <c r="L11" s="19"/>
      <c r="M11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67C4-B405-495E-9678-A192B8B11CDF}">
  <dimension ref="A1:M11"/>
  <sheetViews>
    <sheetView workbookViewId="0">
      <selection activeCell="G3" sqref="G3"/>
    </sheetView>
  </sheetViews>
  <sheetFormatPr defaultRowHeight="15" x14ac:dyDescent="0.25"/>
  <cols>
    <col min="1" max="1" width="16.28515625" bestFit="1" customWidth="1"/>
    <col min="4" max="4" width="14.42578125" bestFit="1" customWidth="1"/>
    <col min="5" max="5" width="15.7109375" bestFit="1" customWidth="1"/>
    <col min="7" max="7" width="11.85546875" bestFit="1" customWidth="1"/>
    <col min="10" max="10" width="14.42578125" bestFit="1" customWidth="1"/>
    <col min="11" max="11" width="15.7109375" bestFit="1" customWidth="1"/>
    <col min="13" max="13" width="11.85546875" bestFit="1" customWidth="1"/>
  </cols>
  <sheetData>
    <row r="1" spans="1:13" ht="15.75" thickBot="1" x14ac:dyDescent="0.3">
      <c r="A1" t="s">
        <v>0</v>
      </c>
      <c r="B1">
        <v>50</v>
      </c>
    </row>
    <row r="2" spans="1:13" ht="45" x14ac:dyDescent="0.25">
      <c r="A2" s="1" t="s">
        <v>1</v>
      </c>
      <c r="B2">
        <v>295</v>
      </c>
      <c r="D2" s="7" t="s">
        <v>2</v>
      </c>
      <c r="E2" s="8"/>
      <c r="F2" s="8"/>
      <c r="G2" s="24" t="s">
        <v>18</v>
      </c>
      <c r="J2" s="7"/>
      <c r="K2" s="8"/>
      <c r="L2" s="8"/>
      <c r="M2" s="9"/>
    </row>
    <row r="3" spans="1:13" x14ac:dyDescent="0.25">
      <c r="A3" t="s">
        <v>7</v>
      </c>
      <c r="B3">
        <v>12</v>
      </c>
      <c r="D3" s="10">
        <f>B5</f>
        <v>297.60000000000002</v>
      </c>
      <c r="E3" s="16" t="s">
        <v>5</v>
      </c>
      <c r="F3" s="12">
        <f>(D3-B2)/(B11)</f>
        <v>1.5320646925708663</v>
      </c>
      <c r="G3" s="29">
        <f>2*(1 - _xlfn.NORM.S.DIST(ABS(F3),TRUE ))</f>
        <v>0.12550647143746585</v>
      </c>
      <c r="J3" s="10" t="s">
        <v>11</v>
      </c>
      <c r="K3" s="21">
        <f>_xlfn.NORM.S.INV(K11/2)</f>
        <v>-1.9599639845400538</v>
      </c>
      <c r="L3" s="11" t="s">
        <v>19</v>
      </c>
      <c r="M3" s="29">
        <f>_xlfn.NORM.S.INV(1-K11/2)</f>
        <v>1.9599639845400536</v>
      </c>
    </row>
    <row r="4" spans="1:13" x14ac:dyDescent="0.25">
      <c r="D4" s="10"/>
      <c r="E4" s="70"/>
      <c r="F4" s="80"/>
      <c r="G4" s="77"/>
      <c r="J4" s="10"/>
      <c r="K4" s="11"/>
      <c r="L4" s="11"/>
      <c r="M4" s="14"/>
    </row>
    <row r="5" spans="1:13" x14ac:dyDescent="0.25">
      <c r="A5" s="11" t="s">
        <v>2</v>
      </c>
      <c r="B5" s="11">
        <v>297.60000000000002</v>
      </c>
      <c r="D5" s="10"/>
      <c r="E5" s="70"/>
      <c r="F5" s="78"/>
      <c r="G5" s="77"/>
      <c r="J5" s="10" t="s">
        <v>2</v>
      </c>
      <c r="K5" s="30" t="s">
        <v>5</v>
      </c>
      <c r="L5" s="11"/>
      <c r="M5" s="14"/>
    </row>
    <row r="6" spans="1:13" x14ac:dyDescent="0.25">
      <c r="D6" s="10"/>
      <c r="E6" s="70"/>
      <c r="F6" s="70"/>
      <c r="G6" s="77"/>
      <c r="J6" s="10">
        <f>B5</f>
        <v>297.60000000000002</v>
      </c>
      <c r="K6" s="12">
        <f>(D3-B2)/(B3/SQRT(B1))</f>
        <v>1.5320646925708663</v>
      </c>
      <c r="L6" s="11"/>
      <c r="M6" s="14"/>
    </row>
    <row r="7" spans="1:13" x14ac:dyDescent="0.25">
      <c r="D7" s="15" t="s">
        <v>3</v>
      </c>
      <c r="E7" s="16" t="s">
        <v>14</v>
      </c>
      <c r="F7" s="11">
        <f>B2</f>
        <v>295</v>
      </c>
      <c r="G7" s="13" t="str">
        <f>IF(F4&lt;=F10, "reject","do not reject")</f>
        <v>reject</v>
      </c>
      <c r="J7" s="10"/>
      <c r="K7" s="11"/>
      <c r="L7" s="11"/>
      <c r="M7" s="14"/>
    </row>
    <row r="8" spans="1:13" x14ac:dyDescent="0.25">
      <c r="D8" s="15" t="s">
        <v>4</v>
      </c>
      <c r="E8" s="16" t="s">
        <v>15</v>
      </c>
      <c r="F8" s="11">
        <f>B2</f>
        <v>295</v>
      </c>
      <c r="G8" s="13" t="str">
        <f>IF(F4&lt;=F10, "do not reject", "reject")</f>
        <v>do not reject</v>
      </c>
      <c r="J8" s="15" t="s">
        <v>3</v>
      </c>
      <c r="K8" s="16" t="s">
        <v>14</v>
      </c>
      <c r="L8" s="11">
        <f>B2</f>
        <v>295</v>
      </c>
      <c r="M8" s="14" t="str">
        <f>IF(OR(K6&lt;=K3, K6&gt;=M3), "reject", "do not reject")</f>
        <v>do not reject</v>
      </c>
    </row>
    <row r="9" spans="1:13" x14ac:dyDescent="0.25">
      <c r="A9" t="s">
        <v>8</v>
      </c>
      <c r="B9">
        <v>0.05</v>
      </c>
      <c r="D9" s="10"/>
      <c r="E9" s="11"/>
      <c r="F9" s="11"/>
      <c r="G9" s="14"/>
      <c r="J9" s="15" t="s">
        <v>4</v>
      </c>
      <c r="K9" s="16" t="s">
        <v>15</v>
      </c>
      <c r="L9" s="11">
        <f>B2</f>
        <v>295</v>
      </c>
      <c r="M9" s="14" t="str">
        <f>IF(OR(K6&lt;=K3, K6&gt;=M3), "do not reject","reject")</f>
        <v>reject</v>
      </c>
    </row>
    <row r="10" spans="1:13" ht="15.75" thickBot="1" x14ac:dyDescent="0.3">
      <c r="D10" s="17"/>
      <c r="E10" s="18" t="s">
        <v>8</v>
      </c>
      <c r="F10" s="19">
        <f>B9</f>
        <v>0.05</v>
      </c>
      <c r="G10" s="20"/>
      <c r="J10" s="10"/>
      <c r="K10" s="11"/>
      <c r="L10" s="11"/>
      <c r="M10" s="14"/>
    </row>
    <row r="11" spans="1:13" ht="30" customHeight="1" thickBot="1" x14ac:dyDescent="0.3">
      <c r="A11" s="1" t="s">
        <v>17</v>
      </c>
      <c r="B11" s="5">
        <f>B3/SQRT(B1)</f>
        <v>1.697056274847714</v>
      </c>
      <c r="J11" s="22" t="s">
        <v>8</v>
      </c>
      <c r="K11" s="19">
        <f>B9</f>
        <v>0.05</v>
      </c>
      <c r="L11" s="19"/>
      <c r="M11" s="2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2F83-D601-4445-B06D-70431A748A6E}">
  <dimension ref="C1:K17"/>
  <sheetViews>
    <sheetView workbookViewId="0">
      <selection activeCell="D17" sqref="D17"/>
    </sheetView>
  </sheetViews>
  <sheetFormatPr defaultRowHeight="15" x14ac:dyDescent="0.25"/>
  <cols>
    <col min="1" max="1" width="3.42578125" customWidth="1"/>
    <col min="2" max="2" width="4.5703125" customWidth="1"/>
    <col min="3" max="3" width="27.28515625" customWidth="1"/>
    <col min="4" max="4" width="24.7109375" customWidth="1"/>
    <col min="5" max="5" width="6.7109375" customWidth="1"/>
    <col min="6" max="6" width="16.85546875" customWidth="1"/>
    <col min="7" max="7" width="12.5703125" bestFit="1" customWidth="1"/>
    <col min="8" max="8" width="10.140625" customWidth="1"/>
    <col min="9" max="9" width="16.7109375" bestFit="1" customWidth="1"/>
  </cols>
  <sheetData>
    <row r="1" spans="3:11" ht="27" customHeight="1" thickBot="1" x14ac:dyDescent="0.3"/>
    <row r="2" spans="3:11" x14ac:dyDescent="0.25">
      <c r="C2" s="6" t="s">
        <v>20</v>
      </c>
      <c r="D2" s="47">
        <v>60</v>
      </c>
      <c r="F2" s="7" t="s">
        <v>2</v>
      </c>
      <c r="G2" s="8" t="s">
        <v>21</v>
      </c>
      <c r="H2" s="8"/>
      <c r="I2" s="42" t="s">
        <v>40</v>
      </c>
      <c r="J2" s="31" t="s">
        <v>37</v>
      </c>
      <c r="K2" s="33"/>
    </row>
    <row r="3" spans="3:11" x14ac:dyDescent="0.25">
      <c r="C3" s="6" t="s">
        <v>28</v>
      </c>
      <c r="D3" s="47">
        <v>7.25</v>
      </c>
      <c r="F3" s="10">
        <f>D3</f>
        <v>7.25</v>
      </c>
      <c r="G3" s="54">
        <f>(D3-D6)/(D4/SQRT(D2))</f>
        <v>1.840771552379951</v>
      </c>
      <c r="H3" s="11"/>
      <c r="I3" s="55">
        <f>IF(G3&lt;0,_xlfn.T.DIST(-G3,D12,1),1-_xlfn.T.DIST(G3,D12,1))</f>
        <v>3.5342554220888389E-2</v>
      </c>
      <c r="J3">
        <f>_xlfn.T.DIST.RT(G3,D12)</f>
        <v>3.5342554220888361E-2</v>
      </c>
    </row>
    <row r="4" spans="3:11" x14ac:dyDescent="0.25">
      <c r="C4" s="6" t="s">
        <v>29</v>
      </c>
      <c r="D4" s="47">
        <v>1.052</v>
      </c>
      <c r="F4" s="10"/>
      <c r="G4" s="11"/>
      <c r="H4" s="11"/>
      <c r="I4" s="14"/>
    </row>
    <row r="5" spans="3:11" x14ac:dyDescent="0.25">
      <c r="D5" s="47"/>
      <c r="F5" s="10"/>
      <c r="G5" s="11"/>
      <c r="H5" s="11"/>
      <c r="I5" s="14"/>
    </row>
    <row r="6" spans="3:11" x14ac:dyDescent="0.25">
      <c r="C6" t="s">
        <v>27</v>
      </c>
      <c r="D6" s="47">
        <v>7</v>
      </c>
      <c r="F6" s="10"/>
      <c r="G6" s="11"/>
      <c r="H6" s="11"/>
      <c r="I6" s="14"/>
    </row>
    <row r="7" spans="3:11" x14ac:dyDescent="0.25">
      <c r="C7" s="34"/>
      <c r="D7" s="48"/>
      <c r="F7" s="10"/>
      <c r="G7" s="16" t="s">
        <v>25</v>
      </c>
      <c r="H7" s="11">
        <f>D6</f>
        <v>7</v>
      </c>
      <c r="I7" s="14" t="str">
        <f>IF(I3&lt;=D8,"Reject","Do not Reject")</f>
        <v>Reject</v>
      </c>
    </row>
    <row r="8" spans="3:11" x14ac:dyDescent="0.25">
      <c r="C8" s="6" t="s">
        <v>8</v>
      </c>
      <c r="D8" s="47">
        <v>0.05</v>
      </c>
      <c r="F8" s="10"/>
      <c r="G8" s="16" t="s">
        <v>26</v>
      </c>
      <c r="H8" s="11">
        <f>D6</f>
        <v>7</v>
      </c>
      <c r="I8" s="14" t="str">
        <f>IF(I3&lt;=D8,"Do not Reject","Reject")</f>
        <v>Do not Reject</v>
      </c>
    </row>
    <row r="9" spans="3:11" x14ac:dyDescent="0.25">
      <c r="C9" s="11"/>
      <c r="D9" s="11"/>
      <c r="F9" s="10"/>
      <c r="G9" s="11"/>
      <c r="H9" s="11"/>
      <c r="I9" s="14"/>
    </row>
    <row r="10" spans="3:11" ht="15.75" thickBot="1" x14ac:dyDescent="0.3">
      <c r="C10" s="49" t="s">
        <v>16</v>
      </c>
      <c r="D10" s="52">
        <f>D4/SQRT(D2)</f>
        <v>0.13581261600700675</v>
      </c>
      <c r="F10" s="17"/>
      <c r="G10" s="18" t="s">
        <v>8</v>
      </c>
      <c r="H10" s="19">
        <f>D8</f>
        <v>0.05</v>
      </c>
      <c r="I10" s="20"/>
    </row>
    <row r="11" spans="3:11" x14ac:dyDescent="0.25">
      <c r="C11" s="49" t="s">
        <v>21</v>
      </c>
      <c r="D11" s="53">
        <f>(D3-D6)/(D4/SQRT(D2))</f>
        <v>1.840771552379951</v>
      </c>
    </row>
    <row r="12" spans="3:11" x14ac:dyDescent="0.25">
      <c r="C12" s="16" t="s">
        <v>22</v>
      </c>
      <c r="D12" s="52">
        <f>D2-1</f>
        <v>59</v>
      </c>
    </row>
    <row r="14" spans="3:11" x14ac:dyDescent="0.25">
      <c r="D14" s="38"/>
      <c r="E14" s="41"/>
    </row>
    <row r="15" spans="3:11" x14ac:dyDescent="0.25">
      <c r="D15" s="39"/>
      <c r="E15" s="40"/>
    </row>
    <row r="16" spans="3:11" x14ac:dyDescent="0.25">
      <c r="C16" s="31"/>
      <c r="D16" s="31"/>
    </row>
    <row r="17" spans="3:4" x14ac:dyDescent="0.25">
      <c r="C17" s="31"/>
      <c r="D17" s="3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707A-5996-47E6-9F7E-E877DEA72DA5}">
  <dimension ref="C2:K14"/>
  <sheetViews>
    <sheetView workbookViewId="0">
      <selection activeCell="I14" sqref="I14"/>
    </sheetView>
  </sheetViews>
  <sheetFormatPr defaultRowHeight="15" x14ac:dyDescent="0.25"/>
  <cols>
    <col min="1" max="1" width="4.42578125" customWidth="1"/>
    <col min="2" max="2" width="4.140625" customWidth="1"/>
    <col min="3" max="3" width="27.5703125" bestFit="1" customWidth="1"/>
    <col min="6" max="6" width="17.5703125" customWidth="1"/>
    <col min="7" max="7" width="15.7109375" customWidth="1"/>
    <col min="9" max="9" width="17.140625" customWidth="1"/>
  </cols>
  <sheetData>
    <row r="2" spans="3:11" ht="15.75" thickBot="1" x14ac:dyDescent="0.3">
      <c r="C2" t="s">
        <v>20</v>
      </c>
      <c r="D2">
        <v>60</v>
      </c>
    </row>
    <row r="3" spans="3:11" ht="24" customHeight="1" x14ac:dyDescent="0.25">
      <c r="C3" t="s">
        <v>28</v>
      </c>
      <c r="D3">
        <v>7.25</v>
      </c>
      <c r="F3" s="46" t="s">
        <v>34</v>
      </c>
      <c r="G3" s="45" t="s">
        <v>21</v>
      </c>
      <c r="H3" s="43"/>
      <c r="I3" s="56" t="s">
        <v>39</v>
      </c>
    </row>
    <row r="4" spans="3:11" x14ac:dyDescent="0.25">
      <c r="C4" t="s">
        <v>29</v>
      </c>
      <c r="D4">
        <v>1.052</v>
      </c>
      <c r="F4" s="10">
        <f>D4</f>
        <v>1.052</v>
      </c>
      <c r="G4" s="36">
        <f>(D3-D6)/(D4/SQRT(D2))</f>
        <v>1.840771552379951</v>
      </c>
      <c r="H4" s="11"/>
      <c r="I4" s="32">
        <f>_xlfn.T.DIST(G4,D14,TRUE)</f>
        <v>0.96465744577911161</v>
      </c>
      <c r="J4" s="12"/>
      <c r="K4" s="2"/>
    </row>
    <row r="5" spans="3:11" x14ac:dyDescent="0.25">
      <c r="F5" s="10"/>
      <c r="G5" s="11"/>
      <c r="H5" s="11"/>
      <c r="I5" s="14"/>
      <c r="J5" s="61"/>
      <c r="K5" s="11"/>
    </row>
    <row r="6" spans="3:11" x14ac:dyDescent="0.25">
      <c r="C6" t="s">
        <v>27</v>
      </c>
      <c r="D6">
        <v>7</v>
      </c>
      <c r="F6" s="10"/>
      <c r="G6" s="11"/>
      <c r="H6" s="11"/>
      <c r="I6" s="14"/>
      <c r="J6" s="27"/>
      <c r="K6" s="11"/>
    </row>
    <row r="7" spans="3:11" x14ac:dyDescent="0.25">
      <c r="F7" s="10"/>
      <c r="G7" s="16" t="s">
        <v>35</v>
      </c>
      <c r="H7" s="11">
        <f>D6</f>
        <v>7</v>
      </c>
      <c r="I7" s="14" t="str">
        <f>IF(I4&lt;=H10,"Reject","Do not Reject")</f>
        <v>Do not Reject</v>
      </c>
    </row>
    <row r="8" spans="3:11" x14ac:dyDescent="0.25">
      <c r="C8" t="s">
        <v>8</v>
      </c>
      <c r="D8">
        <v>0.05</v>
      </c>
      <c r="F8" s="10"/>
      <c r="G8" s="16" t="s">
        <v>36</v>
      </c>
      <c r="H8" s="11">
        <f>D6</f>
        <v>7</v>
      </c>
      <c r="I8" s="14" t="str">
        <f>IF(I4&lt;=D18,"Do not Reject","Reject")</f>
        <v>Reject</v>
      </c>
    </row>
    <row r="9" spans="3:11" x14ac:dyDescent="0.25">
      <c r="F9" s="10"/>
      <c r="G9" s="11"/>
      <c r="H9" s="11"/>
      <c r="I9" s="14"/>
    </row>
    <row r="10" spans="3:11" ht="15.75" thickBot="1" x14ac:dyDescent="0.3">
      <c r="F10" s="17"/>
      <c r="G10" s="18" t="s">
        <v>8</v>
      </c>
      <c r="H10" s="19">
        <f>D8</f>
        <v>0.05</v>
      </c>
      <c r="I10" s="20"/>
    </row>
    <row r="12" spans="3:11" x14ac:dyDescent="0.25">
      <c r="C12" t="s">
        <v>16</v>
      </c>
      <c r="D12" s="50">
        <f>D4/SQRT(D2)</f>
        <v>0.13581261600700675</v>
      </c>
    </row>
    <row r="13" spans="3:11" x14ac:dyDescent="0.25">
      <c r="C13" t="s">
        <v>21</v>
      </c>
      <c r="D13" s="51">
        <f>(D3-D6)/(D4/SQRT(D2))</f>
        <v>1.840771552379951</v>
      </c>
    </row>
    <row r="14" spans="3:11" x14ac:dyDescent="0.25">
      <c r="C14" t="s">
        <v>22</v>
      </c>
      <c r="D14" s="50">
        <f>D2-1</f>
        <v>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A3BA-B19A-4BEB-AEAB-E0E50D372005}">
  <dimension ref="C2:I15"/>
  <sheetViews>
    <sheetView workbookViewId="0">
      <selection activeCell="E7" sqref="E7"/>
    </sheetView>
  </sheetViews>
  <sheetFormatPr defaultRowHeight="15" x14ac:dyDescent="0.25"/>
  <cols>
    <col min="3" max="3" width="27.5703125" bestFit="1" customWidth="1"/>
    <col min="6" max="6" width="14.5703125" bestFit="1" customWidth="1"/>
    <col min="7" max="7" width="19.28515625" bestFit="1" customWidth="1"/>
    <col min="9" max="9" width="16.7109375" bestFit="1" customWidth="1"/>
  </cols>
  <sheetData>
    <row r="2" spans="3:9" ht="15.75" thickBot="1" x14ac:dyDescent="0.3">
      <c r="C2" s="47" t="s">
        <v>20</v>
      </c>
      <c r="D2">
        <v>25</v>
      </c>
    </row>
    <row r="3" spans="3:9" x14ac:dyDescent="0.25">
      <c r="C3" s="47" t="s">
        <v>2</v>
      </c>
      <c r="D3">
        <v>37.4</v>
      </c>
      <c r="F3" s="46" t="s">
        <v>34</v>
      </c>
      <c r="G3" s="45" t="s">
        <v>21</v>
      </c>
      <c r="H3" s="43"/>
      <c r="I3" s="44" t="s">
        <v>38</v>
      </c>
    </row>
    <row r="4" spans="3:9" x14ac:dyDescent="0.25">
      <c r="C4" s="47" t="s">
        <v>29</v>
      </c>
      <c r="D4">
        <v>11.79</v>
      </c>
      <c r="F4" s="10">
        <f>D4</f>
        <v>11.79</v>
      </c>
      <c r="G4" s="57">
        <f>(D3-D6)/(D12)</f>
        <v>-1.1026293469041568</v>
      </c>
      <c r="H4" s="11"/>
      <c r="I4" s="25">
        <f>_xlfn.T.DIST.2T(ABS(G4),D14)</f>
        <v>0.28112264114541596</v>
      </c>
    </row>
    <row r="5" spans="3:9" x14ac:dyDescent="0.25">
      <c r="C5" s="47"/>
      <c r="F5" s="10"/>
      <c r="G5" s="11"/>
      <c r="H5" s="11"/>
      <c r="I5" s="14"/>
    </row>
    <row r="6" spans="3:9" x14ac:dyDescent="0.25">
      <c r="C6" s="47" t="s">
        <v>27</v>
      </c>
      <c r="D6">
        <v>40</v>
      </c>
      <c r="F6" s="10"/>
      <c r="G6" s="11"/>
      <c r="H6" s="11"/>
      <c r="I6" s="14"/>
    </row>
    <row r="7" spans="3:9" x14ac:dyDescent="0.25">
      <c r="C7" s="47"/>
      <c r="F7" s="10"/>
      <c r="G7" t="s">
        <v>23</v>
      </c>
      <c r="H7">
        <f>D6</f>
        <v>40</v>
      </c>
      <c r="I7" t="str">
        <f>IF(I4&lt;=H10,"Reject","Do not Reject")</f>
        <v>Do not Reject</v>
      </c>
    </row>
    <row r="8" spans="3:9" x14ac:dyDescent="0.25">
      <c r="C8" s="47" t="s">
        <v>8</v>
      </c>
      <c r="D8">
        <v>0.05</v>
      </c>
      <c r="F8" s="10"/>
      <c r="G8" t="s">
        <v>24</v>
      </c>
      <c r="H8">
        <f>D6</f>
        <v>40</v>
      </c>
      <c r="I8" t="str">
        <f>IF(I4&lt;=H10,"Do not Reject","Reject")</f>
        <v>Reject</v>
      </c>
    </row>
    <row r="9" spans="3:9" x14ac:dyDescent="0.25">
      <c r="C9" s="47"/>
      <c r="F9" s="10"/>
      <c r="G9" s="11"/>
      <c r="H9" s="11"/>
      <c r="I9" s="14"/>
    </row>
    <row r="10" spans="3:9" ht="15.75" thickBot="1" x14ac:dyDescent="0.3">
      <c r="C10" s="47"/>
      <c r="F10" s="17"/>
      <c r="G10" s="18" t="s">
        <v>8</v>
      </c>
      <c r="H10" s="19">
        <f>D8</f>
        <v>0.05</v>
      </c>
      <c r="I10" s="20"/>
    </row>
    <row r="11" spans="3:9" x14ac:dyDescent="0.25">
      <c r="C11" s="47"/>
    </row>
    <row r="12" spans="3:9" x14ac:dyDescent="0.25">
      <c r="C12" s="47" t="s">
        <v>16</v>
      </c>
      <c r="D12" s="50">
        <f>D4/SQRT(D2)</f>
        <v>2.3579999999999997</v>
      </c>
    </row>
    <row r="13" spans="3:9" x14ac:dyDescent="0.25">
      <c r="C13" s="47" t="s">
        <v>21</v>
      </c>
      <c r="D13" s="51">
        <f>(D3-D6)/(D4/SQRT(D2))</f>
        <v>-1.1026293469041568</v>
      </c>
    </row>
    <row r="14" spans="3:9" x14ac:dyDescent="0.25">
      <c r="C14" s="47" t="s">
        <v>22</v>
      </c>
      <c r="D14" s="50">
        <f>D2-1</f>
        <v>24</v>
      </c>
      <c r="E14" s="31"/>
    </row>
    <row r="15" spans="3:9" x14ac:dyDescent="0.25">
      <c r="C15" s="34"/>
      <c r="D15" s="37"/>
      <c r="E15" s="3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1697-8CEE-4D80-B6F1-8886A7CB161F}">
  <dimension ref="C2:H16"/>
  <sheetViews>
    <sheetView workbookViewId="0">
      <selection activeCell="H4" sqref="H4"/>
    </sheetView>
  </sheetViews>
  <sheetFormatPr defaultRowHeight="15" x14ac:dyDescent="0.25"/>
  <cols>
    <col min="3" max="3" width="29.7109375" bestFit="1" customWidth="1"/>
    <col min="6" max="6" width="20.28515625" bestFit="1" customWidth="1"/>
    <col min="7" max="7" width="13.28515625" customWidth="1"/>
    <col min="8" max="8" width="13.7109375" customWidth="1"/>
  </cols>
  <sheetData>
    <row r="2" spans="3:8" x14ac:dyDescent="0.25">
      <c r="C2" s="47" t="s">
        <v>20</v>
      </c>
      <c r="D2">
        <v>400</v>
      </c>
    </row>
    <row r="3" spans="3:8" x14ac:dyDescent="0.25">
      <c r="C3" t="s">
        <v>44</v>
      </c>
      <c r="D3">
        <v>100</v>
      </c>
      <c r="F3" t="s">
        <v>45</v>
      </c>
      <c r="G3" t="s">
        <v>46</v>
      </c>
      <c r="H3" t="s">
        <v>48</v>
      </c>
    </row>
    <row r="4" spans="3:8" x14ac:dyDescent="0.25">
      <c r="F4">
        <f>D5</f>
        <v>0.25</v>
      </c>
      <c r="G4">
        <f>(D5-D8)/D14</f>
        <v>2.4999999999999996</v>
      </c>
      <c r="H4">
        <f>_xlfn.NORM.S.DIST(G4,TRUE)</f>
        <v>0.99379033467422384</v>
      </c>
    </row>
    <row r="5" spans="3:8" x14ac:dyDescent="0.25">
      <c r="C5" s="47" t="s">
        <v>43</v>
      </c>
      <c r="D5">
        <f>D3/D2</f>
        <v>0.25</v>
      </c>
    </row>
    <row r="6" spans="3:8" x14ac:dyDescent="0.25">
      <c r="C6" s="47" t="s">
        <v>29</v>
      </c>
      <c r="D6">
        <v>11.79</v>
      </c>
    </row>
    <row r="7" spans="3:8" x14ac:dyDescent="0.25">
      <c r="C7" s="47"/>
      <c r="F7" s="6" t="s">
        <v>52</v>
      </c>
      <c r="G7" s="60">
        <f>D8</f>
        <v>0.2</v>
      </c>
      <c r="H7" t="str">
        <f>IF(H4&lt;=D10,"Reject", "Do not Reject")</f>
        <v>Do not Reject</v>
      </c>
    </row>
    <row r="8" spans="3:8" x14ac:dyDescent="0.25">
      <c r="C8" s="47" t="s">
        <v>49</v>
      </c>
      <c r="D8">
        <v>0.2</v>
      </c>
      <c r="F8" s="6" t="s">
        <v>53</v>
      </c>
      <c r="G8" s="60">
        <f>D8</f>
        <v>0.2</v>
      </c>
      <c r="H8" t="str">
        <f>IF(H4&lt;=D10,"Do not Reject","Reject")</f>
        <v>Reject</v>
      </c>
    </row>
    <row r="9" spans="3:8" x14ac:dyDescent="0.25">
      <c r="C9" s="47"/>
    </row>
    <row r="10" spans="3:8" x14ac:dyDescent="0.25">
      <c r="C10" s="47" t="s">
        <v>8</v>
      </c>
      <c r="D10">
        <v>0.05</v>
      </c>
    </row>
    <row r="11" spans="3:8" x14ac:dyDescent="0.25">
      <c r="C11" s="47"/>
    </row>
    <row r="12" spans="3:8" x14ac:dyDescent="0.25">
      <c r="C12" s="47"/>
    </row>
    <row r="13" spans="3:8" x14ac:dyDescent="0.25">
      <c r="C13" s="47"/>
    </row>
    <row r="14" spans="3:8" x14ac:dyDescent="0.25">
      <c r="C14" s="47" t="s">
        <v>16</v>
      </c>
      <c r="D14">
        <f>SQRT((D8*(1-D8)/D2))</f>
        <v>0.02</v>
      </c>
    </row>
    <row r="15" spans="3:8" x14ac:dyDescent="0.25">
      <c r="C15" s="47" t="s">
        <v>21</v>
      </c>
      <c r="D15">
        <f>(D5-D8)/D14</f>
        <v>2.4999999999999996</v>
      </c>
    </row>
    <row r="16" spans="3:8" x14ac:dyDescent="0.25">
      <c r="C16" s="47" t="s">
        <v>22</v>
      </c>
      <c r="D16">
        <f>D2-1</f>
        <v>399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C22D-B735-4E47-9E5A-5875EE92A658}">
  <dimension ref="C2:H16"/>
  <sheetViews>
    <sheetView workbookViewId="0">
      <selection activeCell="H4" sqref="H4"/>
    </sheetView>
  </sheetViews>
  <sheetFormatPr defaultRowHeight="15" x14ac:dyDescent="0.25"/>
  <cols>
    <col min="3" max="3" width="29.7109375" bestFit="1" customWidth="1"/>
    <col min="6" max="6" width="20.28515625" bestFit="1" customWidth="1"/>
    <col min="7" max="7" width="19.28515625" bestFit="1" customWidth="1"/>
    <col min="8" max="8" width="13.7109375" customWidth="1"/>
  </cols>
  <sheetData>
    <row r="2" spans="3:8" x14ac:dyDescent="0.25">
      <c r="C2" s="47" t="s">
        <v>20</v>
      </c>
      <c r="D2">
        <v>400</v>
      </c>
    </row>
    <row r="3" spans="3:8" x14ac:dyDescent="0.25">
      <c r="C3" t="s">
        <v>44</v>
      </c>
      <c r="D3">
        <v>100</v>
      </c>
      <c r="F3" t="s">
        <v>45</v>
      </c>
      <c r="G3" t="s">
        <v>46</v>
      </c>
      <c r="H3" t="s">
        <v>47</v>
      </c>
    </row>
    <row r="4" spans="3:8" x14ac:dyDescent="0.25">
      <c r="F4">
        <f>D5</f>
        <v>0.25</v>
      </c>
      <c r="G4">
        <f>(D5-D8)/D14</f>
        <v>2.4999999999999996</v>
      </c>
      <c r="H4">
        <f>1-_xlfn.NORM.S.DIST(G4,TRUE)</f>
        <v>6.2096653257761592E-3</v>
      </c>
    </row>
    <row r="5" spans="3:8" x14ac:dyDescent="0.25">
      <c r="C5" s="47" t="s">
        <v>43</v>
      </c>
      <c r="D5">
        <f>D3/D2</f>
        <v>0.25</v>
      </c>
    </row>
    <row r="6" spans="3:8" x14ac:dyDescent="0.25">
      <c r="C6" s="47" t="s">
        <v>29</v>
      </c>
      <c r="D6">
        <v>11.79</v>
      </c>
    </row>
    <row r="7" spans="3:8" x14ac:dyDescent="0.25">
      <c r="C7" s="47"/>
      <c r="F7" s="6" t="s">
        <v>50</v>
      </c>
      <c r="G7">
        <f>D8</f>
        <v>0.2</v>
      </c>
      <c r="H7" t="str">
        <f>IF(H4&lt;=D10,"Reject", "Do not Reject")</f>
        <v>Reject</v>
      </c>
    </row>
    <row r="8" spans="3:8" x14ac:dyDescent="0.25">
      <c r="C8" s="47" t="s">
        <v>49</v>
      </c>
      <c r="D8">
        <v>0.2</v>
      </c>
      <c r="F8" s="6" t="s">
        <v>51</v>
      </c>
      <c r="G8">
        <f>D8</f>
        <v>0.2</v>
      </c>
      <c r="H8" t="str">
        <f>IF(H4&lt;=D10,"Do not Reject","Reject")</f>
        <v>Do not Reject</v>
      </c>
    </row>
    <row r="9" spans="3:8" x14ac:dyDescent="0.25">
      <c r="C9" s="47"/>
    </row>
    <row r="10" spans="3:8" x14ac:dyDescent="0.25">
      <c r="C10" s="47" t="s">
        <v>8</v>
      </c>
      <c r="D10">
        <v>0.05</v>
      </c>
    </row>
    <row r="11" spans="3:8" x14ac:dyDescent="0.25">
      <c r="C11" s="47"/>
    </row>
    <row r="12" spans="3:8" x14ac:dyDescent="0.25">
      <c r="C12" s="47"/>
    </row>
    <row r="13" spans="3:8" x14ac:dyDescent="0.25">
      <c r="C13" s="47"/>
    </row>
    <row r="14" spans="3:8" x14ac:dyDescent="0.25">
      <c r="C14" s="47" t="s">
        <v>16</v>
      </c>
      <c r="D14">
        <f>SQRT((D8*(1-D8)/D2))</f>
        <v>0.02</v>
      </c>
    </row>
    <row r="15" spans="3:8" x14ac:dyDescent="0.25">
      <c r="C15" s="47" t="s">
        <v>21</v>
      </c>
      <c r="D15">
        <f>(D5-D8)/D14</f>
        <v>2.4999999999999996</v>
      </c>
    </row>
    <row r="16" spans="3:8" x14ac:dyDescent="0.25">
      <c r="C16" s="47" t="s">
        <v>22</v>
      </c>
      <c r="D16">
        <f>D2-1</f>
        <v>399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2351-D62A-435A-AF40-45B8B958C0F6}">
  <dimension ref="C2:K16"/>
  <sheetViews>
    <sheetView workbookViewId="0">
      <selection activeCell="G5" sqref="G5"/>
    </sheetView>
  </sheetViews>
  <sheetFormatPr defaultRowHeight="15" x14ac:dyDescent="0.25"/>
  <cols>
    <col min="3" max="3" width="29.7109375" bestFit="1" customWidth="1"/>
    <col min="6" max="7" width="19.28515625" bestFit="1" customWidth="1"/>
    <col min="8" max="8" width="13.7109375" customWidth="1"/>
  </cols>
  <sheetData>
    <row r="2" spans="3:11" x14ac:dyDescent="0.25">
      <c r="C2" s="47" t="s">
        <v>20</v>
      </c>
      <c r="D2">
        <v>400</v>
      </c>
    </row>
    <row r="3" spans="3:11" x14ac:dyDescent="0.25">
      <c r="C3" t="s">
        <v>44</v>
      </c>
      <c r="D3">
        <v>100</v>
      </c>
      <c r="F3" t="s">
        <v>45</v>
      </c>
      <c r="G3" t="s">
        <v>46</v>
      </c>
      <c r="H3" t="s">
        <v>48</v>
      </c>
      <c r="J3" s="12"/>
    </row>
    <row r="4" spans="3:11" x14ac:dyDescent="0.25">
      <c r="F4">
        <f>D5</f>
        <v>0.25</v>
      </c>
      <c r="G4">
        <f>(D5-D8)/D14</f>
        <v>2.4999999999999996</v>
      </c>
      <c r="H4" s="2">
        <f>2*(1 - _xlfn.NORM.S.DIST(ABS(G4), TRUE))</f>
        <v>1.2419330651552318E-2</v>
      </c>
      <c r="K4" s="14"/>
    </row>
    <row r="5" spans="3:11" x14ac:dyDescent="0.25">
      <c r="C5" s="47" t="s">
        <v>43</v>
      </c>
      <c r="D5">
        <f>D3/D2</f>
        <v>0.25</v>
      </c>
      <c r="F5" s="79"/>
      <c r="G5" s="80"/>
      <c r="K5" s="14"/>
    </row>
    <row r="6" spans="3:11" x14ac:dyDescent="0.25">
      <c r="C6" s="47" t="s">
        <v>29</v>
      </c>
      <c r="D6">
        <v>11.79</v>
      </c>
      <c r="F6" s="79"/>
      <c r="G6" s="78"/>
    </row>
    <row r="7" spans="3:11" x14ac:dyDescent="0.25">
      <c r="C7" s="47"/>
    </row>
    <row r="8" spans="3:11" x14ac:dyDescent="0.25">
      <c r="C8" s="47" t="s">
        <v>49</v>
      </c>
      <c r="D8">
        <v>0.2</v>
      </c>
      <c r="F8" s="6" t="s">
        <v>54</v>
      </c>
      <c r="G8" s="60">
        <f>D8</f>
        <v>0.2</v>
      </c>
      <c r="H8" t="str">
        <f>IF(H4&lt;=D10,"Reject", "Do not Reject")</f>
        <v>Reject</v>
      </c>
    </row>
    <row r="9" spans="3:11" x14ac:dyDescent="0.25">
      <c r="C9" s="47"/>
      <c r="F9" s="6" t="s">
        <v>55</v>
      </c>
      <c r="G9" s="60">
        <f>D8</f>
        <v>0.2</v>
      </c>
      <c r="H9" t="str">
        <f>IF(H4&lt;=D10,"Do not Reject","Reject")</f>
        <v>Do not Reject</v>
      </c>
    </row>
    <row r="10" spans="3:11" x14ac:dyDescent="0.25">
      <c r="C10" s="47" t="s">
        <v>8</v>
      </c>
      <c r="D10">
        <v>0.05</v>
      </c>
    </row>
    <row r="11" spans="3:11" x14ac:dyDescent="0.25">
      <c r="C11" s="47"/>
    </row>
    <row r="12" spans="3:11" x14ac:dyDescent="0.25">
      <c r="C12" s="47"/>
    </row>
    <row r="13" spans="3:11" x14ac:dyDescent="0.25">
      <c r="C13" s="47"/>
    </row>
    <row r="14" spans="3:11" x14ac:dyDescent="0.25">
      <c r="C14" s="47" t="s">
        <v>16</v>
      </c>
      <c r="D14">
        <f>SQRT((D8*(1-D8)/D2))</f>
        <v>0.02</v>
      </c>
    </row>
    <row r="15" spans="3:11" x14ac:dyDescent="0.25">
      <c r="C15" s="47" t="s">
        <v>21</v>
      </c>
      <c r="D15">
        <f>(D5-D8)/D14</f>
        <v>2.4999999999999996</v>
      </c>
    </row>
    <row r="16" spans="3:11" x14ac:dyDescent="0.25">
      <c r="C16" s="47" t="s">
        <v>22</v>
      </c>
      <c r="D16">
        <f>D2-1</f>
        <v>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E12A-D251-4981-A9C5-2E47C8AE7CD2}">
  <dimension ref="A2:S13"/>
  <sheetViews>
    <sheetView topLeftCell="B2" zoomScale="86" zoomScaleNormal="86" workbookViewId="0">
      <selection activeCell="O7" sqref="O7"/>
    </sheetView>
  </sheetViews>
  <sheetFormatPr defaultRowHeight="15" x14ac:dyDescent="0.25"/>
  <cols>
    <col min="1" max="1" width="16.28515625" bestFit="1" customWidth="1"/>
    <col min="4" max="4" width="27.140625" bestFit="1" customWidth="1"/>
    <col min="6" max="6" width="12.7109375" bestFit="1" customWidth="1"/>
    <col min="7" max="7" width="11.85546875" bestFit="1" customWidth="1"/>
    <col min="9" max="9" width="18.42578125" style="23" customWidth="1"/>
    <col min="14" max="14" width="22.140625" bestFit="1" customWidth="1"/>
    <col min="15" max="15" width="17" customWidth="1"/>
  </cols>
  <sheetData>
    <row r="2" spans="1:19" ht="15.75" thickBot="1" x14ac:dyDescent="0.3">
      <c r="P2" s="11"/>
      <c r="Q2" s="11"/>
      <c r="R2" s="11"/>
      <c r="S2" s="11"/>
    </row>
    <row r="3" spans="1:19" ht="30" customHeight="1" thickBot="1" x14ac:dyDescent="0.3">
      <c r="A3" t="s">
        <v>0</v>
      </c>
      <c r="B3">
        <v>36</v>
      </c>
      <c r="D3" s="7"/>
      <c r="E3" s="8"/>
      <c r="F3" s="8"/>
      <c r="G3" s="9"/>
      <c r="H3" s="35"/>
      <c r="I3" s="23" t="s">
        <v>0</v>
      </c>
      <c r="J3">
        <v>36</v>
      </c>
      <c r="P3" s="11"/>
      <c r="Q3" s="16"/>
      <c r="R3" s="12"/>
      <c r="S3" s="63"/>
    </row>
    <row r="4" spans="1:19" ht="45" x14ac:dyDescent="0.25">
      <c r="A4" s="1" t="s">
        <v>60</v>
      </c>
      <c r="B4">
        <v>120</v>
      </c>
      <c r="D4" s="15" t="s">
        <v>56</v>
      </c>
      <c r="E4" s="66">
        <f>B4-ABS(E6)*(B5/SQRT(B3))</f>
        <v>116.71029274609705</v>
      </c>
      <c r="F4" s="11" t="s">
        <v>59</v>
      </c>
      <c r="G4" s="14"/>
      <c r="I4" s="64" t="s">
        <v>62</v>
      </c>
      <c r="J4">
        <v>112</v>
      </c>
      <c r="L4" s="7" t="s">
        <v>2</v>
      </c>
      <c r="M4" s="8"/>
      <c r="N4" s="8"/>
      <c r="O4" s="9" t="s">
        <v>6</v>
      </c>
      <c r="P4" s="11"/>
      <c r="Q4" s="11"/>
      <c r="R4" s="11"/>
      <c r="S4" s="11"/>
    </row>
    <row r="5" spans="1:19" x14ac:dyDescent="0.25">
      <c r="A5" t="s">
        <v>7</v>
      </c>
      <c r="B5">
        <v>12</v>
      </c>
      <c r="D5" s="10"/>
      <c r="E5" s="11"/>
      <c r="F5" s="11"/>
      <c r="G5" s="14"/>
      <c r="I5" s="23" t="s">
        <v>7</v>
      </c>
      <c r="J5">
        <v>12</v>
      </c>
      <c r="L5" s="10">
        <f>J7</f>
        <v>116.71</v>
      </c>
      <c r="M5" s="16" t="s">
        <v>5</v>
      </c>
      <c r="N5" s="67">
        <f>(L5-J4)/(J5/SQRT(J3))</f>
        <v>2.3549999999999969</v>
      </c>
      <c r="O5" s="26">
        <f>_xlfn.NORM.S.DIST(N5,TRUE)</f>
        <v>0.99073864715166371</v>
      </c>
      <c r="P5" s="11"/>
      <c r="Q5" s="11"/>
      <c r="R5" s="11"/>
      <c r="S5" s="11"/>
    </row>
    <row r="6" spans="1:19" x14ac:dyDescent="0.25">
      <c r="D6" s="15" t="s">
        <v>58</v>
      </c>
      <c r="E6" s="12">
        <f>_xlfn.NORM.S.INV(E12)</f>
        <v>-1.6448536269514726</v>
      </c>
      <c r="F6" s="11"/>
      <c r="G6" s="14"/>
      <c r="L6" s="10"/>
      <c r="M6" s="11"/>
      <c r="N6" s="11"/>
      <c r="O6" s="14"/>
      <c r="P6" s="11"/>
      <c r="Q6" s="11"/>
      <c r="R6" s="11"/>
      <c r="S6" s="11"/>
    </row>
    <row r="7" spans="1:19" x14ac:dyDescent="0.25">
      <c r="A7" s="11" t="s">
        <v>2</v>
      </c>
      <c r="B7" t="s">
        <v>57</v>
      </c>
      <c r="D7" s="10"/>
      <c r="E7" s="12"/>
      <c r="F7" s="11"/>
      <c r="G7" s="14"/>
      <c r="I7" s="23" t="s">
        <v>2</v>
      </c>
      <c r="J7" s="65">
        <v>116.71</v>
      </c>
      <c r="L7" s="10"/>
      <c r="M7" s="11"/>
      <c r="N7" s="11" t="s">
        <v>61</v>
      </c>
      <c r="O7" s="28">
        <f>1-O5</f>
        <v>9.2613528483362906E-3</v>
      </c>
      <c r="P7" s="16"/>
      <c r="Q7" s="16"/>
      <c r="R7" s="11"/>
      <c r="S7" s="63"/>
    </row>
    <row r="8" spans="1:19" x14ac:dyDescent="0.25">
      <c r="D8" s="10"/>
      <c r="E8" s="11"/>
      <c r="F8" s="11"/>
      <c r="G8" s="14"/>
      <c r="P8" s="16"/>
      <c r="Q8" s="16"/>
      <c r="R8" s="11"/>
      <c r="S8" s="63"/>
    </row>
    <row r="9" spans="1:19" x14ac:dyDescent="0.25">
      <c r="D9" s="15" t="s">
        <v>3</v>
      </c>
      <c r="E9" s="16" t="s">
        <v>9</v>
      </c>
      <c r="F9" s="11">
        <f>B4</f>
        <v>120</v>
      </c>
      <c r="G9" s="62"/>
      <c r="L9" s="15" t="s">
        <v>3</v>
      </c>
      <c r="M9" s="16" t="s">
        <v>9</v>
      </c>
      <c r="N9" s="11">
        <f>J4</f>
        <v>112</v>
      </c>
      <c r="O9" s="13" t="str">
        <f>IF(O5&lt;=N12, "reject","do not reject")</f>
        <v>do not reject</v>
      </c>
      <c r="P9" s="11"/>
      <c r="Q9" s="11"/>
      <c r="R9" s="11"/>
      <c r="S9" s="11"/>
    </row>
    <row r="10" spans="1:19" x14ac:dyDescent="0.25">
      <c r="D10" s="15" t="s">
        <v>4</v>
      </c>
      <c r="E10" s="16" t="s">
        <v>10</v>
      </c>
      <c r="F10" s="11">
        <f>B4</f>
        <v>120</v>
      </c>
      <c r="G10" s="62"/>
      <c r="L10" s="15" t="s">
        <v>4</v>
      </c>
      <c r="M10" s="16" t="s">
        <v>10</v>
      </c>
      <c r="N10" s="11">
        <f>J4</f>
        <v>112</v>
      </c>
      <c r="O10" s="13" t="str">
        <f>IF(O5&lt;=N12, "do not reject", "reject")</f>
        <v>reject</v>
      </c>
      <c r="P10" s="11"/>
      <c r="Q10" s="16"/>
      <c r="R10" s="11"/>
      <c r="S10" s="11"/>
    </row>
    <row r="11" spans="1:19" x14ac:dyDescent="0.25">
      <c r="D11" s="10"/>
      <c r="E11" s="11"/>
      <c r="F11" s="11"/>
      <c r="G11" s="14"/>
      <c r="L11" s="10"/>
      <c r="M11" s="11"/>
      <c r="N11" s="11"/>
      <c r="O11" s="14"/>
    </row>
    <row r="12" spans="1:19" ht="15.75" thickBot="1" x14ac:dyDescent="0.3">
      <c r="D12" s="22" t="s">
        <v>8</v>
      </c>
      <c r="E12" s="19">
        <v>0.05</v>
      </c>
      <c r="F12" s="19"/>
      <c r="G12" s="20"/>
      <c r="L12" s="17"/>
      <c r="M12" s="18" t="s">
        <v>8</v>
      </c>
      <c r="N12" s="19">
        <v>0.01</v>
      </c>
      <c r="O12" s="20"/>
    </row>
    <row r="13" spans="1:19" ht="45" x14ac:dyDescent="0.25">
      <c r="A13" s="1" t="s">
        <v>17</v>
      </c>
      <c r="B13" s="5">
        <f>B5/SQRT(B3)</f>
        <v>2</v>
      </c>
      <c r="I13" s="64" t="s">
        <v>17</v>
      </c>
      <c r="J13" s="5">
        <f>J5/SQRT(J3)</f>
        <v>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1824-8F33-4817-856E-29AC8D401B3B}">
  <dimension ref="B5:J17"/>
  <sheetViews>
    <sheetView workbookViewId="0">
      <selection activeCell="J8" sqref="J8"/>
    </sheetView>
  </sheetViews>
  <sheetFormatPr defaultRowHeight="15" x14ac:dyDescent="0.25"/>
  <cols>
    <col min="1" max="1" width="3.5703125" customWidth="1"/>
    <col min="2" max="2" width="16.28515625" bestFit="1" customWidth="1"/>
    <col min="5" max="5" width="9.7109375" bestFit="1" customWidth="1"/>
    <col min="7" max="7" width="12.7109375" bestFit="1" customWidth="1"/>
    <col min="10" max="10" width="16.28515625" bestFit="1" customWidth="1"/>
    <col min="13" max="13" width="14.42578125" bestFit="1" customWidth="1"/>
    <col min="15" max="15" width="23.7109375" bestFit="1" customWidth="1"/>
  </cols>
  <sheetData>
    <row r="5" spans="2:10" ht="15.75" thickBot="1" x14ac:dyDescent="0.3">
      <c r="B5" t="s">
        <v>7</v>
      </c>
      <c r="C5">
        <v>12</v>
      </c>
      <c r="G5" s="11"/>
    </row>
    <row r="6" spans="2:10" ht="60" x14ac:dyDescent="0.25">
      <c r="B6" s="1" t="s">
        <v>64</v>
      </c>
      <c r="C6">
        <v>120</v>
      </c>
      <c r="E6" s="72" t="s">
        <v>66</v>
      </c>
      <c r="F6" s="73">
        <f>ABS(_xlfn.NORM.S.INV(C10))</f>
        <v>1.6448536269514726</v>
      </c>
      <c r="G6" s="9"/>
      <c r="H6" s="11"/>
      <c r="J6" s="23"/>
    </row>
    <row r="7" spans="2:10" ht="60" x14ac:dyDescent="0.25">
      <c r="B7" s="1" t="s">
        <v>65</v>
      </c>
      <c r="C7">
        <v>115</v>
      </c>
      <c r="E7" s="15" t="s">
        <v>67</v>
      </c>
      <c r="F7" s="12">
        <f>ABS(_xlfn.NORM.S.INV(C11))</f>
        <v>1.2815515655446006</v>
      </c>
      <c r="G7" s="14"/>
      <c r="H7" s="11"/>
      <c r="J7" s="76"/>
    </row>
    <row r="8" spans="2:10" x14ac:dyDescent="0.25">
      <c r="E8" s="10"/>
      <c r="F8" s="11"/>
      <c r="G8" s="14"/>
      <c r="H8" s="11"/>
      <c r="J8" s="11"/>
    </row>
    <row r="9" spans="2:10" x14ac:dyDescent="0.25">
      <c r="E9" s="15" t="s">
        <v>3</v>
      </c>
      <c r="F9" s="16" t="s">
        <v>9</v>
      </c>
      <c r="G9" s="74">
        <f>C6</f>
        <v>120</v>
      </c>
      <c r="H9" s="11"/>
      <c r="J9" s="11"/>
    </row>
    <row r="10" spans="2:10" ht="15.75" thickBot="1" x14ac:dyDescent="0.3">
      <c r="B10" s="16" t="s">
        <v>8</v>
      </c>
      <c r="C10" s="11">
        <v>0.05</v>
      </c>
      <c r="E10" s="22" t="s">
        <v>4</v>
      </c>
      <c r="F10" s="18" t="s">
        <v>10</v>
      </c>
      <c r="G10" s="75">
        <f>C6</f>
        <v>120</v>
      </c>
      <c r="H10" s="11"/>
      <c r="J10" s="11"/>
    </row>
    <row r="11" spans="2:10" x14ac:dyDescent="0.25">
      <c r="B11" s="69" t="s">
        <v>63</v>
      </c>
      <c r="C11" s="3">
        <v>0.1</v>
      </c>
      <c r="E11" s="11"/>
      <c r="F11" s="11"/>
      <c r="G11" s="11"/>
      <c r="H11" s="11"/>
      <c r="J11" s="11"/>
    </row>
    <row r="12" spans="2:10" x14ac:dyDescent="0.25">
      <c r="E12" s="16"/>
      <c r="F12" s="11"/>
      <c r="G12" s="11"/>
      <c r="H12" s="68"/>
      <c r="J12" s="11"/>
    </row>
    <row r="13" spans="2:10" x14ac:dyDescent="0.25">
      <c r="B13" t="s">
        <v>0</v>
      </c>
      <c r="C13" s="4">
        <f>((F6+F7)^2*C5^2)/(C6-C7)^2</f>
        <v>49.327760739847562</v>
      </c>
      <c r="E13" s="69"/>
      <c r="H13" s="68"/>
      <c r="J13" s="11"/>
    </row>
    <row r="14" spans="2:10" x14ac:dyDescent="0.25">
      <c r="B14" s="71" t="s">
        <v>68</v>
      </c>
      <c r="C14">
        <f>ROUNDUP(C13,0)</f>
        <v>50</v>
      </c>
      <c r="H14" s="11"/>
      <c r="J14" s="11"/>
    </row>
    <row r="15" spans="2:10" x14ac:dyDescent="0.25">
      <c r="H15" s="11"/>
      <c r="J15" s="11"/>
    </row>
    <row r="16" spans="2:10" ht="30" customHeight="1" x14ac:dyDescent="0.25">
      <c r="B16" s="1"/>
      <c r="C16" s="5"/>
      <c r="J16" s="76"/>
    </row>
    <row r="17" spans="10:10" x14ac:dyDescent="0.25">
      <c r="J17" s="11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69900-156F-4776-8626-5DEBB5FE3415}">
  <dimension ref="B5:J17"/>
  <sheetViews>
    <sheetView workbookViewId="0">
      <selection activeCell="I7" sqref="I7"/>
    </sheetView>
  </sheetViews>
  <sheetFormatPr defaultRowHeight="15" x14ac:dyDescent="0.25"/>
  <cols>
    <col min="1" max="1" width="3.5703125" customWidth="1"/>
    <col min="2" max="2" width="16.28515625" bestFit="1" customWidth="1"/>
    <col min="5" max="5" width="9.7109375" bestFit="1" customWidth="1"/>
    <col min="6" max="6" width="11.5703125" bestFit="1" customWidth="1"/>
    <col min="7" max="7" width="12.7109375" bestFit="1" customWidth="1"/>
    <col min="10" max="10" width="16.28515625" bestFit="1" customWidth="1"/>
    <col min="13" max="13" width="14.42578125" bestFit="1" customWidth="1"/>
    <col min="15" max="15" width="23.7109375" bestFit="1" customWidth="1"/>
  </cols>
  <sheetData>
    <row r="5" spans="2:10" ht="15.75" thickBot="1" x14ac:dyDescent="0.3">
      <c r="B5" t="s">
        <v>7</v>
      </c>
      <c r="C5">
        <v>12</v>
      </c>
      <c r="G5" s="11"/>
    </row>
    <row r="6" spans="2:10" ht="60" x14ac:dyDescent="0.25">
      <c r="B6" s="1" t="s">
        <v>64</v>
      </c>
      <c r="C6">
        <v>120</v>
      </c>
      <c r="E6" s="72" t="s">
        <v>66</v>
      </c>
      <c r="F6" s="73">
        <f>ABS(_xlfn.NORM.S.INV(C10/2))</f>
        <v>1.9599639845400538</v>
      </c>
      <c r="G6" s="9"/>
      <c r="H6" s="11"/>
      <c r="J6" s="23"/>
    </row>
    <row r="7" spans="2:10" ht="60" x14ac:dyDescent="0.25">
      <c r="B7" s="1" t="s">
        <v>65</v>
      </c>
      <c r="C7">
        <v>115</v>
      </c>
      <c r="E7" s="15" t="s">
        <v>67</v>
      </c>
      <c r="F7" s="12">
        <f>ABS(_xlfn.NORM.S.INV(C11))</f>
        <v>1.2815515655446006</v>
      </c>
      <c r="G7" s="14"/>
      <c r="H7" s="11"/>
      <c r="J7" s="76"/>
    </row>
    <row r="8" spans="2:10" x14ac:dyDescent="0.25">
      <c r="E8" s="10"/>
      <c r="F8" s="11"/>
      <c r="G8" s="14"/>
      <c r="H8" s="11"/>
      <c r="J8" s="11"/>
    </row>
    <row r="9" spans="2:10" x14ac:dyDescent="0.25">
      <c r="E9" s="15" t="s">
        <v>3</v>
      </c>
      <c r="F9" s="16" t="s">
        <v>14</v>
      </c>
      <c r="G9" s="74">
        <f>C6</f>
        <v>120</v>
      </c>
      <c r="H9" s="11"/>
      <c r="J9" s="11"/>
    </row>
    <row r="10" spans="2:10" ht="15.75" thickBot="1" x14ac:dyDescent="0.3">
      <c r="B10" s="16" t="s">
        <v>8</v>
      </c>
      <c r="C10" s="11">
        <v>0.05</v>
      </c>
      <c r="E10" s="22" t="s">
        <v>4</v>
      </c>
      <c r="F10" s="18" t="s">
        <v>69</v>
      </c>
      <c r="G10" s="75">
        <f>C6</f>
        <v>120</v>
      </c>
      <c r="H10" s="11"/>
      <c r="J10" s="11"/>
    </row>
    <row r="11" spans="2:10" x14ac:dyDescent="0.25">
      <c r="B11" s="69" t="s">
        <v>63</v>
      </c>
      <c r="C11" s="3">
        <v>0.1</v>
      </c>
      <c r="E11" s="11"/>
      <c r="F11" s="11"/>
      <c r="G11" s="11"/>
      <c r="H11" s="11"/>
      <c r="J11" s="11"/>
    </row>
    <row r="12" spans="2:10" x14ac:dyDescent="0.25">
      <c r="E12" s="16"/>
      <c r="F12" s="11"/>
      <c r="G12" s="11"/>
      <c r="H12" s="68"/>
      <c r="J12" s="11"/>
    </row>
    <row r="13" spans="2:10" x14ac:dyDescent="0.25">
      <c r="B13" t="s">
        <v>0</v>
      </c>
      <c r="C13" s="4">
        <f>((F6+F7)^2*C5^2)/(C6-C7)^2</f>
        <v>60.522756833897965</v>
      </c>
      <c r="E13" s="69"/>
      <c r="H13" s="68"/>
      <c r="J13" s="11"/>
    </row>
    <row r="14" spans="2:10" x14ac:dyDescent="0.25">
      <c r="B14" s="71" t="s">
        <v>68</v>
      </c>
      <c r="C14">
        <f>ROUNDUP(C13,0)</f>
        <v>61</v>
      </c>
      <c r="H14" s="11"/>
      <c r="J14" s="11"/>
    </row>
    <row r="15" spans="2:10" x14ac:dyDescent="0.25">
      <c r="H15" s="11"/>
      <c r="J15" s="11"/>
    </row>
    <row r="16" spans="2:10" ht="30" customHeight="1" x14ac:dyDescent="0.25">
      <c r="B16" s="1"/>
      <c r="C16" s="5"/>
      <c r="J16" s="76"/>
    </row>
    <row r="17" spans="10:10" x14ac:dyDescent="0.25">
      <c r="J17" s="1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2540-68FF-4AE5-87E6-B101D96060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pop mean, stdev known low tail</vt:lpstr>
      <vt:lpstr>pop mean, stdev known upp. tail</vt:lpstr>
      <vt:lpstr>pop mean, stdev known 2 tail</vt:lpstr>
      <vt:lpstr>pop mean stdev unknown upp tail</vt:lpstr>
      <vt:lpstr>pop mean stdev unknown low tail</vt:lpstr>
      <vt:lpstr>pop mean stdev unknown 2 tail</vt:lpstr>
      <vt:lpstr>9.5 Pop proportion lower ta</vt:lpstr>
      <vt:lpstr>9.5 Pop proportion upper tail</vt:lpstr>
      <vt:lpstr>9.5 Pop proportion 2 tail</vt:lpstr>
      <vt:lpstr>9.7 type 2 error</vt:lpstr>
      <vt:lpstr>9.8 sample size 4 1 tail hypoth</vt:lpstr>
      <vt:lpstr>9.8 sample size 4 2 tail hypoth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Alvarez</dc:creator>
  <cp:lastModifiedBy>Cristian Alvarez</cp:lastModifiedBy>
  <dcterms:created xsi:type="dcterms:W3CDTF">2025-08-18T23:37:24Z</dcterms:created>
  <dcterms:modified xsi:type="dcterms:W3CDTF">2025-08-26T20:32:03Z</dcterms:modified>
</cp:coreProperties>
</file>