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59F78298-3A05-443F-ACA6-356C5F7B5AF0}" xr6:coauthVersionLast="47" xr6:coauthVersionMax="47" xr10:uidLastSave="{00000000-0000-0000-0000-000000000000}"/>
  <bookViews>
    <workbookView xWindow="-120" yWindow="-120" windowWidth="20730" windowHeight="11040" activeTab="1" xr2:uid="{63C7333A-2FE8-4BCA-8581-0041CC745614}"/>
  </bookViews>
  <sheets>
    <sheet name="Discrete Probabilty" sheetId="1" r:id="rId1"/>
    <sheet name="binomial probability" sheetId="2" r:id="rId2"/>
    <sheet name="poisson prob" sheetId="3" r:id="rId3"/>
    <sheet name="hypergeometr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2" i="1" s="1"/>
  <c r="F2" i="1" s="1"/>
  <c r="K3" i="4"/>
  <c r="F3" i="4"/>
  <c r="J4" i="4"/>
  <c r="K4" i="4" s="1"/>
  <c r="D1" i="3"/>
  <c r="D2" i="1"/>
  <c r="F6" i="4"/>
  <c r="F4" i="4"/>
  <c r="F5" i="4" s="1"/>
  <c r="B9" i="4"/>
  <c r="B10" i="4" s="1"/>
  <c r="B11" i="4" s="1"/>
  <c r="B2" i="2"/>
  <c r="B9" i="3"/>
  <c r="B8" i="3"/>
  <c r="C9" i="2"/>
  <c r="C8" i="2"/>
  <c r="C7" i="2"/>
  <c r="B3" i="2"/>
  <c r="B4" i="2"/>
  <c r="B5" i="2"/>
  <c r="D3" i="1"/>
  <c r="D4" i="1"/>
  <c r="D5" i="1"/>
  <c r="D6" i="1"/>
  <c r="D7" i="1"/>
  <c r="E7" i="1" l="1"/>
  <c r="F7" i="1" s="1"/>
  <c r="E6" i="1"/>
  <c r="F6" i="1" s="1"/>
  <c r="E5" i="1"/>
  <c r="F5" i="1" s="1"/>
  <c r="E4" i="1"/>
  <c r="F4" i="1" s="1"/>
  <c r="E3" i="1"/>
  <c r="F3" i="1" s="1"/>
  <c r="J5" i="4"/>
  <c r="G6" i="4"/>
  <c r="F9" i="1" l="1"/>
  <c r="F10" i="1" s="1"/>
  <c r="J6" i="4"/>
  <c r="K5" i="4"/>
  <c r="K6" i="4" l="1"/>
</calcChain>
</file>

<file path=xl/sharedStrings.xml><?xml version="1.0" encoding="utf-8"?>
<sst xmlns="http://schemas.openxmlformats.org/spreadsheetml/2006/main" count="35" uniqueCount="26">
  <si>
    <t>x</t>
  </si>
  <si>
    <t>f(x)</t>
  </si>
  <si>
    <t>x*f(x)</t>
  </si>
  <si>
    <t>Sum</t>
  </si>
  <si>
    <t>E(x)=u=</t>
  </si>
  <si>
    <t>(x-u)^2</t>
  </si>
  <si>
    <t>&lt;--*f(X)</t>
  </si>
  <si>
    <t>variance</t>
  </si>
  <si>
    <t>stdev</t>
  </si>
  <si>
    <t>cars</t>
  </si>
  <si>
    <t>E(x)</t>
  </si>
  <si>
    <t>For 3 customers</t>
  </si>
  <si>
    <t>number of trials (n)</t>
  </si>
  <si>
    <t>number of elements in population (N)</t>
  </si>
  <si>
    <t>number of elements in the population labeled success (r)</t>
  </si>
  <si>
    <t>15 minute mean (u)</t>
  </si>
  <si>
    <t>mean of distribution</t>
  </si>
  <si>
    <t>variance equals mean in poisson</t>
  </si>
  <si>
    <t>Probability of finding x defective fuses f(x)</t>
  </si>
  <si>
    <t>probability of x=</t>
  </si>
  <si>
    <t>p(x&gt;0)</t>
  </si>
  <si>
    <t>p(x=0)</t>
  </si>
  <si>
    <t>p(x=1)</t>
  </si>
  <si>
    <t>p(x&lt;=1)</t>
  </si>
  <si>
    <t>Manually Calculated</t>
  </si>
  <si>
    <t>p(x) or 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</si>
</sst>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Graphical</a:t>
            </a:r>
            <a:r>
              <a:rPr lang="en-US" baseline="0"/>
              <a:t> Representation of the probability Distribution for the # of cars sold during a day @ Dicarlo Motors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'Discrete Probabilty'!$A$2:$A$7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'Discrete Probabilty'!$B$2:$B$7</c:f>
              <c:numCache>
                <c:formatCode>General</c:formatCode>
                <c:ptCount val="6"/>
                <c:pt idx="0">
                  <c:v>0.18</c:v>
                </c:pt>
                <c:pt idx="1">
                  <c:v>0.39</c:v>
                </c:pt>
                <c:pt idx="2">
                  <c:v>0.24</c:v>
                </c:pt>
                <c:pt idx="3">
                  <c:v>0.14000000000000001</c:v>
                </c:pt>
                <c:pt idx="4">
                  <c:v>0.04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4147-9B99-C6C936DC8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427456"/>
        <c:axId val="357421696"/>
      </c:barChart>
      <c:catAx>
        <c:axId val="35742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</a:t>
                </a:r>
                <a:r>
                  <a:rPr lang="en-US" baseline="0"/>
                  <a:t> cars sold during a day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1696"/>
        <c:crosses val="autoZero"/>
        <c:auto val="1"/>
        <c:lblAlgn val="ctr"/>
        <c:lblOffset val="100"/>
        <c:noMultiLvlLbl val="0"/>
      </c:catAx>
      <c:valAx>
        <c:axId val="35742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probability'!$B$1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probability'!$A$2:$A$5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'binomial probability'!$B$2:$B$5</c:f>
              <c:numCache>
                <c:formatCode>General</c:formatCode>
                <c:ptCount val="4"/>
                <c:pt idx="0">
                  <c:v>0.34300000000000003</c:v>
                </c:pt>
                <c:pt idx="1">
                  <c:v>0.441</c:v>
                </c:pt>
                <c:pt idx="2">
                  <c:v>0.18900000000000008</c:v>
                </c:pt>
                <c:pt idx="3">
                  <c:v>2.6999999999999982E-2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4-4AA5-AF46-A389BDC7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414575"/>
        <c:axId val="1212415055"/>
      </c:barChart>
      <c:catAx>
        <c:axId val="12124145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15055"/>
        <c:crosses val="autoZero"/>
        <c:auto val="1"/>
        <c:lblAlgn val="ctr"/>
        <c:lblOffset val="100"/>
        <c:noMultiLvlLbl val="0"/>
      </c:catAx>
      <c:valAx>
        <c:axId val="12124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1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hypergeometric!$K$2</c:f>
              <c:strCache>
                <c:ptCount val="1"/>
                <c:pt idx="0">
                  <c:v>p(x) or f(x)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hypergeometric!$J$3:$J$6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hypergeometric!$K$3:$K$6</c:f>
              <c:numCache>
                <c:formatCode>General</c:formatCode>
                <c:ptCount val="4"/>
                <c:pt idx="0">
                  <c:v>0.15909090909090923</c:v>
                </c:pt>
                <c:pt idx="1">
                  <c:v>0.47727272727272707</c:v>
                </c:pt>
                <c:pt idx="2">
                  <c:v>0.31818181818181807</c:v>
                </c:pt>
                <c:pt idx="3">
                  <c:v>4.5454545454545491E-2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9-4C3C-A48C-A672C08A0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165823"/>
        <c:axId val="685159103"/>
      </c:barChart>
      <c:catAx>
        <c:axId val="6851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59103"/>
        <c:crosses val="autoZero"/>
        <c:auto val="1"/>
        <c:lblAlgn val="ctr"/>
        <c:lblOffset val="100"/>
        <c:noMultiLvlLbl val="0"/>
      </c:catAx>
      <c:valAx>
        <c:axId val="68515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6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1</xdr:row>
      <xdr:rowOff>66675</xdr:rowOff>
    </xdr:from>
    <xdr:to>
      <xdr:col>15</xdr:col>
      <xdr:colOff>190499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234E7-D5AE-E546-6137-0B5CEB673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10</xdr:row>
      <xdr:rowOff>133350</xdr:rowOff>
    </xdr:from>
    <xdr:to>
      <xdr:col>3</xdr:col>
      <xdr:colOff>409575</xdr:colOff>
      <xdr:row>17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657A0B-258E-929A-5E83-0751952FF162}"/>
            </a:ext>
          </a:extLst>
        </xdr:cNvPr>
        <xdr:cNvSpPr txBox="1"/>
      </xdr:nvSpPr>
      <xdr:spPr>
        <a:xfrm>
          <a:off x="333375" y="2038350"/>
          <a:ext cx="234315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Probability of next</a:t>
          </a:r>
          <a:r>
            <a:rPr lang="en-US" sz="1100" baseline="0"/>
            <a:t> three customers, x customers making a purchase. When the probability of any one customer making a purchase is 0.3. </a:t>
          </a:r>
          <a:endParaRPr lang="en-US" sz="1100"/>
        </a:p>
      </xdr:txBody>
    </xdr:sp>
    <xdr:clientData/>
  </xdr:twoCellAnchor>
  <xdr:twoCellAnchor>
    <xdr:from>
      <xdr:col>5</xdr:col>
      <xdr:colOff>214312</xdr:colOff>
      <xdr:row>0</xdr:row>
      <xdr:rowOff>185737</xdr:rowOff>
    </xdr:from>
    <xdr:to>
      <xdr:col>12</xdr:col>
      <xdr:colOff>519112</xdr:colOff>
      <xdr:row>15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F229C4-CA9D-9436-B992-F79353F92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7</xdr:row>
      <xdr:rowOff>23812</xdr:rowOff>
    </xdr:from>
    <xdr:to>
      <xdr:col>15</xdr:col>
      <xdr:colOff>457200</xdr:colOff>
      <xdr:row>21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AE48F-1B7C-2501-71DB-CEB9EC66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ECC3-759B-4C40-B37C-29C9047CA200}">
  <dimension ref="A1:G10"/>
  <sheetViews>
    <sheetView workbookViewId="0">
      <selection activeCell="D8" sqref="D8"/>
    </sheetView>
  </sheetViews>
  <sheetFormatPr defaultRowHeight="15" x14ac:dyDescent="0.25"/>
  <cols>
    <col min="6" max="6" width="11.5703125" bestFit="1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5</v>
      </c>
      <c r="F1" t="s">
        <v>6</v>
      </c>
    </row>
    <row r="2" spans="1:7" x14ac:dyDescent="0.25">
      <c r="A2">
        <v>0</v>
      </c>
      <c r="B2">
        <v>0.18</v>
      </c>
      <c r="D2">
        <f>A2*B2</f>
        <v>0</v>
      </c>
      <c r="E2">
        <f>(A2-$D$9)^2</f>
        <v>2.25</v>
      </c>
      <c r="F2">
        <f>E2*B2</f>
        <v>0.40499999999999997</v>
      </c>
    </row>
    <row r="3" spans="1:7" x14ac:dyDescent="0.25">
      <c r="A3">
        <v>1</v>
      </c>
      <c r="B3">
        <v>0.39</v>
      </c>
      <c r="D3">
        <f>A3*B3</f>
        <v>0.39</v>
      </c>
      <c r="E3">
        <f>(A3-$D$9)^2</f>
        <v>0.25</v>
      </c>
      <c r="F3">
        <f>E3*B3</f>
        <v>9.7500000000000003E-2</v>
      </c>
    </row>
    <row r="4" spans="1:7" x14ac:dyDescent="0.25">
      <c r="A4">
        <v>2</v>
      </c>
      <c r="B4">
        <v>0.24</v>
      </c>
      <c r="D4">
        <f>A4*B4</f>
        <v>0.48</v>
      </c>
      <c r="E4">
        <f>(A4-$D$9)^2</f>
        <v>0.25</v>
      </c>
      <c r="F4">
        <f t="shared" ref="F4:F7" si="0">E4*B4</f>
        <v>0.06</v>
      </c>
    </row>
    <row r="5" spans="1:7" x14ac:dyDescent="0.25">
      <c r="A5">
        <v>3</v>
      </c>
      <c r="B5">
        <v>0.14000000000000001</v>
      </c>
      <c r="D5">
        <f>A5*B5</f>
        <v>0.42000000000000004</v>
      </c>
      <c r="E5">
        <f>(A5-$D$9)^2</f>
        <v>2.25</v>
      </c>
      <c r="F5">
        <f t="shared" si="0"/>
        <v>0.31500000000000006</v>
      </c>
    </row>
    <row r="6" spans="1:7" x14ac:dyDescent="0.25">
      <c r="A6">
        <v>4</v>
      </c>
      <c r="B6">
        <v>0.04</v>
      </c>
      <c r="D6">
        <f>A6*B6</f>
        <v>0.16</v>
      </c>
      <c r="E6">
        <f>(A6-$D$9)^2</f>
        <v>6.25</v>
      </c>
      <c r="F6">
        <f t="shared" si="0"/>
        <v>0.25</v>
      </c>
    </row>
    <row r="7" spans="1:7" x14ac:dyDescent="0.25">
      <c r="A7">
        <v>5</v>
      </c>
      <c r="B7">
        <v>0.01</v>
      </c>
      <c r="D7">
        <f>A7*B7</f>
        <v>0.05</v>
      </c>
      <c r="E7">
        <f>(A7-$D$9)^2</f>
        <v>12.25</v>
      </c>
      <c r="F7">
        <f t="shared" si="0"/>
        <v>0.1225</v>
      </c>
    </row>
    <row r="8" spans="1:7" x14ac:dyDescent="0.25">
      <c r="D8" s="1" t="s">
        <v>3</v>
      </c>
    </row>
    <row r="9" spans="1:7" x14ac:dyDescent="0.25">
      <c r="C9" t="s">
        <v>4</v>
      </c>
      <c r="D9">
        <f>SUM(D2:D7)</f>
        <v>1.5</v>
      </c>
      <c r="E9" t="s">
        <v>7</v>
      </c>
      <c r="F9">
        <f>SUM(F2:F7)</f>
        <v>1.25</v>
      </c>
    </row>
    <row r="10" spans="1:7" x14ac:dyDescent="0.25">
      <c r="E10" t="s">
        <v>8</v>
      </c>
      <c r="F10" s="3">
        <f>SQRT(F9)</f>
        <v>1.1180339887498949</v>
      </c>
      <c r="G10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1CA0-461F-4F5A-87F1-165AEE72EE20}">
  <dimension ref="A1:C9"/>
  <sheetViews>
    <sheetView tabSelected="1" workbookViewId="0">
      <selection activeCell="O9" sqref="O9"/>
    </sheetView>
  </sheetViews>
  <sheetFormatPr defaultRowHeight="15" x14ac:dyDescent="0.25"/>
  <cols>
    <col min="1" max="1" width="15.7109375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f>_xlfn.BINOM.DIST(A2,3,0.3,FALSE)</f>
        <v>0.34300000000000003</v>
      </c>
    </row>
    <row r="3" spans="1:3" x14ac:dyDescent="0.25">
      <c r="A3">
        <v>1</v>
      </c>
      <c r="B3">
        <f t="shared" ref="B3:B5" si="0">_xlfn.BINOM.DIST(A3,3,0.3,FALSE)</f>
        <v>0.441</v>
      </c>
    </row>
    <row r="4" spans="1:3" x14ac:dyDescent="0.25">
      <c r="A4">
        <v>2</v>
      </c>
      <c r="B4">
        <f t="shared" si="0"/>
        <v>0.18900000000000008</v>
      </c>
    </row>
    <row r="5" spans="1:3" x14ac:dyDescent="0.25">
      <c r="A5">
        <v>3</v>
      </c>
      <c r="B5">
        <f t="shared" si="0"/>
        <v>2.6999999999999982E-2</v>
      </c>
    </row>
    <row r="7" spans="1:3" x14ac:dyDescent="0.25">
      <c r="A7" t="s">
        <v>11</v>
      </c>
      <c r="B7" t="s">
        <v>10</v>
      </c>
      <c r="C7">
        <f>3*0.3</f>
        <v>0.89999999999999991</v>
      </c>
    </row>
    <row r="8" spans="1:3" x14ac:dyDescent="0.25">
      <c r="B8" t="s">
        <v>7</v>
      </c>
      <c r="C8">
        <f>3*0.3*0.7</f>
        <v>0.62999999999999989</v>
      </c>
    </row>
    <row r="9" spans="1:3" x14ac:dyDescent="0.25">
      <c r="B9" t="s">
        <v>8</v>
      </c>
      <c r="C9">
        <f>SQRT(C8)</f>
        <v>0.79372539331937708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086D-A2D0-416A-9200-2A628A91D5A4}">
  <dimension ref="A1:D9"/>
  <sheetViews>
    <sheetView workbookViewId="0">
      <selection activeCell="D2" sqref="D2"/>
    </sheetView>
  </sheetViews>
  <sheetFormatPr defaultRowHeight="15" x14ac:dyDescent="0.25"/>
  <cols>
    <col min="1" max="1" width="30" customWidth="1"/>
    <col min="2" max="2" width="10.5703125" bestFit="1" customWidth="1"/>
  </cols>
  <sheetData>
    <row r="1" spans="1:4" ht="27.75" customHeight="1" x14ac:dyDescent="0.25">
      <c r="A1" t="s">
        <v>15</v>
      </c>
      <c r="B1">
        <v>10</v>
      </c>
      <c r="D1">
        <f>_xlfn.POISSON.DIST(B2,B1,FALSE)</f>
        <v>3.7833274802070715E-2</v>
      </c>
    </row>
    <row r="2" spans="1:4" x14ac:dyDescent="0.25">
      <c r="A2" t="s">
        <v>19</v>
      </c>
      <c r="B2">
        <v>5</v>
      </c>
    </row>
    <row r="7" spans="1:4" x14ac:dyDescent="0.25">
      <c r="A7" t="s">
        <v>17</v>
      </c>
    </row>
    <row r="8" spans="1:4" x14ac:dyDescent="0.25">
      <c r="A8" s="7" t="s">
        <v>7</v>
      </c>
      <c r="B8">
        <f>B1</f>
        <v>10</v>
      </c>
    </row>
    <row r="9" spans="1:4" x14ac:dyDescent="0.25">
      <c r="A9" s="7" t="s">
        <v>8</v>
      </c>
      <c r="B9" s="4">
        <f>SQRT(B8)</f>
        <v>3.1622776601683795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D5E6-90D6-4833-BA8C-715A70C3D079}">
  <dimension ref="A1:K11"/>
  <sheetViews>
    <sheetView workbookViewId="0">
      <selection activeCell="G11" sqref="G11"/>
    </sheetView>
  </sheetViews>
  <sheetFormatPr defaultRowHeight="15" x14ac:dyDescent="0.25"/>
  <cols>
    <col min="1" max="1" width="35.5703125" customWidth="1"/>
    <col min="2" max="2" width="11.140625" customWidth="1"/>
    <col min="3" max="3" width="6.7109375" customWidth="1"/>
    <col min="4" max="4" width="7.5703125" customWidth="1"/>
    <col min="6" max="6" width="22.85546875" customWidth="1"/>
    <col min="7" max="7" width="20" customWidth="1"/>
  </cols>
  <sheetData>
    <row r="1" spans="1:11" ht="15.75" thickBot="1" x14ac:dyDescent="0.3"/>
    <row r="2" spans="1:11" ht="31.5" customHeight="1" x14ac:dyDescent="0.25">
      <c r="A2" s="8" t="s">
        <v>12</v>
      </c>
      <c r="B2" s="9">
        <v>3</v>
      </c>
      <c r="E2" s="6"/>
      <c r="F2" s="5" t="s">
        <v>18</v>
      </c>
      <c r="G2" t="s">
        <v>24</v>
      </c>
      <c r="J2" t="s">
        <v>0</v>
      </c>
      <c r="K2" t="s">
        <v>25</v>
      </c>
    </row>
    <row r="3" spans="1:11" ht="33" customHeight="1" x14ac:dyDescent="0.25">
      <c r="A3" s="10" t="s">
        <v>13</v>
      </c>
      <c r="B3" s="11">
        <v>12</v>
      </c>
      <c r="E3" t="s">
        <v>22</v>
      </c>
      <c r="F3" s="2">
        <f>_xlfn.HYPGEOM.DIST(1,$B$2,$B$4,$B$3,FALSE)</f>
        <v>0.47727272727272707</v>
      </c>
      <c r="J3">
        <v>0</v>
      </c>
      <c r="K3">
        <f>_xlfn.HYPGEOM.DIST(J3,$B$2,$B$4,$B$3,FALSE)</f>
        <v>0.15909090909090923</v>
      </c>
    </row>
    <row r="4" spans="1:11" ht="15" customHeight="1" thickBot="1" x14ac:dyDescent="0.3">
      <c r="A4" s="12" t="s">
        <v>14</v>
      </c>
      <c r="B4" s="13">
        <v>5</v>
      </c>
      <c r="E4" t="s">
        <v>21</v>
      </c>
      <c r="F4" s="2">
        <f>_xlfn.HYPGEOM.DIST(0,$B$2,$B$4,$B$3,FALSE)</f>
        <v>0.15909090909090923</v>
      </c>
      <c r="J4">
        <f>J3+1</f>
        <v>1</v>
      </c>
      <c r="K4">
        <f>_xlfn.HYPGEOM.DIST(J4,$B$2,$B$4,$B$3,FALSE)</f>
        <v>0.47727272727272707</v>
      </c>
    </row>
    <row r="5" spans="1:11" x14ac:dyDescent="0.25">
      <c r="E5" t="s">
        <v>20</v>
      </c>
      <c r="F5" s="2">
        <f>1-F4</f>
        <v>0.84090909090909083</v>
      </c>
      <c r="J5">
        <f t="shared" ref="J5:J6" si="0">J4+1</f>
        <v>2</v>
      </c>
      <c r="K5">
        <f>_xlfn.HYPGEOM.DIST(J5,$B$2,$B$4,$B$3,FALSE)</f>
        <v>0.31818181818181807</v>
      </c>
    </row>
    <row r="6" spans="1:11" x14ac:dyDescent="0.25">
      <c r="E6" t="s">
        <v>23</v>
      </c>
      <c r="F6">
        <f>_xlfn.HYPGEOM.DIST(1,$B$2,$B$4,$B$3,TRUE)</f>
        <v>0.63636363636363602</v>
      </c>
      <c r="G6" s="2">
        <f>F3+F4</f>
        <v>0.63636363636363624</v>
      </c>
      <c r="J6">
        <f t="shared" si="0"/>
        <v>3</v>
      </c>
      <c r="K6">
        <f>_xlfn.HYPGEOM.DIST(J6,$B$2,$B$4,$B$3,FALSE)</f>
        <v>4.5454545454545491E-2</v>
      </c>
    </row>
    <row r="9" spans="1:11" x14ac:dyDescent="0.25">
      <c r="A9" s="7" t="s">
        <v>16</v>
      </c>
      <c r="B9">
        <f>B2*(B4/B3)</f>
        <v>1.25</v>
      </c>
    </row>
    <row r="10" spans="1:11" x14ac:dyDescent="0.25">
      <c r="A10" s="7" t="s">
        <v>7</v>
      </c>
      <c r="B10" s="4">
        <f>B9*(1-B4/B3)*((B3-B2)/(B3-1))</f>
        <v>0.59659090909090906</v>
      </c>
    </row>
    <row r="11" spans="1:11" x14ac:dyDescent="0.25">
      <c r="A11" s="7" t="s">
        <v>8</v>
      </c>
      <c r="B11" s="4">
        <f>SQRT(B10)</f>
        <v>0.77239297581665578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Discrete Probabilty</vt:lpstr>
      <vt:lpstr>binomial probability</vt:lpstr>
      <vt:lpstr>poisson prob</vt:lpstr>
      <vt:lpstr>hypergeometric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2025-08-09T01:15:54Z</dcterms:created>
  <dcterms:modified xsi:type="dcterms:W3CDTF">2025-08-16T01:46:35Z</dcterms:modified>
</cp:coreProperties>
</file>