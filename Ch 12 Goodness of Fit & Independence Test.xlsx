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16692\Documents\194 a fall 2021\(5) R files\"/>
    </mc:Choice>
  </mc:AlternateContent>
  <xr:revisionPtr revIDLastSave="0" documentId="13_ncr:1_{94BC6BB5-262B-4F5F-84B3-3603A9B4B0B7}" xr6:coauthVersionLast="47" xr6:coauthVersionMax="47" xr10:uidLastSave="{00000000-0000-0000-0000-000000000000}"/>
  <bookViews>
    <workbookView xWindow="-120" yWindow="-120" windowWidth="20730" windowHeight="11040" firstSheet="1" activeTab="3" xr2:uid="{89EB2A3C-6F98-4895-99B6-5DF9329177C8}"/>
  </bookViews>
  <sheets>
    <sheet name="Goodness fit multinomial pop." sheetId="1" r:id="rId1"/>
    <sheet name="12.2 Test of Independence" sheetId="2" r:id="rId2"/>
    <sheet name="Poisson Distri. Goodness of Fit" sheetId="3" r:id="rId3"/>
    <sheet name="Normal Distri Goodness of FiT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15" i="4" l="1"/>
  <c r="O11" i="4"/>
  <c r="Q11" i="4" s="1"/>
  <c r="R11" i="4" s="1"/>
  <c r="S11" i="4" s="1"/>
  <c r="O2" i="4"/>
  <c r="Q2" i="4" s="1"/>
  <c r="R2" i="4" s="1"/>
  <c r="S2" i="4" s="1"/>
  <c r="S3" i="4"/>
  <c r="S4" i="4"/>
  <c r="S5" i="4"/>
  <c r="S6" i="4"/>
  <c r="S7" i="4"/>
  <c r="S8" i="4"/>
  <c r="S9" i="4"/>
  <c r="S10" i="4"/>
  <c r="R3" i="4"/>
  <c r="R4" i="4"/>
  <c r="R5" i="4"/>
  <c r="R6" i="4"/>
  <c r="R7" i="4"/>
  <c r="R8" i="4"/>
  <c r="R9" i="4"/>
  <c r="R10" i="4"/>
  <c r="Q3" i="4"/>
  <c r="Q4" i="4"/>
  <c r="Q5" i="4"/>
  <c r="Q6" i="4"/>
  <c r="Q7" i="4"/>
  <c r="Q8" i="4"/>
  <c r="Q9" i="4"/>
  <c r="Q10" i="4"/>
  <c r="O3" i="4"/>
  <c r="O4" i="4"/>
  <c r="O5" i="4"/>
  <c r="O6" i="4"/>
  <c r="O7" i="4"/>
  <c r="O8" i="4"/>
  <c r="O9" i="4"/>
  <c r="O10" i="4"/>
  <c r="D7" i="4"/>
  <c r="L7" i="4"/>
  <c r="L8" i="4"/>
  <c r="L9" i="4"/>
  <c r="L10" i="4"/>
  <c r="N7" i="4"/>
  <c r="N8" i="4"/>
  <c r="N9" i="4"/>
  <c r="N10" i="4"/>
  <c r="N6" i="4"/>
  <c r="N5" i="4"/>
  <c r="L3" i="4"/>
  <c r="L6" i="4"/>
  <c r="L5" i="4"/>
  <c r="N4" i="4"/>
  <c r="L4" i="4"/>
  <c r="N3" i="4"/>
  <c r="S13" i="4" l="1"/>
  <c r="J3" i="4"/>
  <c r="J4" i="4"/>
  <c r="J5" i="4"/>
  <c r="J6" i="4"/>
  <c r="J7" i="4"/>
  <c r="J8" i="4"/>
  <c r="J9" i="4"/>
  <c r="J10" i="4"/>
  <c r="J2" i="4"/>
  <c r="I3" i="4"/>
  <c r="I4" i="4"/>
  <c r="I5" i="4"/>
  <c r="I6" i="4"/>
  <c r="I7" i="4"/>
  <c r="I8" i="4"/>
  <c r="I9" i="4"/>
  <c r="I10" i="4"/>
  <c r="I2" i="4"/>
  <c r="H2" i="4"/>
  <c r="E4" i="4"/>
  <c r="E2" i="4"/>
  <c r="H3" i="4"/>
  <c r="H4" i="4"/>
  <c r="H5" i="4"/>
  <c r="H6" i="4"/>
  <c r="H7" i="4"/>
  <c r="H8" i="4"/>
  <c r="H9" i="4"/>
  <c r="H10" i="4"/>
  <c r="D4" i="4"/>
  <c r="D2" i="4"/>
  <c r="F11" i="1"/>
  <c r="F15" i="1" s="1"/>
  <c r="E20" i="2"/>
  <c r="F17" i="1"/>
  <c r="L16" i="3"/>
  <c r="E24" i="2"/>
  <c r="H21" i="2" s="1"/>
  <c r="L15" i="3"/>
  <c r="L5" i="3"/>
  <c r="L6" i="3"/>
  <c r="L7" i="3"/>
  <c r="L8" i="3"/>
  <c r="L9" i="3"/>
  <c r="L10" i="3"/>
  <c r="L11" i="3"/>
  <c r="L12" i="3"/>
  <c r="L4" i="3"/>
  <c r="K7" i="3"/>
  <c r="J5" i="3"/>
  <c r="K5" i="3" s="1"/>
  <c r="J6" i="3"/>
  <c r="K6" i="3" s="1"/>
  <c r="J7" i="3"/>
  <c r="J8" i="3"/>
  <c r="K8" i="3" s="1"/>
  <c r="J9" i="3"/>
  <c r="K9" i="3" s="1"/>
  <c r="J10" i="3"/>
  <c r="K10" i="3" s="1"/>
  <c r="J11" i="3"/>
  <c r="K11" i="3" s="1"/>
  <c r="B18" i="3"/>
  <c r="D14" i="3"/>
  <c r="B16" i="3"/>
  <c r="D8" i="3" s="1"/>
  <c r="E22" i="2"/>
  <c r="B16" i="2"/>
  <c r="D9" i="2"/>
  <c r="C9" i="2"/>
  <c r="B9" i="2"/>
  <c r="E8" i="2"/>
  <c r="E7" i="2"/>
  <c r="F5" i="1"/>
  <c r="D7" i="1"/>
  <c r="D6" i="1"/>
  <c r="F6" i="1" s="1"/>
  <c r="D5" i="1"/>
  <c r="F7" i="1"/>
  <c r="L6" i="1" l="1"/>
  <c r="F13" i="1"/>
  <c r="H22" i="2"/>
  <c r="E8" i="3"/>
  <c r="E14" i="3"/>
  <c r="D4" i="3"/>
  <c r="E4" i="3" s="1"/>
  <c r="D12" i="3"/>
  <c r="E12" i="3" s="1"/>
  <c r="D11" i="3"/>
  <c r="E11" i="3" s="1"/>
  <c r="D10" i="3"/>
  <c r="E10" i="3" s="1"/>
  <c r="D13" i="3"/>
  <c r="E13" i="3" s="1"/>
  <c r="I12" i="3" s="1"/>
  <c r="J12" i="3" s="1"/>
  <c r="K12" i="3" s="1"/>
  <c r="D6" i="3"/>
  <c r="E6" i="3" s="1"/>
  <c r="D9" i="3"/>
  <c r="E9" i="3" s="1"/>
  <c r="D7" i="3"/>
  <c r="E7" i="3" s="1"/>
  <c r="D5" i="3"/>
  <c r="E5" i="3" s="1"/>
  <c r="C17" i="2"/>
  <c r="D16" i="2"/>
  <c r="E9" i="2"/>
  <c r="D17" i="2" s="1"/>
  <c r="F9" i="1"/>
  <c r="I4" i="3" l="1"/>
  <c r="D18" i="2"/>
  <c r="B17" i="2"/>
  <c r="E17" i="2" s="1"/>
  <c r="C16" i="2"/>
  <c r="C18" i="2" s="1"/>
  <c r="J4" i="3" l="1"/>
  <c r="K4" i="3" s="1"/>
  <c r="E16" i="2"/>
  <c r="E18" i="2" s="1"/>
  <c r="B18" i="2"/>
</calcChain>
</file>

<file path=xl/sharedStrings.xml><?xml version="1.0" encoding="utf-8"?>
<sst xmlns="http://schemas.openxmlformats.org/spreadsheetml/2006/main" count="89" uniqueCount="61">
  <si>
    <t>Goodness of Fit Test</t>
  </si>
  <si>
    <t>Observed</t>
  </si>
  <si>
    <t>Expected</t>
  </si>
  <si>
    <t>Frequency</t>
  </si>
  <si>
    <t>Calculations</t>
  </si>
  <si>
    <t>Test Statistic</t>
  </si>
  <si>
    <t>Degrees of Freedom</t>
  </si>
  <si>
    <t>p-Value</t>
  </si>
  <si>
    <t>company A</t>
  </si>
  <si>
    <t>company B</t>
  </si>
  <si>
    <t>company C</t>
  </si>
  <si>
    <t>n</t>
  </si>
  <si>
    <t>Population Proportion</t>
  </si>
  <si>
    <t>X2 Test Statistic</t>
  </si>
  <si>
    <t>or</t>
  </si>
  <si>
    <t>a</t>
  </si>
  <si>
    <t>Reject Ho if X2&gt;=</t>
  </si>
  <si>
    <t xml:space="preserve">Test of Independence </t>
  </si>
  <si>
    <t>Observed Frequencies</t>
  </si>
  <si>
    <t>Beer Peference</t>
  </si>
  <si>
    <t>Gender</t>
  </si>
  <si>
    <t>Light</t>
  </si>
  <si>
    <t>Regular</t>
  </si>
  <si>
    <t>Dark</t>
  </si>
  <si>
    <t>Total</t>
  </si>
  <si>
    <t>Male</t>
  </si>
  <si>
    <t>Female</t>
  </si>
  <si>
    <t>Expected Frequencies</t>
  </si>
  <si>
    <t>p-value</t>
  </si>
  <si>
    <t>Ha: Beer preferance is not independent of gender of drinker</t>
  </si>
  <si>
    <t>Ho: Beer prefrence is independent of gender of the drinker</t>
  </si>
  <si>
    <t># of customers arriving</t>
  </si>
  <si>
    <t>Observed Frequency</t>
  </si>
  <si>
    <t>Poisson Probability</t>
  </si>
  <si>
    <t>sample mean estimate u</t>
  </si>
  <si>
    <t>Expected Number of 5 minute time periods with x arrivals</t>
  </si>
  <si>
    <t>10 or more</t>
  </si>
  <si>
    <t>0 or 1</t>
  </si>
  <si>
    <t>9 or more</t>
  </si>
  <si>
    <t>Chi Square Test Stat x2</t>
  </si>
  <si>
    <t>df</t>
  </si>
  <si>
    <t>Probability</t>
  </si>
  <si>
    <t>differnece</t>
  </si>
  <si>
    <t>squared difference</t>
  </si>
  <si>
    <t>squared difference divided by expected frequency</t>
  </si>
  <si>
    <t>Chemline Test Score for 50 randomly chosen aplicants</t>
  </si>
  <si>
    <t xml:space="preserve">Perentage </t>
  </si>
  <si>
    <t>Z value</t>
  </si>
  <si>
    <t>rounded to match textbook</t>
  </si>
  <si>
    <t>test score at norm percentage</t>
  </si>
  <si>
    <r>
      <t>sample mean x</t>
    </r>
    <r>
      <rPr>
        <b/>
        <sz val="11"/>
        <color theme="1"/>
        <rFont val="Calibri"/>
        <family val="2"/>
      </rPr>
      <t>̅</t>
    </r>
  </si>
  <si>
    <t>sample stdev s</t>
  </si>
  <si>
    <t>to</t>
  </si>
  <si>
    <t xml:space="preserve">Expected Frequency </t>
  </si>
  <si>
    <t>DF</t>
  </si>
  <si>
    <t>81.74 and up</t>
  </si>
  <si>
    <t>less than 55.10</t>
  </si>
  <si>
    <t>Categories</t>
  </si>
  <si>
    <t>X2</t>
  </si>
  <si>
    <t>difference</t>
  </si>
  <si>
    <t>P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</si>
</sst>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71" formatCode="0.000"/>
  </numFmts>
  <fonts count="8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Arial"/>
      <family val="2"/>
    </font>
    <font>
      <sz val="11"/>
      <name val="Arial"/>
      <family val="2"/>
    </font>
    <font>
      <sz val="11"/>
      <color theme="4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FFFF00"/>
      <name val="Aptos Narrow"/>
      <family val="2"/>
      <scheme val="minor"/>
    </font>
    <font>
      <b/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2">
    <xf numFmtId="0" fontId="0" fillId="0" borderId="0" xfId="0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2" fontId="3" fillId="0" borderId="0" xfId="0" applyNumberFormat="1" applyFont="1"/>
    <xf numFmtId="0" fontId="3" fillId="0" borderId="3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0" xfId="0" applyFont="1" applyAlignment="1">
      <alignment horizontal="right"/>
    </xf>
    <xf numFmtId="164" fontId="3" fillId="0" borderId="0" xfId="0" applyNumberFormat="1" applyFont="1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Font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0" fillId="0" borderId="0" xfId="0" applyAlignment="1">
      <alignment horizontal="right"/>
    </xf>
    <xf numFmtId="0" fontId="3" fillId="0" borderId="0" xfId="0" applyFont="1" applyAlignment="1"/>
    <xf numFmtId="0" fontId="0" fillId="0" borderId="0" xfId="0" applyAlignment="1">
      <alignment horizontal="center"/>
    </xf>
    <xf numFmtId="164" fontId="0" fillId="0" borderId="0" xfId="0" applyNumberFormat="1"/>
    <xf numFmtId="0" fontId="2" fillId="0" borderId="0" xfId="0" applyFont="1" applyAlignment="1">
      <alignment horizontal="right"/>
    </xf>
    <xf numFmtId="0" fontId="1" fillId="0" borderId="0" xfId="0" applyFont="1" applyAlignment="1">
      <alignment horizontal="right"/>
    </xf>
    <xf numFmtId="0" fontId="2" fillId="0" borderId="0" xfId="0" applyFont="1" applyAlignment="1">
      <alignment horizontal="center"/>
    </xf>
    <xf numFmtId="0" fontId="3" fillId="0" borderId="14" xfId="0" applyFont="1" applyBorder="1" applyAlignment="1">
      <alignment horizontal="center"/>
    </xf>
    <xf numFmtId="0" fontId="3" fillId="2" borderId="0" xfId="0" applyFont="1" applyFill="1"/>
    <xf numFmtId="0" fontId="2" fillId="2" borderId="0" xfId="0" applyFont="1" applyFill="1" applyAlignment="1">
      <alignment horizontal="center"/>
    </xf>
    <xf numFmtId="0" fontId="2" fillId="2" borderId="0" xfId="0" applyFont="1" applyFill="1"/>
    <xf numFmtId="0" fontId="3" fillId="2" borderId="0" xfId="0" applyFont="1" applyFill="1" applyAlignment="1">
      <alignment horizontal="center"/>
    </xf>
    <xf numFmtId="0" fontId="3" fillId="2" borderId="0" xfId="0" applyFont="1" applyFill="1" applyAlignment="1">
      <alignment horizontal="right"/>
    </xf>
    <xf numFmtId="2" fontId="3" fillId="2" borderId="0" xfId="0" applyNumberFormat="1" applyFont="1" applyFill="1" applyAlignment="1">
      <alignment horizontal="center"/>
    </xf>
    <xf numFmtId="0" fontId="2" fillId="2" borderId="0" xfId="0" applyFont="1" applyFill="1" applyAlignment="1">
      <alignment horizontal="right"/>
    </xf>
    <xf numFmtId="2" fontId="3" fillId="2" borderId="0" xfId="0" applyNumberFormat="1" applyFont="1" applyFill="1" applyAlignment="1">
      <alignment horizontal="right"/>
    </xf>
    <xf numFmtId="164" fontId="3" fillId="2" borderId="0" xfId="0" applyNumberFormat="1" applyFont="1" applyFill="1" applyAlignment="1">
      <alignment horizontal="right"/>
    </xf>
    <xf numFmtId="0" fontId="3" fillId="0" borderId="0" xfId="0" applyFont="1" applyFill="1"/>
    <xf numFmtId="0" fontId="4" fillId="0" borderId="0" xfId="0" applyFont="1"/>
    <xf numFmtId="2" fontId="0" fillId="0" borderId="0" xfId="0" applyNumberFormat="1"/>
    <xf numFmtId="171" fontId="0" fillId="0" borderId="0" xfId="0" applyNumberFormat="1"/>
    <xf numFmtId="0" fontId="0" fillId="0" borderId="0" xfId="0" applyAlignment="1">
      <alignment wrapText="1"/>
    </xf>
    <xf numFmtId="0" fontId="0" fillId="0" borderId="1" xfId="0" applyBorder="1"/>
    <xf numFmtId="0" fontId="0" fillId="0" borderId="14" xfId="0" applyBorder="1"/>
    <xf numFmtId="0" fontId="0" fillId="0" borderId="2" xfId="0" applyBorder="1" applyAlignment="1">
      <alignment wrapText="1"/>
    </xf>
    <xf numFmtId="0" fontId="0" fillId="0" borderId="3" xfId="0" applyBorder="1"/>
    <xf numFmtId="0" fontId="0" fillId="0" borderId="0" xfId="0" applyBorder="1"/>
    <xf numFmtId="171" fontId="0" fillId="0" borderId="4" xfId="0" applyNumberFormat="1" applyBorder="1"/>
    <xf numFmtId="0" fontId="5" fillId="0" borderId="5" xfId="0" applyFont="1" applyFill="1" applyBorder="1" applyAlignment="1">
      <alignment horizontal="right"/>
    </xf>
    <xf numFmtId="0" fontId="5" fillId="0" borderId="8" xfId="0" applyFont="1" applyFill="1" applyBorder="1"/>
    <xf numFmtId="0" fontId="6" fillId="0" borderId="8" xfId="0" applyFont="1" applyFill="1" applyBorder="1"/>
    <xf numFmtId="0" fontId="0" fillId="0" borderId="0" xfId="0" applyFill="1" applyBorder="1"/>
    <xf numFmtId="0" fontId="0" fillId="0" borderId="8" xfId="0" applyFill="1" applyBorder="1"/>
    <xf numFmtId="171" fontId="0" fillId="3" borderId="4" xfId="0" applyNumberFormat="1" applyFill="1" applyBorder="1"/>
    <xf numFmtId="171" fontId="5" fillId="3" borderId="6" xfId="0" applyNumberFormat="1" applyFont="1" applyFill="1" applyBorder="1"/>
    <xf numFmtId="0" fontId="0" fillId="0" borderId="2" xfId="0" applyFill="1" applyBorder="1" applyAlignment="1">
      <alignment wrapText="1"/>
    </xf>
    <xf numFmtId="171" fontId="0" fillId="0" borderId="6" xfId="0" applyNumberFormat="1" applyBorder="1"/>
    <xf numFmtId="0" fontId="0" fillId="0" borderId="5" xfId="0" applyBorder="1" applyAlignment="1">
      <alignment horizontal="right"/>
    </xf>
    <xf numFmtId="0" fontId="0" fillId="0" borderId="0" xfId="0" applyFill="1" applyBorder="1" applyAlignment="1">
      <alignment wrapText="1"/>
    </xf>
    <xf numFmtId="0" fontId="0" fillId="4" borderId="0" xfId="0" applyFill="1"/>
    <xf numFmtId="0" fontId="0" fillId="4" borderId="0" xfId="0" applyFill="1" applyAlignment="1">
      <alignment wrapText="1"/>
    </xf>
    <xf numFmtId="2" fontId="0" fillId="4" borderId="0" xfId="0" applyNumberFormat="1" applyFill="1"/>
    <xf numFmtId="0" fontId="0" fillId="0" borderId="15" xfId="0" applyBorder="1" applyAlignment="1">
      <alignment horizontal="right"/>
    </xf>
    <xf numFmtId="0" fontId="0" fillId="0" borderId="16" xfId="0" applyBorder="1"/>
    <xf numFmtId="0" fontId="0" fillId="0" borderId="7" xfId="0" applyBorder="1"/>
    <xf numFmtId="2" fontId="0" fillId="0" borderId="17" xfId="0" applyNumberFormat="1" applyBorder="1" applyAlignment="1">
      <alignment horizontal="right"/>
    </xf>
    <xf numFmtId="2" fontId="0" fillId="0" borderId="9" xfId="0" applyNumberFormat="1" applyBorder="1"/>
    <xf numFmtId="2" fontId="0" fillId="0" borderId="18" xfId="0" applyNumberFormat="1" applyBorder="1" applyAlignment="1">
      <alignment horizontal="right"/>
    </xf>
    <xf numFmtId="0" fontId="0" fillId="0" borderId="19" xfId="0" applyBorder="1"/>
    <xf numFmtId="0" fontId="0" fillId="0" borderId="10" xfId="0" applyBorder="1"/>
    <xf numFmtId="0" fontId="0" fillId="0" borderId="20" xfId="0" applyBorder="1"/>
    <xf numFmtId="0" fontId="0" fillId="0" borderId="21" xfId="0" applyBorder="1"/>
    <xf numFmtId="0" fontId="0" fillId="0" borderId="2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7</xdr:row>
      <xdr:rowOff>95250</xdr:rowOff>
    </xdr:from>
    <xdr:to>
      <xdr:col>10</xdr:col>
      <xdr:colOff>962025</xdr:colOff>
      <xdr:row>15</xdr:row>
      <xdr:rowOff>180975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4C177340-D8AE-4543-89F2-49993ACE132D}"/>
            </a:ext>
          </a:extLst>
        </xdr:cNvPr>
        <xdr:cNvSpPr txBox="1"/>
      </xdr:nvSpPr>
      <xdr:spPr>
        <a:xfrm>
          <a:off x="8439150" y="1447800"/>
          <a:ext cx="2695575" cy="16097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Ho:</a:t>
          </a:r>
          <a:r>
            <a:rPr lang="en-US" sz="1100" baseline="0"/>
            <a:t> population proportions proportionA=0.30, propB=0.50, propC=0.20</a:t>
          </a:r>
        </a:p>
        <a:p>
          <a:endParaRPr lang="en-US" sz="1100" baseline="0"/>
        </a:p>
        <a:p>
          <a:r>
            <a:rPr lang="en-US" sz="1100" baseline="0"/>
            <a:t>Ha: population proportions are not 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proportionA=0.30, propB=0.50, propC=0.20</a:t>
          </a:r>
        </a:p>
        <a:p>
          <a:endParaRPr lang="en-US" sz="110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With p value&lt;a, reject Ho</a:t>
          </a:r>
          <a:endParaRPr lang="en-US" sz="1100"/>
        </a:p>
      </xdr:txBody>
    </xdr:sp>
    <xdr:clientData/>
  </xdr:twoCellAnchor>
  <xdr:twoCellAnchor>
    <xdr:from>
      <xdr:col>10</xdr:col>
      <xdr:colOff>552450</xdr:colOff>
      <xdr:row>1</xdr:row>
      <xdr:rowOff>85725</xdr:rowOff>
    </xdr:from>
    <xdr:to>
      <xdr:col>11</xdr:col>
      <xdr:colOff>523875</xdr:colOff>
      <xdr:row>2</xdr:row>
      <xdr:rowOff>171450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1B57239F-9B09-995E-FBD9-46430531E73E}"/>
            </a:ext>
          </a:extLst>
        </xdr:cNvPr>
        <xdr:cNvSpPr txBox="1"/>
      </xdr:nvSpPr>
      <xdr:spPr>
        <a:xfrm>
          <a:off x="10725150" y="276225"/>
          <a:ext cx="1000125" cy="2762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Critical</a:t>
          </a:r>
          <a:r>
            <a:rPr lang="en-US" sz="1100" b="1" baseline="0"/>
            <a:t> Value</a:t>
          </a:r>
        </a:p>
        <a:p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533400</xdr:colOff>
      <xdr:row>14</xdr:row>
      <xdr:rowOff>180974</xdr:rowOff>
    </xdr:from>
    <xdr:to>
      <xdr:col>4</xdr:col>
      <xdr:colOff>762000</xdr:colOff>
      <xdr:row>24</xdr:row>
      <xdr:rowOff>76199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45AB08D3-E456-2F85-A83E-495ABAE09FC5}"/>
            </a:ext>
          </a:extLst>
        </xdr:cNvPr>
        <xdr:cNvSpPr txBox="1"/>
      </xdr:nvSpPr>
      <xdr:spPr>
        <a:xfrm>
          <a:off x="3629025" y="3038474"/>
          <a:ext cx="1457325" cy="18002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Since 4 categories have a expected frequency of less than</a:t>
          </a:r>
          <a:r>
            <a:rPr lang="en-US" sz="1100" baseline="0"/>
            <a:t> 5, you have to combine adjacent categories to satisfy the chi square requirement of a minimum of 5 expected frequency.</a:t>
          </a:r>
          <a:endParaRPr lang="en-US" sz="1100"/>
        </a:p>
      </xdr:txBody>
    </xdr:sp>
    <xdr:clientData/>
  </xdr:twoCellAnchor>
  <xdr:twoCellAnchor>
    <xdr:from>
      <xdr:col>6</xdr:col>
      <xdr:colOff>1041104</xdr:colOff>
      <xdr:row>0</xdr:row>
      <xdr:rowOff>55377</xdr:rowOff>
    </xdr:from>
    <xdr:to>
      <xdr:col>7</xdr:col>
      <xdr:colOff>963575</xdr:colOff>
      <xdr:row>1</xdr:row>
      <xdr:rowOff>99680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FD55D857-E0AC-6D62-9A93-803E19CC88B8}"/>
            </a:ext>
          </a:extLst>
        </xdr:cNvPr>
        <xdr:cNvSpPr txBox="1"/>
      </xdr:nvSpPr>
      <xdr:spPr>
        <a:xfrm>
          <a:off x="7276656" y="55377"/>
          <a:ext cx="1351221" cy="24366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New table</a:t>
          </a:r>
        </a:p>
      </xdr:txBody>
    </xdr:sp>
    <xdr:clientData/>
  </xdr:twoCellAnchor>
  <xdr:twoCellAnchor>
    <xdr:from>
      <xdr:col>0</xdr:col>
      <xdr:colOff>1107558</xdr:colOff>
      <xdr:row>22</xdr:row>
      <xdr:rowOff>177209</xdr:rowOff>
    </xdr:from>
    <xdr:to>
      <xdr:col>3</xdr:col>
      <xdr:colOff>365494</xdr:colOff>
      <xdr:row>33</xdr:row>
      <xdr:rowOff>77529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723D1C73-FF00-B109-351E-7CA669715411}"/>
            </a:ext>
          </a:extLst>
        </xdr:cNvPr>
        <xdr:cNvSpPr txBox="1"/>
      </xdr:nvSpPr>
      <xdr:spPr>
        <a:xfrm>
          <a:off x="1107558" y="4928633"/>
          <a:ext cx="2348023" cy="197145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There are k-p-1 degrees of freedom.</a:t>
          </a:r>
          <a:r>
            <a:rPr lang="en-US" sz="1100" baseline="0"/>
            <a:t> Where k= number of categories, k=9 after we change to the new table since that one is the one we use when the expected frequency has to be over 5.</a:t>
          </a:r>
        </a:p>
        <a:p>
          <a:endParaRPr lang="en-US" sz="1100" baseline="0"/>
        </a:p>
        <a:p>
          <a:r>
            <a:rPr lang="en-US" sz="1100" baseline="0"/>
            <a:t> p= the number of population parameters estimated from the sample data. Since we used the sample data to estiamate the mean of the poisson distribuion, p=1</a:t>
          </a:r>
          <a:endParaRPr lang="en-US" sz="1100"/>
        </a:p>
      </xdr:txBody>
    </xdr:sp>
    <xdr:clientData/>
  </xdr:twoCellAnchor>
  <xdr:twoCellAnchor>
    <xdr:from>
      <xdr:col>9</xdr:col>
      <xdr:colOff>265814</xdr:colOff>
      <xdr:row>17</xdr:row>
      <xdr:rowOff>44301</xdr:rowOff>
    </xdr:from>
    <xdr:to>
      <xdr:col>12</xdr:col>
      <xdr:colOff>77530</xdr:colOff>
      <xdr:row>28</xdr:row>
      <xdr:rowOff>66452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78C5EE03-D4E7-3317-E218-32F2A22A7B4C}"/>
            </a:ext>
          </a:extLst>
        </xdr:cNvPr>
        <xdr:cNvSpPr txBox="1"/>
      </xdr:nvSpPr>
      <xdr:spPr>
        <a:xfrm>
          <a:off x="10732238" y="4308400"/>
          <a:ext cx="2403402" cy="209328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If p value&lt;=a</a:t>
          </a:r>
          <a:r>
            <a:rPr lang="en-US" sz="1100" baseline="0"/>
            <a:t>, reject Ho.</a:t>
          </a:r>
        </a:p>
        <a:p>
          <a:endParaRPr lang="en-US" sz="1100" baseline="0"/>
        </a:p>
        <a:p>
          <a:r>
            <a:rPr lang="en-US" sz="1100" baseline="0"/>
            <a:t>Ho: The # of customers entering the store during a 5 minute interval has a poisson probability distribution</a:t>
          </a:r>
        </a:p>
        <a:p>
          <a:endParaRPr lang="en-US" sz="1100" baseline="0"/>
        </a:p>
        <a:p>
          <a:r>
            <a:rPr lang="en-US" sz="1100" baseline="0"/>
            <a:t>Ha: 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The # of customers entering the store during a 5 minute interval  does not have a poisson distri.</a:t>
          </a:r>
        </a:p>
        <a:p>
          <a:endParaRPr lang="en-US" sz="110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With p value greater than a, we do not rejct Ho.</a:t>
          </a:r>
          <a:endParaRPr lang="en-US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523875</xdr:colOff>
      <xdr:row>12</xdr:row>
      <xdr:rowOff>9525</xdr:rowOff>
    </xdr:from>
    <xdr:to>
      <xdr:col>6</xdr:col>
      <xdr:colOff>361950</xdr:colOff>
      <xdr:row>23</xdr:row>
      <xdr:rowOff>56029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B4E79B2F-9892-0254-562F-B117617ECB91}"/>
            </a:ext>
          </a:extLst>
        </xdr:cNvPr>
        <xdr:cNvSpPr txBox="1"/>
      </xdr:nvSpPr>
      <xdr:spPr>
        <a:xfrm>
          <a:off x="2574551" y="3057525"/>
          <a:ext cx="2325781" cy="214200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Ho: The population test scores has a normal distribution with mean 68.42 and stdev 10.41</a:t>
          </a:r>
        </a:p>
        <a:p>
          <a:endParaRPr lang="en-US" sz="1100"/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/>
            <a:t>Ha: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The population test scores does not have a normal distribution with mean 68.42 and stdev 10.41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When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p-value &lt;a reject Ho.</a:t>
          </a:r>
          <a:endParaRPr lang="en-US">
            <a:effectLst/>
          </a:endParaRPr>
        </a:p>
        <a:p>
          <a:endParaRPr lang="en-US" sz="1100"/>
        </a:p>
        <a:p>
          <a:r>
            <a:rPr lang="en-US" sz="1100"/>
            <a:t>Since P value is greater than</a:t>
          </a:r>
          <a:r>
            <a:rPr lang="en-US" sz="1100" baseline="0"/>
            <a:t> 0.05, do not reject Ho.</a:t>
          </a:r>
          <a:endParaRPr lang="en-US" sz="1100"/>
        </a:p>
        <a:p>
          <a:endParaRPr lang="en-US" sz="1100"/>
        </a:p>
        <a:p>
          <a:endParaRPr lang="en-US" sz="1100"/>
        </a:p>
      </xdr:txBody>
    </xdr:sp>
    <xdr:clientData/>
  </xdr:twoCellAnchor>
  <xdr:twoCellAnchor>
    <xdr:from>
      <xdr:col>11</xdr:col>
      <xdr:colOff>363072</xdr:colOff>
      <xdr:row>0</xdr:row>
      <xdr:rowOff>559173</xdr:rowOff>
    </xdr:from>
    <xdr:to>
      <xdr:col>13</xdr:col>
      <xdr:colOff>350745</xdr:colOff>
      <xdr:row>0</xdr:row>
      <xdr:rowOff>863973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CEAA8A30-6842-6B5B-911C-DA7D1C065453}"/>
            </a:ext>
          </a:extLst>
        </xdr:cNvPr>
        <xdr:cNvSpPr txBox="1"/>
      </xdr:nvSpPr>
      <xdr:spPr>
        <a:xfrm>
          <a:off x="8296837" y="559173"/>
          <a:ext cx="1298761" cy="3048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Test Score Interval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26C86B-B865-40AA-81F4-6944D6D10DD9}">
  <dimension ref="A1:L19"/>
  <sheetViews>
    <sheetView workbookViewId="0">
      <selection activeCell="F12" sqref="F12"/>
    </sheetView>
  </sheetViews>
  <sheetFormatPr defaultRowHeight="15" x14ac:dyDescent="0.25"/>
  <cols>
    <col min="1" max="1" width="22.7109375" bestFit="1" customWidth="1"/>
    <col min="2" max="2" width="21.140625" bestFit="1" customWidth="1"/>
    <col min="3" max="3" width="10.85546875" bestFit="1" customWidth="1"/>
    <col min="4" max="5" width="20.5703125" bestFit="1" customWidth="1"/>
    <col min="7" max="7" width="20.140625" bestFit="1" customWidth="1"/>
    <col min="11" max="11" width="15.42578125" bestFit="1" customWidth="1"/>
  </cols>
  <sheetData>
    <row r="1" spans="1:12" x14ac:dyDescent="0.25">
      <c r="A1" s="1" t="s">
        <v>0</v>
      </c>
      <c r="B1" s="2"/>
      <c r="C1" s="2"/>
      <c r="D1" s="2"/>
    </row>
    <row r="2" spans="1:12" x14ac:dyDescent="0.25">
      <c r="A2" s="2"/>
      <c r="B2" s="2"/>
      <c r="C2" s="2"/>
      <c r="D2" s="2"/>
    </row>
    <row r="3" spans="1:12" x14ac:dyDescent="0.25">
      <c r="C3" s="3" t="s">
        <v>1</v>
      </c>
      <c r="D3" s="3" t="s">
        <v>2</v>
      </c>
    </row>
    <row r="4" spans="1:12" ht="15.75" thickBot="1" x14ac:dyDescent="0.3">
      <c r="B4" s="20" t="s">
        <v>12</v>
      </c>
      <c r="C4" s="3" t="s">
        <v>3</v>
      </c>
      <c r="D4" s="3" t="s">
        <v>3</v>
      </c>
      <c r="F4" s="3" t="s">
        <v>4</v>
      </c>
    </row>
    <row r="5" spans="1:12" x14ac:dyDescent="0.25">
      <c r="A5" s="19" t="s">
        <v>8</v>
      </c>
      <c r="B5" s="21">
        <v>0.3</v>
      </c>
      <c r="C5" s="4">
        <v>48</v>
      </c>
      <c r="D5" s="16">
        <f>$A$11*B5</f>
        <v>60</v>
      </c>
      <c r="F5" s="6">
        <f>(C5-D5)^2/D5</f>
        <v>2.4</v>
      </c>
    </row>
    <row r="6" spans="1:12" x14ac:dyDescent="0.25">
      <c r="A6" s="19" t="s">
        <v>9</v>
      </c>
      <c r="B6" s="21">
        <v>0.5</v>
      </c>
      <c r="C6" s="7">
        <v>98</v>
      </c>
      <c r="D6" s="17">
        <f>$A$11*B6</f>
        <v>100</v>
      </c>
      <c r="F6" s="6">
        <f>(C6-D6)^2/D6</f>
        <v>0.04</v>
      </c>
      <c r="K6" t="s">
        <v>16</v>
      </c>
      <c r="L6">
        <f>_xlfn.CHISQ.INV.RT(F19,F11)</f>
        <v>5.9914645471079817</v>
      </c>
    </row>
    <row r="7" spans="1:12" ht="15.75" thickBot="1" x14ac:dyDescent="0.3">
      <c r="A7" s="19" t="s">
        <v>10</v>
      </c>
      <c r="B7" s="21">
        <v>0.2</v>
      </c>
      <c r="C7" s="8">
        <v>54</v>
      </c>
      <c r="D7" s="18">
        <f>$A$11*B7</f>
        <v>40</v>
      </c>
      <c r="F7" s="6">
        <f>(C7-D7)^2/D7</f>
        <v>4.9000000000000004</v>
      </c>
    </row>
    <row r="8" spans="1:12" x14ac:dyDescent="0.25">
      <c r="B8" s="2"/>
      <c r="C8" s="2"/>
      <c r="D8" s="2"/>
      <c r="E8" s="2"/>
    </row>
    <row r="9" spans="1:12" x14ac:dyDescent="0.25">
      <c r="B9" s="2"/>
      <c r="C9" s="2"/>
      <c r="E9" s="23" t="s">
        <v>13</v>
      </c>
      <c r="F9" s="6">
        <f>SUM(F5:F7)</f>
        <v>7.34</v>
      </c>
    </row>
    <row r="10" spans="1:12" x14ac:dyDescent="0.25">
      <c r="A10" s="13" t="s">
        <v>11</v>
      </c>
      <c r="B10" s="2"/>
      <c r="C10" s="2"/>
      <c r="E10" s="1"/>
      <c r="F10" s="2"/>
    </row>
    <row r="11" spans="1:12" x14ac:dyDescent="0.25">
      <c r="A11" s="14">
        <v>200</v>
      </c>
      <c r="B11" s="2"/>
      <c r="C11" s="2"/>
      <c r="E11" s="23" t="s">
        <v>6</v>
      </c>
      <c r="F11" s="2">
        <f>COUNTA(A5:A7)-1</f>
        <v>2</v>
      </c>
    </row>
    <row r="12" spans="1:12" x14ac:dyDescent="0.25">
      <c r="B12" s="2"/>
      <c r="C12" s="2"/>
      <c r="E12" s="1"/>
      <c r="F12" s="2"/>
    </row>
    <row r="13" spans="1:12" x14ac:dyDescent="0.25">
      <c r="B13" s="2"/>
      <c r="C13" s="2"/>
      <c r="E13" s="23" t="s">
        <v>7</v>
      </c>
      <c r="F13" s="11">
        <f>CHIDIST(F9,F11)</f>
        <v>2.5476469946681016E-2</v>
      </c>
    </row>
    <row r="14" spans="1:12" x14ac:dyDescent="0.25">
      <c r="E14" s="12"/>
      <c r="F14" s="21" t="s">
        <v>14</v>
      </c>
    </row>
    <row r="15" spans="1:12" x14ac:dyDescent="0.25">
      <c r="E15" s="12"/>
      <c r="F15" s="22">
        <f>_xlfn.CHISQ.DIST.RT(F9,F11)</f>
        <v>2.5476469946681016E-2</v>
      </c>
    </row>
    <row r="16" spans="1:12" x14ac:dyDescent="0.25">
      <c r="E16" s="12"/>
      <c r="F16" t="s">
        <v>14</v>
      </c>
    </row>
    <row r="17" spans="5:6" x14ac:dyDescent="0.25">
      <c r="F17" s="22">
        <f>_xlfn.CHISQ.TEST(C5:C7,D5:D7)</f>
        <v>2.5476469946681016E-2</v>
      </c>
    </row>
    <row r="19" spans="5:6" x14ac:dyDescent="0.25">
      <c r="E19" s="24" t="s">
        <v>15</v>
      </c>
      <c r="F19">
        <v>0.05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2716CE-6FDC-4471-87AD-E1CEC89F5C4D}">
  <dimension ref="A1:H26"/>
  <sheetViews>
    <sheetView topLeftCell="A3" zoomScale="86" zoomScaleNormal="86" workbookViewId="0">
      <selection activeCell="E21" sqref="E21"/>
    </sheetView>
  </sheetViews>
  <sheetFormatPr defaultRowHeight="15" x14ac:dyDescent="0.25"/>
  <cols>
    <col min="4" max="4" width="22.28515625" bestFit="1" customWidth="1"/>
    <col min="7" max="7" width="52.42578125" bestFit="1" customWidth="1"/>
    <col min="8" max="8" width="9.28515625" bestFit="1" customWidth="1"/>
  </cols>
  <sheetData>
    <row r="1" spans="1:5" x14ac:dyDescent="0.25">
      <c r="A1" s="1" t="s">
        <v>17</v>
      </c>
      <c r="B1" s="2"/>
      <c r="C1" s="2"/>
      <c r="D1" s="2"/>
      <c r="E1" s="2"/>
    </row>
    <row r="2" spans="1:5" x14ac:dyDescent="0.25">
      <c r="A2" s="2"/>
      <c r="B2" s="2"/>
      <c r="C2" s="2"/>
      <c r="D2" s="2"/>
      <c r="E2" s="2"/>
    </row>
    <row r="3" spans="1:5" x14ac:dyDescent="0.25">
      <c r="A3" s="1" t="s">
        <v>18</v>
      </c>
      <c r="B3" s="2"/>
      <c r="C3" s="2"/>
      <c r="D3" s="2"/>
      <c r="E3" s="2"/>
    </row>
    <row r="4" spans="1:5" x14ac:dyDescent="0.25">
      <c r="A4" s="1"/>
      <c r="B4" s="2"/>
      <c r="C4" s="2"/>
      <c r="D4" s="2"/>
      <c r="E4" s="2"/>
    </row>
    <row r="5" spans="1:5" x14ac:dyDescent="0.25">
      <c r="A5" s="2"/>
      <c r="B5" s="25" t="s">
        <v>19</v>
      </c>
      <c r="C5" s="25"/>
      <c r="D5" s="25"/>
      <c r="E5" s="2"/>
    </row>
    <row r="6" spans="1:5" ht="15.75" thickBot="1" x14ac:dyDescent="0.3">
      <c r="A6" s="1" t="s">
        <v>20</v>
      </c>
      <c r="B6" s="3" t="s">
        <v>21</v>
      </c>
      <c r="C6" s="3" t="s">
        <v>22</v>
      </c>
      <c r="D6" s="3" t="s">
        <v>23</v>
      </c>
      <c r="E6" s="10" t="s">
        <v>24</v>
      </c>
    </row>
    <row r="7" spans="1:5" x14ac:dyDescent="0.25">
      <c r="A7" s="2" t="s">
        <v>25</v>
      </c>
      <c r="B7" s="4">
        <v>20</v>
      </c>
      <c r="C7" s="26">
        <v>40</v>
      </c>
      <c r="D7" s="5">
        <v>20</v>
      </c>
      <c r="E7" s="10">
        <f>SUM(B7:D7)</f>
        <v>80</v>
      </c>
    </row>
    <row r="8" spans="1:5" ht="15.75" thickBot="1" x14ac:dyDescent="0.3">
      <c r="A8" s="2" t="s">
        <v>26</v>
      </c>
      <c r="B8" s="8">
        <v>30</v>
      </c>
      <c r="C8" s="15">
        <v>30</v>
      </c>
      <c r="D8" s="9">
        <v>10</v>
      </c>
      <c r="E8" s="10">
        <f>SUM(B8:D8)</f>
        <v>70</v>
      </c>
    </row>
    <row r="9" spans="1:5" x14ac:dyDescent="0.25">
      <c r="A9" s="2" t="s">
        <v>24</v>
      </c>
      <c r="B9" s="3">
        <f>SUM(B7:B8)</f>
        <v>50</v>
      </c>
      <c r="C9" s="3">
        <f>SUM(C7:C8)</f>
        <v>70</v>
      </c>
      <c r="D9" s="3">
        <f>SUM(D7:D8)</f>
        <v>30</v>
      </c>
      <c r="E9" s="10">
        <f>SUM(E7:E8)</f>
        <v>150</v>
      </c>
    </row>
    <row r="10" spans="1:5" x14ac:dyDescent="0.25">
      <c r="A10" s="2"/>
      <c r="B10" s="2"/>
      <c r="C10" s="2"/>
      <c r="D10" s="2"/>
      <c r="E10" s="2"/>
    </row>
    <row r="11" spans="1:5" x14ac:dyDescent="0.25">
      <c r="A11" s="2"/>
      <c r="B11" s="2"/>
      <c r="C11" s="2"/>
      <c r="D11" s="2"/>
      <c r="E11" s="2"/>
    </row>
    <row r="12" spans="1:5" x14ac:dyDescent="0.25">
      <c r="A12" s="1" t="s">
        <v>27</v>
      </c>
      <c r="B12" s="2"/>
      <c r="C12" s="2"/>
      <c r="D12" s="2"/>
      <c r="E12" s="2"/>
    </row>
    <row r="13" spans="1:5" x14ac:dyDescent="0.25">
      <c r="A13" s="2"/>
      <c r="B13" s="2"/>
      <c r="C13" s="2"/>
      <c r="D13" s="2"/>
      <c r="E13" s="2"/>
    </row>
    <row r="14" spans="1:5" x14ac:dyDescent="0.25">
      <c r="A14" s="27"/>
      <c r="B14" s="28" t="s">
        <v>19</v>
      </c>
      <c r="C14" s="28"/>
      <c r="D14" s="28"/>
      <c r="E14" s="27"/>
    </row>
    <row r="15" spans="1:5" x14ac:dyDescent="0.25">
      <c r="A15" s="29" t="s">
        <v>20</v>
      </c>
      <c r="B15" s="30" t="s">
        <v>21</v>
      </c>
      <c r="C15" s="30" t="s">
        <v>22</v>
      </c>
      <c r="D15" s="30" t="s">
        <v>23</v>
      </c>
      <c r="E15" s="31" t="s">
        <v>24</v>
      </c>
    </row>
    <row r="16" spans="1:5" x14ac:dyDescent="0.25">
      <c r="A16" s="27" t="s">
        <v>25</v>
      </c>
      <c r="B16" s="32">
        <f>E7*B$9/$E$9</f>
        <v>26.666666666666668</v>
      </c>
      <c r="C16" s="32">
        <f>E7*C$9/$E$9</f>
        <v>37.333333333333336</v>
      </c>
      <c r="D16" s="30">
        <f>E7*D$9/$E$9</f>
        <v>16</v>
      </c>
      <c r="E16" s="31">
        <f>SUM(B16:D16)</f>
        <v>80</v>
      </c>
    </row>
    <row r="17" spans="1:8" x14ac:dyDescent="0.25">
      <c r="A17" s="27" t="s">
        <v>26</v>
      </c>
      <c r="B17" s="32">
        <f>E8*B$9/$E$9</f>
        <v>23.333333333333332</v>
      </c>
      <c r="C17" s="32">
        <f>E8*C$9/$E$9</f>
        <v>32.666666666666664</v>
      </c>
      <c r="D17" s="30">
        <f>E8*D$9/$E$9</f>
        <v>14</v>
      </c>
      <c r="E17" s="31">
        <f>SUM(B17:D17)</f>
        <v>70</v>
      </c>
    </row>
    <row r="18" spans="1:8" x14ac:dyDescent="0.25">
      <c r="A18" s="27" t="s">
        <v>24</v>
      </c>
      <c r="B18" s="30">
        <f>SUM(B16:B17)</f>
        <v>50</v>
      </c>
      <c r="C18" s="30">
        <f>SUM(C16:C17)</f>
        <v>70</v>
      </c>
      <c r="D18" s="30">
        <f>SUM(D16:D17)</f>
        <v>30</v>
      </c>
      <c r="E18" s="31">
        <f>SUM(E16:E17)</f>
        <v>150</v>
      </c>
    </row>
    <row r="19" spans="1:8" x14ac:dyDescent="0.25">
      <c r="A19" s="2"/>
      <c r="B19" s="2"/>
      <c r="C19" s="2"/>
      <c r="D19" s="2"/>
      <c r="E19" s="2"/>
    </row>
    <row r="20" spans="1:8" x14ac:dyDescent="0.25">
      <c r="A20" s="2"/>
      <c r="B20" s="2"/>
      <c r="C20" s="36"/>
      <c r="D20" s="33" t="s">
        <v>5</v>
      </c>
      <c r="E20" s="34">
        <f>CHIINV(E24,E22)</f>
        <v>6.1224489795918373</v>
      </c>
    </row>
    <row r="21" spans="1:8" x14ac:dyDescent="0.25">
      <c r="A21" s="2"/>
      <c r="B21" s="2"/>
      <c r="C21" s="36"/>
      <c r="D21" s="33"/>
      <c r="E21" s="31"/>
      <c r="G21" t="s">
        <v>30</v>
      </c>
      <c r="H21" s="37" t="str">
        <f>IF($E$24&lt;=$E$26,"Reject Ho","Do not reject Ho")</f>
        <v>Reject Ho</v>
      </c>
    </row>
    <row r="22" spans="1:8" x14ac:dyDescent="0.25">
      <c r="A22" s="2"/>
      <c r="B22" s="2"/>
      <c r="C22" s="36"/>
      <c r="D22" s="33" t="s">
        <v>6</v>
      </c>
      <c r="E22" s="31">
        <f>(COUNTA(A7:A8)-1)*(COUNTA(B6:D6)-1)</f>
        <v>2</v>
      </c>
      <c r="G22" t="s">
        <v>29</v>
      </c>
      <c r="H22" s="37" t="str">
        <f>IF($E$24&lt;=$E$26,"Do not Reject","Reject")</f>
        <v>Do not Reject</v>
      </c>
    </row>
    <row r="23" spans="1:8" x14ac:dyDescent="0.25">
      <c r="A23" s="2"/>
      <c r="B23" s="2"/>
      <c r="C23" s="36"/>
      <c r="D23" s="27"/>
      <c r="E23" s="31"/>
    </row>
    <row r="24" spans="1:8" x14ac:dyDescent="0.25">
      <c r="A24" s="2"/>
      <c r="B24" s="2"/>
      <c r="C24" s="36"/>
      <c r="D24" s="33" t="s">
        <v>28</v>
      </c>
      <c r="E24" s="35">
        <f>CHITEST(B7:D8,B16:D17)</f>
        <v>4.6830316852419576E-2</v>
      </c>
    </row>
    <row r="26" spans="1:8" x14ac:dyDescent="0.25">
      <c r="D26" t="s">
        <v>15</v>
      </c>
      <c r="E26">
        <v>0.05</v>
      </c>
    </row>
  </sheetData>
  <mergeCells count="2">
    <mergeCell ref="B5:D5"/>
    <mergeCell ref="B14:D1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C98AF8-2B5C-49A9-80C3-1EC911F37A82}">
  <dimension ref="A1:L20"/>
  <sheetViews>
    <sheetView zoomScale="86" zoomScaleNormal="86" workbookViewId="0">
      <selection activeCell="J3" sqref="J3:L3"/>
    </sheetView>
  </sheetViews>
  <sheetFormatPr defaultRowHeight="15" x14ac:dyDescent="0.25"/>
  <cols>
    <col min="1" max="1" width="23" bestFit="1" customWidth="1"/>
    <col min="2" max="2" width="19" bestFit="1" customWidth="1"/>
    <col min="3" max="3" width="4.42578125" customWidth="1"/>
    <col min="4" max="4" width="18.42578125" bestFit="1" customWidth="1"/>
    <col min="5" max="5" width="19.5703125" customWidth="1"/>
    <col min="7" max="7" width="21.42578125" bestFit="1" customWidth="1"/>
    <col min="8" max="8" width="21.140625" bestFit="1" customWidth="1"/>
    <col min="9" max="9" width="20.85546875" customWidth="1"/>
    <col min="10" max="10" width="10" bestFit="1" customWidth="1"/>
    <col min="11" max="11" width="17.7109375" customWidth="1"/>
    <col min="12" max="12" width="11.140625" customWidth="1"/>
  </cols>
  <sheetData>
    <row r="1" spans="1:12" x14ac:dyDescent="0.25">
      <c r="J1" s="42"/>
    </row>
    <row r="2" spans="1:12" ht="15.75" thickBot="1" x14ac:dyDescent="0.3"/>
    <row r="3" spans="1:12" ht="75" x14ac:dyDescent="0.25">
      <c r="A3" s="41" t="s">
        <v>31</v>
      </c>
      <c r="B3" s="42" t="s">
        <v>32</v>
      </c>
      <c r="C3" s="42"/>
      <c r="D3" s="42" t="s">
        <v>33</v>
      </c>
      <c r="E3" s="54" t="s">
        <v>35</v>
      </c>
      <c r="G3" s="41" t="s">
        <v>31</v>
      </c>
      <c r="H3" s="42" t="s">
        <v>32</v>
      </c>
      <c r="I3" s="43" t="s">
        <v>35</v>
      </c>
      <c r="J3" s="50" t="s">
        <v>42</v>
      </c>
      <c r="K3" s="57" t="s">
        <v>43</v>
      </c>
      <c r="L3" s="57" t="s">
        <v>44</v>
      </c>
    </row>
    <row r="4" spans="1:12" x14ac:dyDescent="0.25">
      <c r="A4" s="44">
        <v>0</v>
      </c>
      <c r="B4" s="45">
        <v>2</v>
      </c>
      <c r="C4" s="45"/>
      <c r="D4" s="45">
        <f>_xlfn.POISSON.DIST(A4,$B$16,FALSE)</f>
        <v>6.737946999085467E-3</v>
      </c>
      <c r="E4" s="52">
        <f>D4*$B$18</f>
        <v>0.86245721588293978</v>
      </c>
      <c r="G4" s="44" t="s">
        <v>37</v>
      </c>
      <c r="H4" s="45">
        <v>10</v>
      </c>
      <c r="I4" s="46">
        <f>SUM(E4:E5)</f>
        <v>5.1747432952976382</v>
      </c>
      <c r="J4" s="39">
        <f>H4-I4</f>
        <v>4.8252567047023618</v>
      </c>
      <c r="K4" s="38">
        <f>J4^2</f>
        <v>23.283102266275094</v>
      </c>
      <c r="L4" s="38">
        <f>K4/I4</f>
        <v>4.4993733867789683</v>
      </c>
    </row>
    <row r="5" spans="1:12" x14ac:dyDescent="0.25">
      <c r="A5" s="44">
        <v>1</v>
      </c>
      <c r="B5" s="45">
        <v>8</v>
      </c>
      <c r="C5" s="45"/>
      <c r="D5" s="45">
        <f>_xlfn.POISSON.DIST(A5,$B$16,FALSE)</f>
        <v>3.368973499542733E-2</v>
      </c>
      <c r="E5" s="52">
        <f>D5*$B$18</f>
        <v>4.3122860794146982</v>
      </c>
      <c r="G5" s="44">
        <v>2</v>
      </c>
      <c r="H5" s="45">
        <v>10</v>
      </c>
      <c r="I5" s="46">
        <v>10.780715198536747</v>
      </c>
      <c r="J5" s="39">
        <f t="shared" ref="J5:J12" si="0">H5-I5</f>
        <v>-0.78071519853674687</v>
      </c>
      <c r="K5" s="38">
        <f>J5^2</f>
        <v>0.60951622122627203</v>
      </c>
      <c r="L5" s="38">
        <f t="shared" ref="L5:L12" si="1">K5/I5</f>
        <v>5.6537642447784996E-2</v>
      </c>
    </row>
    <row r="6" spans="1:12" x14ac:dyDescent="0.25">
      <c r="A6" s="44">
        <v>2</v>
      </c>
      <c r="B6" s="45">
        <v>10</v>
      </c>
      <c r="C6" s="45"/>
      <c r="D6" s="45">
        <f>_xlfn.POISSON.DIST(A6,$B$16,FALSE)</f>
        <v>8.4224337488568335E-2</v>
      </c>
      <c r="E6" s="46">
        <f>D6*$B$18</f>
        <v>10.780715198536747</v>
      </c>
      <c r="G6" s="44">
        <v>3</v>
      </c>
      <c r="H6" s="45">
        <v>12</v>
      </c>
      <c r="I6" s="46">
        <v>17.967858664227915</v>
      </c>
      <c r="J6" s="39">
        <f t="shared" si="0"/>
        <v>-5.967858664227915</v>
      </c>
      <c r="K6" s="38">
        <f>J6^2</f>
        <v>35.615337036200195</v>
      </c>
      <c r="L6" s="38">
        <f t="shared" si="1"/>
        <v>1.9821692557670505</v>
      </c>
    </row>
    <row r="7" spans="1:12" x14ac:dyDescent="0.25">
      <c r="A7" s="44">
        <v>3</v>
      </c>
      <c r="B7" s="45">
        <v>12</v>
      </c>
      <c r="C7" s="45"/>
      <c r="D7" s="45">
        <f>_xlfn.POISSON.DIST(A7,$B$16,FALSE)</f>
        <v>0.14037389581428059</v>
      </c>
      <c r="E7" s="46">
        <f>D7*$B$18</f>
        <v>17.967858664227915</v>
      </c>
      <c r="G7" s="44">
        <v>4</v>
      </c>
      <c r="H7" s="45">
        <v>18</v>
      </c>
      <c r="I7" s="46">
        <v>22.459823330284895</v>
      </c>
      <c r="J7" s="39">
        <f t="shared" si="0"/>
        <v>-4.4598233302848946</v>
      </c>
      <c r="K7" s="38">
        <f>J7^2</f>
        <v>19.89002413735345</v>
      </c>
      <c r="L7" s="38">
        <f t="shared" si="1"/>
        <v>0.88558239505533776</v>
      </c>
    </row>
    <row r="8" spans="1:12" x14ac:dyDescent="0.25">
      <c r="A8" s="44">
        <v>4</v>
      </c>
      <c r="B8" s="45">
        <v>18</v>
      </c>
      <c r="C8" s="45"/>
      <c r="D8" s="45">
        <f>_xlfn.POISSON.DIST(A8,$B$16,FALSE)</f>
        <v>0.17546736976785074</v>
      </c>
      <c r="E8" s="46">
        <f>D8*$B$18</f>
        <v>22.459823330284895</v>
      </c>
      <c r="G8" s="44">
        <v>5</v>
      </c>
      <c r="H8" s="45">
        <v>22</v>
      </c>
      <c r="I8" s="46">
        <v>22.459823330284891</v>
      </c>
      <c r="J8" s="39">
        <f t="shared" si="0"/>
        <v>-0.45982333028489109</v>
      </c>
      <c r="K8" s="38">
        <f>J8^2</f>
        <v>0.21143749507428802</v>
      </c>
      <c r="L8" s="38">
        <f t="shared" si="1"/>
        <v>9.4140319790131689E-3</v>
      </c>
    </row>
    <row r="9" spans="1:12" x14ac:dyDescent="0.25">
      <c r="A9" s="44">
        <v>5</v>
      </c>
      <c r="B9" s="45">
        <v>22</v>
      </c>
      <c r="C9" s="45"/>
      <c r="D9" s="45">
        <f>_xlfn.POISSON.DIST(A9,$B$16,FALSE)</f>
        <v>0.17546736976785071</v>
      </c>
      <c r="E9" s="46">
        <f>D9*$B$18</f>
        <v>22.459823330284891</v>
      </c>
      <c r="G9" s="44">
        <v>6</v>
      </c>
      <c r="H9" s="45">
        <v>22</v>
      </c>
      <c r="I9" s="46">
        <v>18.716519441904076</v>
      </c>
      <c r="J9" s="39">
        <f t="shared" si="0"/>
        <v>3.2834805580959241</v>
      </c>
      <c r="K9" s="38">
        <f>J9^2</f>
        <v>10.781244575393922</v>
      </c>
      <c r="L9" s="38">
        <f t="shared" si="1"/>
        <v>0.57602828393702243</v>
      </c>
    </row>
    <row r="10" spans="1:12" x14ac:dyDescent="0.25">
      <c r="A10" s="44">
        <v>6</v>
      </c>
      <c r="B10" s="45">
        <v>22</v>
      </c>
      <c r="C10" s="45"/>
      <c r="D10" s="45">
        <f>_xlfn.POISSON.DIST(A10,$B$16,FALSE)</f>
        <v>0.14622280813987559</v>
      </c>
      <c r="E10" s="46">
        <f>D10*$B$18</f>
        <v>18.716519441904076</v>
      </c>
      <c r="G10" s="44">
        <v>7</v>
      </c>
      <c r="H10" s="45">
        <v>16</v>
      </c>
      <c r="I10" s="46">
        <v>13.368942458502913</v>
      </c>
      <c r="J10" s="39">
        <f t="shared" si="0"/>
        <v>2.6310575414970874</v>
      </c>
      <c r="K10" s="38">
        <f>J10^2</f>
        <v>6.9224637866686978</v>
      </c>
      <c r="L10" s="38">
        <f t="shared" si="1"/>
        <v>0.5178018985537538</v>
      </c>
    </row>
    <row r="11" spans="1:12" x14ac:dyDescent="0.25">
      <c r="A11" s="44">
        <v>7</v>
      </c>
      <c r="B11" s="45">
        <v>16</v>
      </c>
      <c r="C11" s="45"/>
      <c r="D11" s="45">
        <f>_xlfn.POISSON.DIST(A11,$B$16,FALSE)</f>
        <v>0.104444862957054</v>
      </c>
      <c r="E11" s="46">
        <f>D11*$B$18</f>
        <v>13.368942458502913</v>
      </c>
      <c r="G11" s="44">
        <v>8</v>
      </c>
      <c r="H11" s="45">
        <v>12</v>
      </c>
      <c r="I11" s="46">
        <v>8.3555890365643144</v>
      </c>
      <c r="J11" s="39">
        <f t="shared" si="0"/>
        <v>3.6444109634356856</v>
      </c>
      <c r="K11" s="38">
        <f>J11^2</f>
        <v>13.281731270410223</v>
      </c>
      <c r="L11" s="38">
        <f t="shared" si="1"/>
        <v>1.589562532610084</v>
      </c>
    </row>
    <row r="12" spans="1:12" ht="15.75" thickBot="1" x14ac:dyDescent="0.3">
      <c r="A12" s="44">
        <v>8</v>
      </c>
      <c r="B12" s="45">
        <v>12</v>
      </c>
      <c r="C12" s="45"/>
      <c r="D12" s="45">
        <f>_xlfn.POISSON.DIST(A12,$B$16,FALSE)</f>
        <v>6.5278039348158706E-2</v>
      </c>
      <c r="E12" s="46">
        <f>D12*$B$18</f>
        <v>8.3555890365643144</v>
      </c>
      <c r="G12" s="56" t="s">
        <v>38</v>
      </c>
      <c r="H12" s="51">
        <v>6</v>
      </c>
      <c r="I12" s="55">
        <f>SUM(E13:E14)</f>
        <v>8.7159852443966219</v>
      </c>
      <c r="J12" s="39">
        <f t="shared" si="0"/>
        <v>-2.7159852443966219</v>
      </c>
      <c r="K12" s="38">
        <f>J12^2</f>
        <v>7.3765758477801784</v>
      </c>
      <c r="L12" s="38">
        <f t="shared" si="1"/>
        <v>0.84632725285101529</v>
      </c>
    </row>
    <row r="13" spans="1:12" x14ac:dyDescent="0.25">
      <c r="A13" s="44">
        <v>9</v>
      </c>
      <c r="B13" s="45">
        <v>6</v>
      </c>
      <c r="C13" s="45"/>
      <c r="D13" s="45">
        <f>_xlfn.POISSON.DIST(A13,$B$16,FALSE)</f>
        <v>3.6265577415643749E-2</v>
      </c>
      <c r="E13" s="52">
        <f>D13*$B$18</f>
        <v>4.6419939092023998</v>
      </c>
    </row>
    <row r="14" spans="1:12" ht="15.75" thickBot="1" x14ac:dyDescent="0.3">
      <c r="A14" s="47" t="s">
        <v>36</v>
      </c>
      <c r="B14" s="48">
        <v>0</v>
      </c>
      <c r="C14" s="48"/>
      <c r="D14" s="49">
        <f>1 - _xlfn.POISSON.DIST(9, 5, TRUE)</f>
        <v>3.182805730620486E-2</v>
      </c>
      <c r="E14" s="53">
        <f>D14*$B$18</f>
        <v>4.0739913351942221</v>
      </c>
    </row>
    <row r="15" spans="1:12" ht="30" x14ac:dyDescent="0.25">
      <c r="K15" s="40" t="s">
        <v>39</v>
      </c>
      <c r="L15" s="38">
        <f>SUM(L4:L12)</f>
        <v>10.96279667998003</v>
      </c>
    </row>
    <row r="16" spans="1:12" ht="21" customHeight="1" x14ac:dyDescent="0.25">
      <c r="A16" s="24" t="s">
        <v>34</v>
      </c>
      <c r="B16">
        <f>SUMPRODUCT(A4:A13,B4:B13)/SUM(B4:B13)</f>
        <v>5</v>
      </c>
      <c r="K16" t="s">
        <v>41</v>
      </c>
      <c r="L16">
        <f>_xlfn.CHISQ.DIST.RT(L15,B20)</f>
        <v>0.14025006460489819</v>
      </c>
    </row>
    <row r="17" spans="1:2" x14ac:dyDescent="0.25">
      <c r="A17" s="24"/>
    </row>
    <row r="18" spans="1:2" x14ac:dyDescent="0.25">
      <c r="A18" s="24" t="s">
        <v>24</v>
      </c>
      <c r="B18">
        <f>SUM(B4:B14)</f>
        <v>128</v>
      </c>
    </row>
    <row r="19" spans="1:2" x14ac:dyDescent="0.25">
      <c r="A19" s="24"/>
    </row>
    <row r="20" spans="1:2" x14ac:dyDescent="0.25">
      <c r="A20" s="24" t="s">
        <v>40</v>
      </c>
      <c r="B20">
        <v>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302A50-322E-4503-9053-FC6F1EDB6D2A}">
  <dimension ref="A1:S51"/>
  <sheetViews>
    <sheetView tabSelected="1" topLeftCell="B1" zoomScale="85" zoomScaleNormal="85" workbookViewId="0">
      <selection activeCell="K19" sqref="K19"/>
    </sheetView>
  </sheetViews>
  <sheetFormatPr defaultRowHeight="15" x14ac:dyDescent="0.25"/>
  <cols>
    <col min="1" max="1" width="21.7109375" customWidth="1"/>
    <col min="3" max="3" width="14.42578125" bestFit="1" customWidth="1"/>
    <col min="6" max="6" width="4.7109375" customWidth="1"/>
    <col min="7" max="7" width="10.140625" bestFit="1" customWidth="1"/>
    <col min="8" max="8" width="7.140625" bestFit="1" customWidth="1"/>
    <col min="9" max="9" width="9.5703125" bestFit="1" customWidth="1"/>
    <col min="10" max="10" width="13.7109375" customWidth="1"/>
    <col min="11" max="11" width="10.28515625" bestFit="1" customWidth="1"/>
    <col min="12" max="12" width="17" bestFit="1" customWidth="1"/>
    <col min="13" max="13" width="2.7109375" bestFit="1" customWidth="1"/>
    <col min="15" max="15" width="10" bestFit="1" customWidth="1"/>
    <col min="16" max="16" width="10.28515625" customWidth="1"/>
    <col min="17" max="17" width="9.85546875" bestFit="1" customWidth="1"/>
    <col min="18" max="18" width="17.7109375" bestFit="1" customWidth="1"/>
    <col min="19" max="19" width="10.28515625" customWidth="1"/>
  </cols>
  <sheetData>
    <row r="1" spans="1:19" ht="75" x14ac:dyDescent="0.25">
      <c r="A1" s="40" t="s">
        <v>45</v>
      </c>
      <c r="E1" s="40" t="s">
        <v>48</v>
      </c>
      <c r="G1" s="58" t="s">
        <v>46</v>
      </c>
      <c r="H1" s="58" t="s">
        <v>47</v>
      </c>
      <c r="I1" s="59" t="s">
        <v>48</v>
      </c>
      <c r="J1" s="59" t="s">
        <v>49</v>
      </c>
      <c r="K1" t="s">
        <v>57</v>
      </c>
      <c r="O1" s="40" t="s">
        <v>32</v>
      </c>
      <c r="P1" s="40" t="s">
        <v>53</v>
      </c>
      <c r="Q1" s="50" t="s">
        <v>59</v>
      </c>
      <c r="R1" s="57" t="s">
        <v>43</v>
      </c>
      <c r="S1" s="57" t="s">
        <v>44</v>
      </c>
    </row>
    <row r="2" spans="1:19" x14ac:dyDescent="0.25">
      <c r="A2">
        <v>71</v>
      </c>
      <c r="C2" s="12" t="s">
        <v>50</v>
      </c>
      <c r="D2">
        <f>AVERAGE(A2:A51)</f>
        <v>68.42</v>
      </c>
      <c r="E2">
        <f>ROUND(D2,2)</f>
        <v>68.42</v>
      </c>
      <c r="G2" s="58">
        <v>0.1</v>
      </c>
      <c r="H2" s="60">
        <f>_xlfn.NORM.S.INV(G2)</f>
        <v>-1.2815515655446006</v>
      </c>
      <c r="I2" s="60">
        <f>ROUND(H2,2)</f>
        <v>-1.28</v>
      </c>
      <c r="J2" s="60">
        <f>$E$2+I2*($E$4)</f>
        <v>55.095200000000006</v>
      </c>
      <c r="K2" s="69">
        <v>1</v>
      </c>
      <c r="L2" s="61" t="s">
        <v>56</v>
      </c>
      <c r="M2" s="62"/>
      <c r="N2" s="63"/>
      <c r="O2" s="69">
        <f>COUNTIFS(A2:A51,"&lt;" &amp;J2)</f>
        <v>5</v>
      </c>
      <c r="P2" s="69">
        <v>5</v>
      </c>
      <c r="Q2">
        <f>O2-P2</f>
        <v>0</v>
      </c>
      <c r="R2">
        <f>Q2^2</f>
        <v>0</v>
      </c>
      <c r="S2">
        <f>R2/P2</f>
        <v>0</v>
      </c>
    </row>
    <row r="3" spans="1:19" x14ac:dyDescent="0.25">
      <c r="A3">
        <v>66</v>
      </c>
      <c r="G3" s="58">
        <v>0.2</v>
      </c>
      <c r="H3" s="60">
        <f t="shared" ref="H3:H10" si="0">_xlfn.NORM.S.INV(G3)</f>
        <v>-0.84162123357291452</v>
      </c>
      <c r="I3" s="60">
        <f t="shared" ref="I3:I10" si="1">ROUND(H3,2)</f>
        <v>-0.84</v>
      </c>
      <c r="J3" s="60">
        <f t="shared" ref="J3:J10" si="2">$E$2+I3*($E$4)</f>
        <v>59.675600000000003</v>
      </c>
      <c r="K3" s="70">
        <v>2</v>
      </c>
      <c r="L3" s="64">
        <f>J2</f>
        <v>55.095200000000006</v>
      </c>
      <c r="M3" s="45" t="s">
        <v>52</v>
      </c>
      <c r="N3" s="65">
        <f>J3</f>
        <v>59.675600000000003</v>
      </c>
      <c r="O3" s="70">
        <f>COUNTIFS($A$2:$A$51,"&gt;"&amp;L3, $A$2:$A$51,"&lt;"&amp;N3)</f>
        <v>5</v>
      </c>
      <c r="P3" s="70">
        <v>5</v>
      </c>
      <c r="Q3">
        <f t="shared" ref="Q3:Q11" si="3">O3-P3</f>
        <v>0</v>
      </c>
      <c r="R3">
        <f t="shared" ref="R3:R11" si="4">Q3^2</f>
        <v>0</v>
      </c>
      <c r="S3">
        <f t="shared" ref="S3:S11" si="5">R3/P3</f>
        <v>0</v>
      </c>
    </row>
    <row r="4" spans="1:19" x14ac:dyDescent="0.25">
      <c r="A4">
        <v>61</v>
      </c>
      <c r="C4" s="12" t="s">
        <v>51</v>
      </c>
      <c r="D4">
        <f>_xlfn.STDEV.S(A2:A51)</f>
        <v>10.414060354214602</v>
      </c>
      <c r="E4">
        <f t="shared" ref="E3:E4" si="6">ROUND(D4,2)</f>
        <v>10.41</v>
      </c>
      <c r="G4" s="58">
        <v>0.3</v>
      </c>
      <c r="H4" s="60">
        <f t="shared" si="0"/>
        <v>-0.52440051270804089</v>
      </c>
      <c r="I4" s="60">
        <f t="shared" si="1"/>
        <v>-0.52</v>
      </c>
      <c r="J4" s="60">
        <f t="shared" si="2"/>
        <v>63.006799999999998</v>
      </c>
      <c r="K4" s="70">
        <v>3</v>
      </c>
      <c r="L4" s="64">
        <f>J3</f>
        <v>59.675600000000003</v>
      </c>
      <c r="M4" s="45" t="s">
        <v>52</v>
      </c>
      <c r="N4" s="65">
        <f>J4</f>
        <v>63.006799999999998</v>
      </c>
      <c r="O4" s="70">
        <f t="shared" ref="O4:O11" si="7">COUNTIFS($A$2:$A$51,"&gt;"&amp;L4, $A$2:$A$51,"&lt;"&amp;N4)</f>
        <v>9</v>
      </c>
      <c r="P4" s="70">
        <v>5</v>
      </c>
      <c r="Q4">
        <f t="shared" si="3"/>
        <v>4</v>
      </c>
      <c r="R4">
        <f t="shared" si="4"/>
        <v>16</v>
      </c>
      <c r="S4">
        <f t="shared" si="5"/>
        <v>3.2</v>
      </c>
    </row>
    <row r="5" spans="1:19" x14ac:dyDescent="0.25">
      <c r="A5">
        <v>65</v>
      </c>
      <c r="G5" s="58">
        <v>0.4</v>
      </c>
      <c r="H5" s="60">
        <f t="shared" si="0"/>
        <v>-0.25334710313579978</v>
      </c>
      <c r="I5" s="60">
        <f t="shared" si="1"/>
        <v>-0.25</v>
      </c>
      <c r="J5" s="60">
        <f t="shared" si="2"/>
        <v>65.817499999999995</v>
      </c>
      <c r="K5" s="70">
        <v>4</v>
      </c>
      <c r="L5" s="64">
        <f>J4</f>
        <v>63.006799999999998</v>
      </c>
      <c r="M5" s="45" t="s">
        <v>52</v>
      </c>
      <c r="N5" s="65">
        <f>J5</f>
        <v>65.817499999999995</v>
      </c>
      <c r="O5" s="70">
        <f t="shared" si="7"/>
        <v>6</v>
      </c>
      <c r="P5" s="70">
        <v>5</v>
      </c>
      <c r="Q5">
        <f t="shared" si="3"/>
        <v>1</v>
      </c>
      <c r="R5">
        <f t="shared" si="4"/>
        <v>1</v>
      </c>
      <c r="S5">
        <f t="shared" si="5"/>
        <v>0.2</v>
      </c>
    </row>
    <row r="6" spans="1:19" x14ac:dyDescent="0.25">
      <c r="A6">
        <v>54</v>
      </c>
      <c r="G6" s="58">
        <v>0.5</v>
      </c>
      <c r="H6" s="60">
        <f t="shared" si="0"/>
        <v>0</v>
      </c>
      <c r="I6" s="60">
        <f t="shared" si="1"/>
        <v>0</v>
      </c>
      <c r="J6" s="60">
        <f t="shared" si="2"/>
        <v>68.42</v>
      </c>
      <c r="K6" s="70">
        <v>5</v>
      </c>
      <c r="L6" s="64">
        <f>J5</f>
        <v>65.817499999999995</v>
      </c>
      <c r="M6" s="45" t="s">
        <v>52</v>
      </c>
      <c r="N6" s="65">
        <f>J6</f>
        <v>68.42</v>
      </c>
      <c r="O6" s="70">
        <f t="shared" si="7"/>
        <v>2</v>
      </c>
      <c r="P6" s="70">
        <v>5</v>
      </c>
      <c r="Q6">
        <f t="shared" si="3"/>
        <v>-3</v>
      </c>
      <c r="R6">
        <f t="shared" si="4"/>
        <v>9</v>
      </c>
      <c r="S6">
        <f t="shared" si="5"/>
        <v>1.8</v>
      </c>
    </row>
    <row r="7" spans="1:19" x14ac:dyDescent="0.25">
      <c r="A7">
        <v>93</v>
      </c>
      <c r="C7" t="s">
        <v>54</v>
      </c>
      <c r="D7">
        <f>K11-COUNTA(C2:C4)-1</f>
        <v>7</v>
      </c>
      <c r="G7" s="58">
        <v>0.6</v>
      </c>
      <c r="H7" s="60">
        <f t="shared" si="0"/>
        <v>0.25334710313579978</v>
      </c>
      <c r="I7" s="60">
        <f t="shared" si="1"/>
        <v>0.25</v>
      </c>
      <c r="J7" s="60">
        <f t="shared" si="2"/>
        <v>71.022500000000008</v>
      </c>
      <c r="K7" s="70">
        <v>6</v>
      </c>
      <c r="L7" s="64">
        <f t="shared" ref="L7:L11" si="8">J6</f>
        <v>68.42</v>
      </c>
      <c r="M7" s="45" t="s">
        <v>52</v>
      </c>
      <c r="N7" s="65">
        <f t="shared" ref="N7:N10" si="9">J7</f>
        <v>71.022500000000008</v>
      </c>
      <c r="O7" s="70">
        <f t="shared" si="7"/>
        <v>5</v>
      </c>
      <c r="P7" s="70">
        <v>5</v>
      </c>
      <c r="Q7">
        <f t="shared" si="3"/>
        <v>0</v>
      </c>
      <c r="R7">
        <f t="shared" si="4"/>
        <v>0</v>
      </c>
      <c r="S7">
        <f t="shared" si="5"/>
        <v>0</v>
      </c>
    </row>
    <row r="8" spans="1:19" x14ac:dyDescent="0.25">
      <c r="A8">
        <v>60</v>
      </c>
      <c r="G8" s="58">
        <v>0.7</v>
      </c>
      <c r="H8" s="60">
        <f t="shared" si="0"/>
        <v>0.52440051270804078</v>
      </c>
      <c r="I8" s="60">
        <f t="shared" si="1"/>
        <v>0.52</v>
      </c>
      <c r="J8" s="60">
        <f t="shared" si="2"/>
        <v>73.833200000000005</v>
      </c>
      <c r="K8" s="70">
        <v>7</v>
      </c>
      <c r="L8" s="64">
        <f t="shared" si="8"/>
        <v>71.022500000000008</v>
      </c>
      <c r="M8" s="45" t="s">
        <v>52</v>
      </c>
      <c r="N8" s="65">
        <f t="shared" si="9"/>
        <v>73.833200000000005</v>
      </c>
      <c r="O8" s="70">
        <f t="shared" si="7"/>
        <v>2</v>
      </c>
      <c r="P8" s="70">
        <v>5</v>
      </c>
      <c r="Q8">
        <f t="shared" si="3"/>
        <v>-3</v>
      </c>
      <c r="R8">
        <f t="shared" si="4"/>
        <v>9</v>
      </c>
      <c r="S8">
        <f t="shared" si="5"/>
        <v>1.8</v>
      </c>
    </row>
    <row r="9" spans="1:19" x14ac:dyDescent="0.25">
      <c r="A9">
        <v>86</v>
      </c>
      <c r="G9" s="58">
        <v>0.8</v>
      </c>
      <c r="H9" s="60">
        <f t="shared" si="0"/>
        <v>0.84162123357291474</v>
      </c>
      <c r="I9" s="60">
        <f t="shared" si="1"/>
        <v>0.84</v>
      </c>
      <c r="J9" s="60">
        <f t="shared" si="2"/>
        <v>77.164400000000001</v>
      </c>
      <c r="K9" s="70">
        <v>8</v>
      </c>
      <c r="L9" s="64">
        <f t="shared" si="8"/>
        <v>73.833200000000005</v>
      </c>
      <c r="M9" s="45" t="s">
        <v>52</v>
      </c>
      <c r="N9" s="65">
        <f t="shared" si="9"/>
        <v>77.164400000000001</v>
      </c>
      <c r="O9" s="70">
        <f t="shared" si="7"/>
        <v>5</v>
      </c>
      <c r="P9" s="70">
        <v>5</v>
      </c>
      <c r="Q9">
        <f t="shared" si="3"/>
        <v>0</v>
      </c>
      <c r="R9">
        <f t="shared" si="4"/>
        <v>0</v>
      </c>
      <c r="S9">
        <f t="shared" si="5"/>
        <v>0</v>
      </c>
    </row>
    <row r="10" spans="1:19" x14ac:dyDescent="0.25">
      <c r="A10">
        <v>70</v>
      </c>
      <c r="G10" s="58">
        <v>0.9</v>
      </c>
      <c r="H10" s="60">
        <f t="shared" si="0"/>
        <v>1.2815515655446006</v>
      </c>
      <c r="I10" s="60">
        <f t="shared" si="1"/>
        <v>1.28</v>
      </c>
      <c r="J10" s="60">
        <f t="shared" si="2"/>
        <v>81.744799999999998</v>
      </c>
      <c r="K10" s="70">
        <v>9</v>
      </c>
      <c r="L10" s="64">
        <f t="shared" si="8"/>
        <v>77.164400000000001</v>
      </c>
      <c r="M10" s="45"/>
      <c r="N10" s="65">
        <f t="shared" si="9"/>
        <v>81.744799999999998</v>
      </c>
      <c r="O10" s="70">
        <f t="shared" si="7"/>
        <v>5</v>
      </c>
      <c r="P10" s="70">
        <v>5</v>
      </c>
      <c r="Q10">
        <f t="shared" si="3"/>
        <v>0</v>
      </c>
      <c r="R10">
        <f t="shared" si="4"/>
        <v>0</v>
      </c>
      <c r="S10">
        <f t="shared" si="5"/>
        <v>0</v>
      </c>
    </row>
    <row r="11" spans="1:19" x14ac:dyDescent="0.25">
      <c r="A11">
        <v>70</v>
      </c>
      <c r="K11" s="71">
        <v>10</v>
      </c>
      <c r="L11" s="66" t="s">
        <v>55</v>
      </c>
      <c r="M11" s="67"/>
      <c r="N11" s="68"/>
      <c r="O11" s="71">
        <f>COUNTIFS(A2:A51,"&gt;" &amp;J10)</f>
        <v>6</v>
      </c>
      <c r="P11" s="71">
        <v>5</v>
      </c>
      <c r="Q11">
        <f t="shared" si="3"/>
        <v>1</v>
      </c>
      <c r="R11">
        <f t="shared" si="4"/>
        <v>1</v>
      </c>
      <c r="S11">
        <f t="shared" si="5"/>
        <v>0.2</v>
      </c>
    </row>
    <row r="12" spans="1:19" x14ac:dyDescent="0.25">
      <c r="A12">
        <v>73</v>
      </c>
    </row>
    <row r="13" spans="1:19" x14ac:dyDescent="0.25">
      <c r="A13">
        <v>73</v>
      </c>
      <c r="R13" s="19" t="s">
        <v>58</v>
      </c>
      <c r="S13">
        <f>SUM(S2:S11)</f>
        <v>7.2</v>
      </c>
    </row>
    <row r="14" spans="1:19" x14ac:dyDescent="0.25">
      <c r="A14">
        <v>55</v>
      </c>
    </row>
    <row r="15" spans="1:19" x14ac:dyDescent="0.25">
      <c r="A15">
        <v>63</v>
      </c>
      <c r="R15" t="s">
        <v>60</v>
      </c>
      <c r="S15" s="39">
        <f>_xlfn.CHISQ.DIST.RT(S13,D7)</f>
        <v>0.40835740822481392</v>
      </c>
    </row>
    <row r="16" spans="1:19" x14ac:dyDescent="0.25">
      <c r="A16">
        <v>56</v>
      </c>
    </row>
    <row r="17" spans="1:1" x14ac:dyDescent="0.25">
      <c r="A17">
        <v>62</v>
      </c>
    </row>
    <row r="18" spans="1:1" x14ac:dyDescent="0.25">
      <c r="A18">
        <v>76</v>
      </c>
    </row>
    <row r="19" spans="1:1" x14ac:dyDescent="0.25">
      <c r="A19">
        <v>54</v>
      </c>
    </row>
    <row r="20" spans="1:1" x14ac:dyDescent="0.25">
      <c r="A20">
        <v>82</v>
      </c>
    </row>
    <row r="21" spans="1:1" x14ac:dyDescent="0.25">
      <c r="A21">
        <v>79</v>
      </c>
    </row>
    <row r="22" spans="1:1" x14ac:dyDescent="0.25">
      <c r="A22">
        <v>76</v>
      </c>
    </row>
    <row r="23" spans="1:1" x14ac:dyDescent="0.25">
      <c r="A23">
        <v>68</v>
      </c>
    </row>
    <row r="24" spans="1:1" x14ac:dyDescent="0.25">
      <c r="A24">
        <v>53</v>
      </c>
    </row>
    <row r="25" spans="1:1" x14ac:dyDescent="0.25">
      <c r="A25">
        <v>58</v>
      </c>
    </row>
    <row r="26" spans="1:1" x14ac:dyDescent="0.25">
      <c r="A26">
        <v>85</v>
      </c>
    </row>
    <row r="27" spans="1:1" x14ac:dyDescent="0.25">
      <c r="A27">
        <v>80</v>
      </c>
    </row>
    <row r="28" spans="1:1" x14ac:dyDescent="0.25">
      <c r="A28">
        <v>56</v>
      </c>
    </row>
    <row r="29" spans="1:1" x14ac:dyDescent="0.25">
      <c r="A29">
        <v>61</v>
      </c>
    </row>
    <row r="30" spans="1:1" x14ac:dyDescent="0.25">
      <c r="A30">
        <v>61</v>
      </c>
    </row>
    <row r="31" spans="1:1" x14ac:dyDescent="0.25">
      <c r="A31">
        <v>64</v>
      </c>
    </row>
    <row r="32" spans="1:1" x14ac:dyDescent="0.25">
      <c r="A32">
        <v>65</v>
      </c>
    </row>
    <row r="33" spans="1:1" x14ac:dyDescent="0.25">
      <c r="A33">
        <v>62</v>
      </c>
    </row>
    <row r="34" spans="1:1" x14ac:dyDescent="0.25">
      <c r="A34">
        <v>90</v>
      </c>
    </row>
    <row r="35" spans="1:1" x14ac:dyDescent="0.25">
      <c r="A35">
        <v>69</v>
      </c>
    </row>
    <row r="36" spans="1:1" x14ac:dyDescent="0.25">
      <c r="A36">
        <v>76</v>
      </c>
    </row>
    <row r="37" spans="1:1" x14ac:dyDescent="0.25">
      <c r="A37">
        <v>79</v>
      </c>
    </row>
    <row r="38" spans="1:1" x14ac:dyDescent="0.25">
      <c r="A38">
        <v>77</v>
      </c>
    </row>
    <row r="39" spans="1:1" x14ac:dyDescent="0.25">
      <c r="A39">
        <v>54</v>
      </c>
    </row>
    <row r="40" spans="1:1" x14ac:dyDescent="0.25">
      <c r="A40">
        <v>64</v>
      </c>
    </row>
    <row r="41" spans="1:1" x14ac:dyDescent="0.25">
      <c r="A41">
        <v>74</v>
      </c>
    </row>
    <row r="42" spans="1:1" x14ac:dyDescent="0.25">
      <c r="A42">
        <v>65</v>
      </c>
    </row>
    <row r="43" spans="1:1" x14ac:dyDescent="0.25">
      <c r="A43">
        <v>65</v>
      </c>
    </row>
    <row r="44" spans="1:1" x14ac:dyDescent="0.25">
      <c r="A44">
        <v>61</v>
      </c>
    </row>
    <row r="45" spans="1:1" x14ac:dyDescent="0.25">
      <c r="A45">
        <v>56</v>
      </c>
    </row>
    <row r="46" spans="1:1" x14ac:dyDescent="0.25">
      <c r="A46">
        <v>63</v>
      </c>
    </row>
    <row r="47" spans="1:1" x14ac:dyDescent="0.25">
      <c r="A47">
        <v>80</v>
      </c>
    </row>
    <row r="48" spans="1:1" x14ac:dyDescent="0.25">
      <c r="A48">
        <v>56</v>
      </c>
    </row>
    <row r="49" spans="1:1" x14ac:dyDescent="0.25">
      <c r="A49">
        <v>71</v>
      </c>
    </row>
    <row r="50" spans="1:1" x14ac:dyDescent="0.25">
      <c r="A50">
        <v>79</v>
      </c>
    </row>
    <row r="51" spans="1:1" x14ac:dyDescent="0.25">
      <c r="A51">
        <v>84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Goodness fit multinomial pop.</vt:lpstr>
      <vt:lpstr>12.2 Test of Independence</vt:lpstr>
      <vt:lpstr>Poisson Distri. Goodness of Fit</vt:lpstr>
      <vt:lpstr>Normal Distri Goodness of FiT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 Alvarez</dc:creator>
  <cp:lastModifiedBy>Cristian Alvarez</cp:lastModifiedBy>
  <dcterms:created xsi:type="dcterms:W3CDTF">2025-08-27T20:23:14Z</dcterms:created>
  <dcterms:modified xsi:type="dcterms:W3CDTF">2025-08-29T21:08:36Z</dcterms:modified>
</cp:coreProperties>
</file>