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AAFE9BFB-08D7-4A33-9350-461764E2C050}" xr6:coauthVersionLast="47" xr6:coauthVersionMax="47" xr10:uidLastSave="{00000000-0000-0000-0000-000000000000}"/>
  <bookViews>
    <workbookView xWindow="2250" yWindow="2250" windowWidth="15375" windowHeight="8325" activeTab="3" xr2:uid="{00000000-000D-0000-FFFF-FFFF00000000}"/>
  </bookViews>
  <sheets>
    <sheet name="thisfile" sheetId="4" r:id="rId1"/>
    <sheet name="Sheet2" sheetId="2" r:id="rId2"/>
    <sheet name="Sheet2 (2)" sheetId="8" r:id="rId3"/>
    <sheet name="Simple Linear Regression" sheetId="5" r:id="rId4"/>
    <sheet name="Multiple Regression" sheetId="3" r:id="rId5"/>
    <sheet name="Manually matrix math (optional)" sheetId="27" r:id="rId6"/>
    <sheet name="constant is zero" sheetId="26" r:id="rId7"/>
    <sheet name="column of ones" sheetId="25" r:id="rId8"/>
    <sheet name="Sheet3" sheetId="24" r:id="rId9"/>
    <sheet name="Conf. Interv. 4 mean y for all" sheetId="13" r:id="rId10"/>
    <sheet name="Pred. Inter 4 y for specific" sheetId="15" r:id="rId11"/>
    <sheet name="Manually Calculating MSR, SST.." sheetId="7" r:id="rId12"/>
    <sheet name="Leverage and Cooks Distance" sheetId="20" r:id="rId13"/>
    <sheet name="15.7 Categorical Independent " sheetId="17" r:id="rId14"/>
    <sheet name="15.9 has its own excel file" sheetId="22" r:id="rId15"/>
    <sheet name="Ch 16.2 Plus 1 indep.  variable" sheetId="9"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9" i="27" l="1" a="1"/>
  <c r="L49" i="27" s="1"/>
  <c r="K25" i="27" a="1"/>
  <c r="K25" i="27" s="1"/>
  <c r="K29" i="27" s="1" a="1"/>
  <c r="K29" i="27" s="1"/>
  <c r="B14" i="27"/>
  <c r="C14" i="27"/>
  <c r="D14" i="27"/>
  <c r="A14" i="27"/>
  <c r="E3" i="7"/>
  <c r="M63" i="27" l="1" a="1"/>
  <c r="M63" i="27" s="1"/>
  <c r="G3" i="7"/>
  <c r="F3" i="7"/>
  <c r="E16" i="9" l="1"/>
  <c r="E9" i="9"/>
  <c r="E12" i="9" s="1"/>
  <c r="E14" i="9" s="1"/>
  <c r="R2" i="20"/>
  <c r="N12" i="20"/>
  <c r="S2" i="20"/>
  <c r="R3" i="20"/>
  <c r="R4" i="20"/>
  <c r="R5" i="20"/>
  <c r="R6" i="20"/>
  <c r="R7" i="20"/>
  <c r="R8" i="20"/>
  <c r="R9" i="20"/>
  <c r="R10" i="20"/>
  <c r="R11" i="20"/>
  <c r="N9" i="20"/>
  <c r="B15" i="20"/>
  <c r="H2" i="20" a="1"/>
  <c r="H2" i="20" s="1"/>
  <c r="L2" i="20" s="1" a="1"/>
  <c r="L2" i="20" s="1"/>
  <c r="G2" i="20" s="1" a="1"/>
  <c r="G2" i="20" s="1"/>
  <c r="B14" i="20"/>
  <c r="G15" i="20" l="1"/>
  <c r="G4" i="20" a="1"/>
  <c r="G4" i="20" s="1"/>
  <c r="G11" i="20" a="1"/>
  <c r="G11" i="20" s="1"/>
  <c r="G5" i="20" a="1"/>
  <c r="G5" i="20" s="1"/>
  <c r="G3" i="20" a="1"/>
  <c r="G3" i="20" s="1"/>
  <c r="G8" i="20" a="1"/>
  <c r="G8" i="20" s="1"/>
  <c r="G10" i="20" a="1"/>
  <c r="G10" i="20" s="1"/>
  <c r="G6" i="20" a="1"/>
  <c r="G6" i="20" s="1"/>
  <c r="G9" i="20" a="1"/>
  <c r="G9" i="20" s="1"/>
  <c r="G7" i="20" a="1"/>
  <c r="G7" i="20" s="1"/>
  <c r="C3" i="17" l="1"/>
  <c r="C4" i="17"/>
  <c r="C5" i="17"/>
  <c r="C6" i="17"/>
  <c r="C7" i="17"/>
  <c r="C8" i="17"/>
  <c r="C9" i="17"/>
  <c r="C10" i="17"/>
  <c r="C11" i="17"/>
  <c r="C2" i="17"/>
  <c r="B11" i="15" l="1"/>
  <c r="B11" i="13"/>
  <c r="P59" i="3"/>
  <c r="P48" i="3"/>
  <c r="P45" i="3"/>
  <c r="E3" i="8" l="1"/>
  <c r="E4" i="8"/>
  <c r="C50" i="3" l="1"/>
  <c r="D50" i="3" s="1"/>
  <c r="B21" i="7"/>
  <c r="D15" i="7"/>
  <c r="F8" i="7" s="1"/>
  <c r="E4" i="7"/>
  <c r="H4" i="7" s="1"/>
  <c r="E5" i="7"/>
  <c r="H5" i="7" s="1"/>
  <c r="E6" i="7"/>
  <c r="H6" i="7" s="1"/>
  <c r="E7" i="7"/>
  <c r="H7" i="7" s="1"/>
  <c r="E8" i="7"/>
  <c r="E9" i="7"/>
  <c r="E10" i="7"/>
  <c r="H10" i="7" s="1"/>
  <c r="E11" i="7"/>
  <c r="H11" i="7" s="1"/>
  <c r="E12" i="7"/>
  <c r="H12" i="7" s="1"/>
  <c r="H3" i="7"/>
  <c r="G10" i="7" l="1"/>
  <c r="F7" i="7"/>
  <c r="G11" i="7"/>
  <c r="G12" i="7"/>
  <c r="F5" i="7"/>
  <c r="G6" i="7"/>
  <c r="F4" i="7"/>
  <c r="G9" i="7"/>
  <c r="F11" i="7"/>
  <c r="G4" i="7"/>
  <c r="G8" i="7"/>
  <c r="F10" i="7"/>
  <c r="F12" i="7"/>
  <c r="F9" i="7"/>
  <c r="F6" i="7"/>
  <c r="G5" i="7"/>
  <c r="G7" i="7"/>
  <c r="H9" i="7"/>
  <c r="H8" i="7"/>
  <c r="G15" i="7" l="1"/>
  <c r="L5" i="7" s="1"/>
  <c r="H15" i="7"/>
  <c r="L8" i="7" s="1"/>
  <c r="F15" i="7"/>
  <c r="L11" i="7" l="1"/>
  <c r="F20" i="7"/>
  <c r="F2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<sst xmlns="http://schemas.openxmlformats.org/spreadsheetml/2006/main" count="282" uniqueCount="105">
  <si>
    <t>Assignment</t>
  </si>
  <si>
    <t>Miles Traveled</t>
  </si>
  <si>
    <t>Number of Deliveries</t>
  </si>
  <si>
    <t>Travel hours</t>
  </si>
  <si>
    <t>Miles_traveled</t>
  </si>
  <si>
    <t>Number_of_deliveries</t>
  </si>
  <si>
    <t>SUMMARY OUTPUT</t>
  </si>
  <si>
    <t>Regression Statistics</t>
  </si>
  <si>
    <t>Multiple R</t>
  </si>
  <si>
    <t>R Square</t>
  </si>
  <si>
    <t>Adjusted R Square</t>
  </si>
  <si>
    <t>Standard Error</t>
  </si>
  <si>
    <t>Observations</t>
  </si>
  <si>
    <t>ANOVA</t>
  </si>
  <si>
    <t>Regression</t>
  </si>
  <si>
    <t>Total</t>
  </si>
  <si>
    <t>Intercept</t>
  </si>
  <si>
    <t>df</t>
  </si>
  <si>
    <t>SS</t>
  </si>
  <si>
    <t>MS</t>
  </si>
  <si>
    <t>F</t>
  </si>
  <si>
    <t>Significance F</t>
  </si>
  <si>
    <t>Coefficients</t>
  </si>
  <si>
    <t>t Stat</t>
  </si>
  <si>
    <t>P-value</t>
  </si>
  <si>
    <t>Lower 95%</t>
  </si>
  <si>
    <t>Upper 95%</t>
  </si>
  <si>
    <t>Lower 99.0%</t>
  </si>
  <si>
    <t>Upper 99.0%</t>
  </si>
  <si>
    <t>RESIDUAL OUTPUT</t>
  </si>
  <si>
    <t>Observation</t>
  </si>
  <si>
    <t>Predicted Travel hours</t>
  </si>
  <si>
    <t>Residuals</t>
  </si>
  <si>
    <t>Standard Residuals</t>
  </si>
  <si>
    <t>PROBABILITY OUTPUT</t>
  </si>
  <si>
    <t>Percentile</t>
  </si>
  <si>
    <t>observed-predicted</t>
  </si>
  <si>
    <t>residual/stdev of residuals</t>
  </si>
  <si>
    <t>Order Stat</t>
  </si>
  <si>
    <t>Normal Score</t>
  </si>
  <si>
    <t>Ordered Standard Residuals</t>
  </si>
  <si>
    <t xml:space="preserve">Predicted Travel Hours </t>
  </si>
  <si>
    <t>(yi-y mean)^2</t>
  </si>
  <si>
    <t>y mean</t>
  </si>
  <si>
    <t>(predict y - y mean )^2</t>
  </si>
  <si>
    <t>SSR</t>
  </si>
  <si>
    <t>SST</t>
  </si>
  <si>
    <t>(yi-predicted y)^2</t>
  </si>
  <si>
    <t>SSE</t>
  </si>
  <si>
    <t>Travel hours (yi)</t>
  </si>
  <si>
    <t>R Squared (SSR/SST):</t>
  </si>
  <si>
    <t>Adjused R Squared:</t>
  </si>
  <si>
    <t>MSR</t>
  </si>
  <si>
    <t>MSE</t>
  </si>
  <si>
    <t xml:space="preserve">F Test stat </t>
  </si>
  <si>
    <t>Corr of x1 x2</t>
  </si>
  <si>
    <t>stdev.s of residuals</t>
  </si>
  <si>
    <t>total</t>
  </si>
  <si>
    <t>Residual or "Error"</t>
  </si>
  <si>
    <t>F critical</t>
  </si>
  <si>
    <t>a</t>
  </si>
  <si>
    <t>t critical</t>
  </si>
  <si>
    <t>correlation of x1 and x2</t>
  </si>
  <si>
    <t>yhat=</t>
  </si>
  <si>
    <t>x2</t>
  </si>
  <si>
    <t>+</t>
  </si>
  <si>
    <t>x1+</t>
  </si>
  <si>
    <t>miles: x1</t>
  </si>
  <si>
    <t>deliveries: x2</t>
  </si>
  <si>
    <t>Residual</t>
  </si>
  <si>
    <t>Lower 95.0%</t>
  </si>
  <si>
    <t>Upper 95.0%</t>
  </si>
  <si>
    <t>n</t>
  </si>
  <si>
    <t>Months Since
Last Service</t>
  </si>
  <si>
    <t>Type of
Repair</t>
  </si>
  <si>
    <t>Repair Time
(hours)</t>
  </si>
  <si>
    <t>Service Call</t>
  </si>
  <si>
    <t>Predicted Repair Time
(hours)</t>
  </si>
  <si>
    <t>Invert</t>
  </si>
  <si>
    <t>p</t>
  </si>
  <si>
    <t>Influential when</t>
  </si>
  <si>
    <t>hi&gt;</t>
  </si>
  <si>
    <t>Hi Leverage</t>
  </si>
  <si>
    <t>Cooks Distance Di</t>
  </si>
  <si>
    <t>sse</t>
  </si>
  <si>
    <t>supposed mse</t>
  </si>
  <si>
    <t>SSE(x1)</t>
  </si>
  <si>
    <t>SSE (x1,x2)</t>
  </si>
  <si>
    <t>number of independent variables added</t>
  </si>
  <si>
    <t>denominitator df (n-p-1)</t>
  </si>
  <si>
    <t>Numerator</t>
  </si>
  <si>
    <t>Denominator is mse of model with all independent variables</t>
  </si>
  <si>
    <t>F test statistic</t>
  </si>
  <si>
    <t>p value</t>
  </si>
  <si>
    <t>Critical value: reject Ho when F is &gt;</t>
  </si>
  <si>
    <t>ones</t>
  </si>
  <si>
    <t>A</t>
  </si>
  <si>
    <t>B (Miles)</t>
  </si>
  <si>
    <t>C (Deliveries)</t>
  </si>
  <si>
    <t>D (Hours) or y</t>
  </si>
  <si>
    <t>step 4</t>
  </si>
  <si>
    <t xml:space="preserve">step 5 </t>
  </si>
  <si>
    <t>Bo</t>
  </si>
  <si>
    <t>B1</t>
  </si>
  <si>
    <t>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</si>
</sst>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0"/>
      <color rgb="FF000000"/>
      <name val="Arial"/>
      <scheme val="minor"/>
    </font>
    <font>
      <sz val="10"/>
      <color theme="1"/>
      <name val="Arial"/>
      <family val="2"/>
      <scheme val="minor"/>
    </font>
    <font>
      <i/>
      <sz val="10"/>
      <color rgb="FF000000"/>
      <name val="Arial"/>
      <family val="2"/>
      <scheme val="minor"/>
    </font>
    <font>
      <sz val="10"/>
      <color rgb="FF000000"/>
      <name val="Arial"/>
      <family val="2"/>
      <scheme val="minor"/>
    </font>
    <font>
      <b/>
      <sz val="10"/>
      <color rgb="FF000000"/>
      <name val="Arial"/>
      <family val="2"/>
      <scheme val="minor"/>
    </font>
    <font>
      <b/>
      <sz val="12"/>
      <name val="Times New Roman"/>
      <family val="1"/>
    </font>
    <font>
      <sz val="12"/>
      <name val="Times New Roman"/>
      <family val="1"/>
    </font>
    <font>
      <sz val="10"/>
      <color rgb="FFFFC000"/>
      <name val="Arial"/>
      <family val="2"/>
      <scheme val="minor"/>
    </font>
    <font>
      <b/>
      <sz val="10"/>
      <color theme="1"/>
      <name val="Arial"/>
      <family val="2"/>
      <scheme val="minor"/>
    </font>
    <font>
      <b/>
      <sz val="10"/>
      <color rgb="FFFFC000"/>
      <name val="Arial"/>
      <family val="2"/>
      <scheme val="minor"/>
    </font>
  </fonts>
  <fills count="2">
    <fill>
      <patternFill patternType="none"/>
    </fill>
    <fill>
      <patternFill patternType="gray125"/>
    </fill>
  </fills>
  <borders count="11">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0" borderId="0" xfId="0" applyAlignment="1">
      <alignment horizontal="center" wrapText="1"/>
    </xf>
    <xf numFmtId="0" fontId="2" fillId="0" borderId="2" xfId="0" applyFont="1" applyBorder="1" applyAlignment="1">
      <alignment horizontal="center" wrapText="1"/>
    </xf>
    <xf numFmtId="0" fontId="1" fillId="0" borderId="0" xfId="0" applyFont="1" applyAlignment="1">
      <alignment wrapText="1"/>
    </xf>
    <xf numFmtId="164" fontId="0" fillId="0" borderId="0" xfId="0" applyNumberFormat="1"/>
    <xf numFmtId="0" fontId="3" fillId="0" borderId="0" xfId="0" applyFont="1"/>
    <xf numFmtId="0" fontId="4" fillId="0" borderId="0" xfId="0" applyFont="1"/>
    <xf numFmtId="2" fontId="0" fillId="0" borderId="0" xfId="0" applyNumberFormat="1"/>
    <xf numFmtId="0" fontId="0" fillId="0" borderId="0" xfId="0" applyBorder="1"/>
    <xf numFmtId="0" fontId="4" fillId="0" borderId="0" xfId="0" applyFont="1" applyAlignment="1">
      <alignment horizontal="center"/>
    </xf>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4" fillId="0" borderId="0" xfId="0" applyFont="1" applyAlignment="1">
      <alignment wrapText="1"/>
    </xf>
    <xf numFmtId="0" fontId="3" fillId="0" borderId="3" xfId="0" applyFont="1" applyBorder="1"/>
    <xf numFmtId="0" fontId="5" fillId="0" borderId="4" xfId="0" applyFont="1" applyBorder="1" applyAlignment="1">
      <alignment horizontal="center" wrapText="1"/>
    </xf>
    <xf numFmtId="0" fontId="5" fillId="0" borderId="5" xfId="0" applyFont="1" applyBorder="1" applyAlignment="1">
      <alignment horizontal="center" wrapText="1"/>
    </xf>
    <xf numFmtId="0" fontId="0" fillId="0" borderId="6" xfId="0" applyBorder="1"/>
    <xf numFmtId="0" fontId="6" fillId="0" borderId="0" xfId="0" applyFont="1" applyBorder="1" applyAlignment="1">
      <alignment horizontal="center"/>
    </xf>
    <xf numFmtId="0" fontId="6" fillId="0" borderId="0" xfId="0" applyFont="1" applyBorder="1"/>
    <xf numFmtId="165" fontId="6" fillId="0" borderId="7" xfId="0" applyNumberFormat="1" applyFont="1" applyBorder="1" applyAlignment="1">
      <alignment horizontal="center"/>
    </xf>
    <xf numFmtId="0" fontId="0" fillId="0" borderId="8" xfId="0" applyBorder="1"/>
    <xf numFmtId="0" fontId="6" fillId="0" borderId="9" xfId="0" applyFont="1" applyBorder="1" applyAlignment="1">
      <alignment horizontal="center"/>
    </xf>
    <xf numFmtId="0" fontId="6" fillId="0" borderId="9" xfId="0" applyFont="1" applyBorder="1"/>
    <xf numFmtId="165" fontId="6" fillId="0" borderId="10" xfId="0" applyNumberFormat="1" applyFont="1" applyBorder="1" applyAlignment="1">
      <alignment horizontal="center"/>
    </xf>
    <xf numFmtId="0" fontId="0" fillId="0" borderId="0" xfId="0" applyFill="1" applyBorder="1" applyAlignment="1">
      <alignment wrapText="1"/>
    </xf>
    <xf numFmtId="0" fontId="0" fillId="0" borderId="1" xfId="0" applyFill="1" applyBorder="1" applyAlignment="1">
      <alignment wrapText="1"/>
    </xf>
    <xf numFmtId="0" fontId="2" fillId="0" borderId="2" xfId="0" applyFont="1" applyFill="1" applyBorder="1" applyAlignment="1">
      <alignment horizontal="center" wrapText="1"/>
    </xf>
    <xf numFmtId="0" fontId="4" fillId="0" borderId="0" xfId="0" applyFont="1" applyAlignment="1">
      <alignment horizontal="right"/>
    </xf>
    <xf numFmtId="0" fontId="7" fillId="0" borderId="0" xfId="0" applyFont="1"/>
    <xf numFmtId="0" fontId="8" fillId="0" borderId="0" xfId="0" applyFont="1"/>
    <xf numFmtId="0" fontId="9" fillId="0" borderId="0" xfId="0" applyFont="1"/>
    <xf numFmtId="0" fontId="0" fillId="0" borderId="0" xfId="0"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Residual Plot</a:t>
            </a:r>
          </a:p>
        </c:rich>
      </c:tx>
      <c:overlay val="0"/>
    </c:title>
    <c:autoTitleDeleted val="0"/>
    <c:plotArea>
      <c:layout/>
      <c:scatterChart>
        <c:scatterStyle val="lineMarker"/>
        <c:varyColors val="0"/>
        <c:ser>
          <c:idx val="0"/>
          <c:order val="0"/>
          <c:spPr>
            <a:ln w="19050">
              <a:noFill/>
            </a:ln>
          </c:spPr>
          <c:xVal>
            <c:numRef>
              <c:f>'Simple Linear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'Simple Linear Regression'!$C$37:$C$46</c:f>
              <c:numCache>
                <c:formatCode>General</c:formatCode>
                <c:ptCount val="10"/>
                <c:pt idx="0">
                  <c:v>1.2434782608695656</c:v>
                </c:pt>
                <c:pt idx="1">
                  <c:v>0.13478260869565251</c:v>
                </c:pt>
                <c:pt idx="2">
                  <c:v>0.84347826086956523</c:v>
                </c:pt>
                <c:pt idx="3">
                  <c:v>-1.5565217391304351</c:v>
                </c:pt>
                <c:pt idx="4">
                  <c:v>-0.46521739130434714</c:v>
                </c:pt>
                <c:pt idx="5">
                  <c:v>-0.5</c:v>
                </c:pt>
                <c:pt idx="6">
                  <c:v>1.0391304347826091</c:v>
                </c:pt>
                <c:pt idx="7">
                  <c:v>0.31739130434782581</c:v>
                </c:pt>
                <c:pt idx="8">
                  <c:v>0.22173913043478244</c:v>
                </c:pt>
                <c:pt idx="9">
                  <c:v>-1.2782608695652176</c:v>
                </c:pt>
              </c:numCache>
            </c:numRef>
          </c:yVal>
          <c:smooth val="0"/>
          <c:extLst>
            <c:ext xmlns:c16="http://schemas.microsoft.com/office/drawing/2014/chart" uri="{C3380CC4-5D6E-409C-BE32-E72D297353CC}">
              <c16:uniqueId val="{00000001-BC13-4EA6-8D54-26733D9E795E}"/>
            </c:ext>
          </c:extLst>
        </c:ser>
        <c:dLbls>
          <c:showLegendKey val="0"/>
          <c:showVal val="0"/>
          <c:showCatName val="0"/>
          <c:showSerName val="0"/>
          <c:showPercent val="0"/>
          <c:showBubbleSize val="0"/>
        </c:dLbls>
        <c:axId val="295222335"/>
        <c:axId val="295219455"/>
      </c:scatterChart>
      <c:valAx>
        <c:axId val="295222335"/>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295219455"/>
        <c:crosses val="autoZero"/>
        <c:crossBetween val="midCat"/>
      </c:valAx>
      <c:valAx>
        <c:axId val="29521945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9522233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Line Fit  Plot</a:t>
            </a:r>
          </a:p>
        </c:rich>
      </c:tx>
      <c:overlay val="0"/>
    </c:title>
    <c:autoTitleDeleted val="0"/>
    <c:plotArea>
      <c:layout/>
      <c:scatterChart>
        <c:scatterStyle val="lineMarker"/>
        <c:varyColors val="0"/>
        <c:ser>
          <c:idx val="0"/>
          <c:order val="0"/>
          <c:tx>
            <c:v>Travel hours</c:v>
          </c:tx>
          <c:spPr>
            <a:ln w="19050">
              <a:noFill/>
            </a:ln>
          </c:spPr>
          <c:xVal>
            <c:numRef>
              <c:f>'Simple Linear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'Simple Linear Regression'!$C$2:$C$11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7869-4849-B9E7-2959CC11816E}"/>
            </c:ext>
          </c:extLst>
        </c:ser>
        <c:ser>
          <c:idx val="1"/>
          <c:order val="1"/>
          <c:tx>
            <c:v>Predicted Travel hours</c:v>
          </c:tx>
          <c:spPr>
            <a:ln w="19050">
              <a:noFill/>
            </a:ln>
          </c:spPr>
          <c:xVal>
            <c:numRef>
              <c:f>'Simple Linear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'Simple Linear Regression'!$B$37:$B$46</c:f>
              <c:numCache>
                <c:formatCode>General</c:formatCode>
                <c:ptCount val="10"/>
                <c:pt idx="0">
                  <c:v>8.0565217391304351</c:v>
                </c:pt>
                <c:pt idx="1">
                  <c:v>4.6652173913043473</c:v>
                </c:pt>
                <c:pt idx="2">
                  <c:v>8.0565217391304351</c:v>
                </c:pt>
                <c:pt idx="3">
                  <c:v>8.0565217391304351</c:v>
                </c:pt>
                <c:pt idx="4">
                  <c:v>4.6652173913043473</c:v>
                </c:pt>
                <c:pt idx="5">
                  <c:v>6.7</c:v>
                </c:pt>
                <c:pt idx="6">
                  <c:v>6.3608695652173912</c:v>
                </c:pt>
                <c:pt idx="7">
                  <c:v>5.6826086956521742</c:v>
                </c:pt>
                <c:pt idx="8">
                  <c:v>7.3782608695652172</c:v>
                </c:pt>
                <c:pt idx="9">
                  <c:v>7.3782608695652172</c:v>
                </c:pt>
              </c:numCache>
            </c:numRef>
          </c:yVal>
          <c:smooth val="0"/>
          <c:extLst>
            <c:ext xmlns:c16="http://schemas.microsoft.com/office/drawing/2014/chart" uri="{C3380CC4-5D6E-409C-BE32-E72D297353CC}">
              <c16:uniqueId val="{00000002-7869-4849-B9E7-2959CC11816E}"/>
            </c:ext>
          </c:extLst>
        </c:ser>
        <c:dLbls>
          <c:showLegendKey val="0"/>
          <c:showVal val="0"/>
          <c:showCatName val="0"/>
          <c:showSerName val="0"/>
          <c:showPercent val="0"/>
          <c:showBubbleSize val="0"/>
        </c:dLbls>
        <c:axId val="330324031"/>
        <c:axId val="295212735"/>
      </c:scatterChart>
      <c:valAx>
        <c:axId val="330324031"/>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295212735"/>
        <c:crosses val="autoZero"/>
        <c:crossBetween val="midCat"/>
      </c:valAx>
      <c:valAx>
        <c:axId val="295212735"/>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3303240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'Simple Linear Regression'!$F$37:$F$46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'Simple Linear Regression'!$G$37:$G$46</c:f>
              <c:numCache>
                <c:formatCode>General</c:formatCode>
                <c:ptCount val="10"/>
                <c:pt idx="0">
                  <c:v>4.2</c:v>
                </c:pt>
                <c:pt idx="1">
                  <c:v>4.8</c:v>
                </c:pt>
                <c:pt idx="2">
                  <c:v>6</c:v>
                </c:pt>
                <c:pt idx="3">
                  <c:v>6.1</c:v>
                </c:pt>
                <c:pt idx="4">
                  <c:v>6.2</c:v>
                </c:pt>
                <c:pt idx="5">
                  <c:v>6.5</c:v>
                </c:pt>
                <c:pt idx="6">
                  <c:v>7.4</c:v>
                </c:pt>
                <c:pt idx="7">
                  <c:v>7.6</c:v>
                </c:pt>
                <c:pt idx="8">
                  <c:v>8.9</c:v>
                </c:pt>
                <c:pt idx="9">
                  <c:v>9.3000000000000007</c:v>
                </c:pt>
              </c:numCache>
            </c:numRef>
          </c:yVal>
          <c:smooth val="0"/>
          <c:extLst>
            <c:ext xmlns:c16="http://schemas.microsoft.com/office/drawing/2014/chart" uri="{C3380CC4-5D6E-409C-BE32-E72D297353CC}">
              <c16:uniqueId val="{00000001-7BC9-47F3-8F6C-6010BFA20A50}"/>
            </c:ext>
          </c:extLst>
        </c:ser>
        <c:dLbls>
          <c:showLegendKey val="0"/>
          <c:showVal val="0"/>
          <c:showCatName val="0"/>
          <c:showSerName val="0"/>
          <c:showPercent val="0"/>
          <c:showBubbleSize val="0"/>
        </c:dLbls>
        <c:axId val="330324031"/>
        <c:axId val="330327871"/>
      </c:scatterChart>
      <c:valAx>
        <c:axId val="33032403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330327871"/>
        <c:crosses val="autoZero"/>
        <c:crossBetween val="midCat"/>
      </c:valAx>
      <c:valAx>
        <c:axId val="33032787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33032403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'Simple Linear Regression'!$C$51</c:f>
              <c:strCache>
                <c:ptCount val="1"/>
                <c:pt idx="0">
                  <c:v>Ordered Standard 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'Simple Linear Regression'!$B$52:$B$61</c:f>
              <c:numCache>
                <c:formatCode>General</c:formatCode>
                <c:ptCount val="10"/>
                <c:pt idx="0">
                  <c:v>-1.55</c:v>
                </c:pt>
                <c:pt idx="1">
                  <c:v>-1</c:v>
                </c:pt>
                <c:pt idx="2">
                  <c:v>-0.65</c:v>
                </c:pt>
                <c:pt idx="3">
                  <c:v>-0.37</c:v>
                </c:pt>
                <c:pt idx="4">
                  <c:v>-0.12</c:v>
                </c:pt>
                <c:pt idx="5">
                  <c:v>0.12</c:v>
                </c:pt>
                <c:pt idx="6">
                  <c:v>0.37</c:v>
                </c:pt>
                <c:pt idx="7">
                  <c:v>0.65</c:v>
                </c:pt>
                <c:pt idx="8">
                  <c:v>1</c:v>
                </c:pt>
                <c:pt idx="9">
                  <c:v>1.55</c:v>
                </c:pt>
              </c:numCache>
            </c:numRef>
          </c:xVal>
          <c:yVal>
            <c:numRef>
              <c:f>'Simple Linear Regression'!$C$52:$C$61</c:f>
              <c:numCache>
                <c:formatCode>General</c:formatCode>
                <c:ptCount val="10"/>
                <c:pt idx="0">
                  <c:v>-1.6479876309011203</c:v>
                </c:pt>
                <c:pt idx="1">
                  <c:v>-1.3533753169970093</c:v>
                </c:pt>
                <c:pt idx="2">
                  <c:v>-0.52938150154644914</c:v>
                </c:pt>
                <c:pt idx="3">
                  <c:v>-0.4925549623084346</c:v>
                </c:pt>
                <c:pt idx="4">
                  <c:v>0.14270283954730403</c:v>
                </c:pt>
                <c:pt idx="5">
                  <c:v>0.23476918764233815</c:v>
                </c:pt>
                <c:pt idx="6">
                  <c:v>0.33604217054687613</c:v>
                </c:pt>
                <c:pt idx="7">
                  <c:v>0.89304357652183597</c:v>
                </c:pt>
                <c:pt idx="8">
                  <c:v>1.1001928597356643</c:v>
                </c:pt>
                <c:pt idx="9">
                  <c:v>1.3165487777589957</c:v>
                </c:pt>
              </c:numCache>
            </c:numRef>
          </c:yVal>
          <c:smooth val="0"/>
          <c:extLst>
            <c:ext xmlns:c16="http://schemas.microsoft.com/office/drawing/2014/chart" uri="{C3380CC4-5D6E-409C-BE32-E72D297353CC}">
              <c16:uniqueId val="{00000000-88E9-40FB-B5B1-02DDE917832A}"/>
            </c:ext>
          </c:extLst>
        </c:ser>
        <c:ser>
          <c:idx val="1"/>
          <c:order val="1"/>
          <c:tx>
            <c:v>45 degree line</c:v>
          </c:tx>
          <c:spPr>
            <a:ln w="25400" cap="rnd">
              <a:solidFill>
                <a:schemeClr val="lt1">
                  <a:shade val="50000"/>
                </a:schemeClr>
              </a:solidFill>
              <a:round/>
            </a:ln>
            <a:effectLst/>
          </c:spPr>
          <c:marker>
            <c:symbol val="circle"/>
            <c:size val="5"/>
            <c:spPr>
              <a:noFill/>
              <a:ln w="9525">
                <a:noFill/>
              </a:ln>
              <a:effectLst/>
            </c:spPr>
          </c:marker>
          <c:dPt>
            <c:idx val="1"/>
            <c:marker>
              <c:symbol val="circle"/>
              <c:size val="5"/>
              <c:spPr>
                <a:noFill/>
                <a:ln w="9525">
                  <a:noFill/>
                </a:ln>
                <a:effectLst/>
              </c:spPr>
            </c:marker>
            <c:bubble3D val="0"/>
            <c:spPr>
              <a:ln w="25400" cap="rnd">
                <a:solidFill>
                  <a:schemeClr val="accent3"/>
                </a:solidFill>
                <a:round/>
              </a:ln>
              <a:effectLst/>
            </c:spPr>
            <c:extLst>
              <c:ext xmlns:c16="http://schemas.microsoft.com/office/drawing/2014/chart" uri="{C3380CC4-5D6E-409C-BE32-E72D297353CC}">
                <c16:uniqueId val="{00000003-88E9-40FB-B5B1-02DDE917832A}"/>
              </c:ext>
            </c:extLst>
          </c:dPt>
          <c:dPt>
            <c:idx val="2"/>
            <c:marker>
              <c:symbol val="circle"/>
              <c:size val="5"/>
              <c:spPr>
                <a:noFill/>
                <a:ln w="9525">
                  <a:noFill/>
                </a:ln>
                <a:effectLst/>
              </c:spPr>
            </c:marker>
            <c:bubble3D val="0"/>
            <c:spPr>
              <a:ln w="25400" cap="rnd">
                <a:solidFill>
                  <a:schemeClr val="accent3"/>
                </a:solidFill>
                <a:round/>
              </a:ln>
              <a:effectLst/>
            </c:spPr>
            <c:extLst>
              <c:ext xmlns:c16="http://schemas.microsoft.com/office/drawing/2014/chart" uri="{C3380CC4-5D6E-409C-BE32-E72D297353CC}">
                <c16:uniqueId val="{00000002-88E9-40FB-B5B1-02DDE917832A}"/>
              </c:ext>
            </c:extLst>
          </c:dPt>
          <c:xVal>
            <c:numRef>
              <c:f>'Simple Linear Regression'!$D$52:$D$54</c:f>
              <c:numCache>
                <c:formatCode>General</c:formatCode>
                <c:ptCount val="3"/>
                <c:pt idx="0">
                  <c:v>-2</c:v>
                </c:pt>
                <c:pt idx="1">
                  <c:v>0</c:v>
                </c:pt>
                <c:pt idx="2">
                  <c:v>2</c:v>
                </c:pt>
              </c:numCache>
            </c:numRef>
          </c:xVal>
          <c:yVal>
            <c:numRef>
              <c:f>'Simple Linear Regression'!$E$52:$E$54</c:f>
              <c:numCache>
                <c:formatCode>General</c:formatCode>
                <c:ptCount val="3"/>
                <c:pt idx="0">
                  <c:v>-2</c:v>
                </c:pt>
                <c:pt idx="1">
                  <c:v>0</c:v>
                </c:pt>
                <c:pt idx="2">
                  <c:v>2</c:v>
                </c:pt>
              </c:numCache>
            </c:numRef>
          </c:yVal>
          <c:smooth val="0"/>
          <c:extLst>
            <c:ext xmlns:c16="http://schemas.microsoft.com/office/drawing/2014/chart" uri="{C3380CC4-5D6E-409C-BE32-E72D297353CC}">
              <c16:uniqueId val="{00000001-88E9-40FB-B5B1-02DDE917832A}"/>
            </c:ext>
          </c:extLst>
        </c:ser>
        <c:dLbls>
          <c:showLegendKey val="0"/>
          <c:showVal val="0"/>
          <c:showCatName val="0"/>
          <c:showSerName val="0"/>
          <c:showPercent val="0"/>
          <c:showBubbleSize val="0"/>
        </c:dLbls>
        <c:axId val="26355616"/>
        <c:axId val="661320176"/>
      </c:scatterChart>
      <c:valAx>
        <c:axId val="26355616"/>
        <c:scaling>
          <c:orientation val="minMax"/>
          <c:max val="2"/>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20176"/>
        <c:crossesAt val="-2"/>
        <c:crossBetween val="midCat"/>
      </c:valAx>
      <c:valAx>
        <c:axId val="661320176"/>
        <c:scaling>
          <c:orientation val="minMax"/>
          <c:max val="2"/>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55616"/>
        <c:crossesAt val="-2"/>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Residuals Against Predicted Values</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'Simple Linear Regression'!$C$36</c:f>
              <c:strCache>
                <c:ptCount val="1"/>
                <c:pt idx="0">
                  <c:v>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'Simple Linear Regression'!$B$37:$B$46</c:f>
              <c:numCache>
                <c:formatCode>General</c:formatCode>
                <c:ptCount val="10"/>
                <c:pt idx="0">
                  <c:v>8.0565217391304351</c:v>
                </c:pt>
                <c:pt idx="1">
                  <c:v>4.6652173913043473</c:v>
                </c:pt>
                <c:pt idx="2">
                  <c:v>8.0565217391304351</c:v>
                </c:pt>
                <c:pt idx="3">
                  <c:v>8.0565217391304351</c:v>
                </c:pt>
                <c:pt idx="4">
                  <c:v>4.6652173913043473</c:v>
                </c:pt>
                <c:pt idx="5">
                  <c:v>6.7</c:v>
                </c:pt>
                <c:pt idx="6">
                  <c:v>6.3608695652173912</c:v>
                </c:pt>
                <c:pt idx="7">
                  <c:v>5.6826086956521742</c:v>
                </c:pt>
                <c:pt idx="8">
                  <c:v>7.3782608695652172</c:v>
                </c:pt>
                <c:pt idx="9">
                  <c:v>7.3782608695652172</c:v>
                </c:pt>
              </c:numCache>
            </c:numRef>
          </c:xVal>
          <c:yVal>
            <c:numRef>
              <c:f>'Simple Linear Regression'!$C$37:$C$46</c:f>
              <c:numCache>
                <c:formatCode>General</c:formatCode>
                <c:ptCount val="10"/>
                <c:pt idx="0">
                  <c:v>1.2434782608695656</c:v>
                </c:pt>
                <c:pt idx="1">
                  <c:v>0.13478260869565251</c:v>
                </c:pt>
                <c:pt idx="2">
                  <c:v>0.84347826086956523</c:v>
                </c:pt>
                <c:pt idx="3">
                  <c:v>-1.5565217391304351</c:v>
                </c:pt>
                <c:pt idx="4">
                  <c:v>-0.46521739130434714</c:v>
                </c:pt>
                <c:pt idx="5">
                  <c:v>-0.5</c:v>
                </c:pt>
                <c:pt idx="6">
                  <c:v>1.0391304347826091</c:v>
                </c:pt>
                <c:pt idx="7">
                  <c:v>0.31739130434782581</c:v>
                </c:pt>
                <c:pt idx="8">
                  <c:v>0.22173913043478244</c:v>
                </c:pt>
                <c:pt idx="9">
                  <c:v>-1.2782608695652176</c:v>
                </c:pt>
              </c:numCache>
            </c:numRef>
          </c:yVal>
          <c:smooth val="0"/>
          <c:extLst>
            <c:ext xmlns:c16="http://schemas.microsoft.com/office/drawing/2014/chart" uri="{C3380CC4-5D6E-409C-BE32-E72D297353CC}">
              <c16:uniqueId val="{00000000-8362-4328-8651-7DBDE64E6BF6}"/>
            </c:ext>
          </c:extLst>
        </c:ser>
        <c:dLbls>
          <c:showLegendKey val="0"/>
          <c:showVal val="0"/>
          <c:showCatName val="0"/>
          <c:showSerName val="0"/>
          <c:showPercent val="0"/>
          <c:showBubbleSize val="0"/>
        </c:dLbls>
        <c:axId val="203055600"/>
        <c:axId val="112146752"/>
      </c:scatterChart>
      <c:valAx>
        <c:axId val="203055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6752"/>
        <c:crossesAt val="-2"/>
        <c:crossBetween val="midCat"/>
      </c:valAx>
      <c:valAx>
        <c:axId val="11214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5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Standardized</a:t>
            </a:r>
            <a:r>
              <a:rPr lang="en-US" baseline="0"/>
              <a:t> Residuals vs Miles Traveled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'Simple Linear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'Simple Linear Regression'!$D$37:$D$46</c:f>
              <c:numCache>
                <c:formatCode>General</c:formatCode>
                <c:ptCount val="10"/>
                <c:pt idx="0">
                  <c:v>1.3165487777589957</c:v>
                </c:pt>
                <c:pt idx="1">
                  <c:v>0.14270283954730403</c:v>
                </c:pt>
                <c:pt idx="2">
                  <c:v>0.89304357652183597</c:v>
                </c:pt>
                <c:pt idx="3">
                  <c:v>-1.6479876309011203</c:v>
                </c:pt>
                <c:pt idx="4">
                  <c:v>-0.4925549623084346</c:v>
                </c:pt>
                <c:pt idx="5">
                  <c:v>-0.52938150154644914</c:v>
                </c:pt>
                <c:pt idx="6">
                  <c:v>1.1001928597356643</c:v>
                </c:pt>
                <c:pt idx="7">
                  <c:v>0.33604217054687613</c:v>
                </c:pt>
                <c:pt idx="8">
                  <c:v>0.23476918764233815</c:v>
                </c:pt>
                <c:pt idx="9">
                  <c:v>-1.3533753169970093</c:v>
                </c:pt>
              </c:numCache>
            </c:numRef>
          </c:yVal>
          <c:smooth val="0"/>
          <c:extLst>
            <c:ext xmlns:c16="http://schemas.microsoft.com/office/drawing/2014/chart" uri="{C3380CC4-5D6E-409C-BE32-E72D297353CC}">
              <c16:uniqueId val="{00000000-D63C-4929-AC3D-32D8D6422E32}"/>
            </c:ext>
          </c:extLst>
        </c:ser>
        <c:dLbls>
          <c:showLegendKey val="0"/>
          <c:showVal val="0"/>
          <c:showCatName val="0"/>
          <c:showSerName val="0"/>
          <c:showPercent val="0"/>
          <c:showBubbleSize val="0"/>
        </c:dLbls>
        <c:axId val="112991024"/>
        <c:axId val="112148192"/>
      </c:scatterChart>
      <c:valAx>
        <c:axId val="11299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8192"/>
        <c:crosses val="autoZero"/>
        <c:crossBetween val="midCat"/>
      </c:valAx>
      <c:valAx>
        <c:axId val="11214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10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Residual Plot</a:t>
            </a:r>
          </a:p>
        </c:rich>
      </c:tx>
      <c:overlay val="0"/>
    </c:title>
    <c:autoTitleDeleted val="0"/>
    <c:plotArea>
      <c:layout/>
      <c:scatterChart>
        <c:scatterStyle val="lineMarker"/>
        <c:varyColors val="0"/>
        <c:ser>
          <c:idx val="0"/>
          <c:order val="0"/>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'Multiple Regression'!$C$38:$C$47</c:f>
              <c:numCache>
                <c:formatCode>General</c:formatCode>
                <c:ptCount val="10"/>
                <c:pt idx="0">
                  <c:v>0.36154012079378717</c:v>
                </c:pt>
                <c:pt idx="1">
                  <c:v>-0.15830457290767885</c:v>
                </c:pt>
                <c:pt idx="2">
                  <c:v>-3.8459879206213188E-2</c:v>
                </c:pt>
                <c:pt idx="3">
                  <c:v>-0.59160914581535895</c:v>
                </c:pt>
                <c:pt idx="4">
                  <c:v>0.16512079378774835</c:v>
                </c:pt>
                <c:pt idx="5">
                  <c:v>0.33108283002588479</c:v>
                </c:pt>
                <c:pt idx="6">
                  <c:v>0.913330457290769</c:v>
                </c:pt>
                <c:pt idx="7">
                  <c:v>-0.7987489214840382</c:v>
                </c:pt>
                <c:pt idx="8">
                  <c:v>0.19631147540983562</c:v>
                </c:pt>
                <c:pt idx="9">
                  <c:v>-0.38026315789473752</c:v>
                </c:pt>
              </c:numCache>
            </c:numRef>
          </c:yVal>
          <c:smooth val="0"/>
          <c:extLst>
            <c:ext xmlns:c16="http://schemas.microsoft.com/office/drawing/2014/chart" uri="{C3380CC4-5D6E-409C-BE32-E72D297353CC}">
              <c16:uniqueId val="{00000001-DB2E-4078-8DAA-89FDE84D746D}"/>
            </c:ext>
          </c:extLst>
        </c:ser>
        <c:dLbls>
          <c:showLegendKey val="0"/>
          <c:showVal val="0"/>
          <c:showCatName val="0"/>
          <c:showSerName val="0"/>
          <c:showPercent val="0"/>
          <c:showBubbleSize val="0"/>
        </c:dLbls>
        <c:axId val="319696095"/>
        <c:axId val="319691775"/>
      </c:scatterChart>
      <c:valAx>
        <c:axId val="319696095"/>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319691775"/>
        <c:crosses val="autoZero"/>
        <c:crossBetween val="midCat"/>
      </c:valAx>
      <c:valAx>
        <c:axId val="31969177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196960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Residual Plot</a:t>
            </a:r>
          </a:p>
        </c:rich>
      </c:tx>
      <c:overlay val="0"/>
    </c:title>
    <c:autoTitleDeleted val="0"/>
    <c:plotArea>
      <c:layout/>
      <c:scatterChart>
        <c:scatterStyle val="lineMarker"/>
        <c:varyColors val="0"/>
        <c:ser>
          <c:idx val="0"/>
          <c:order val="0"/>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'Multiple Regression'!$C$38:$C$47</c:f>
              <c:numCache>
                <c:formatCode>General</c:formatCode>
                <c:ptCount val="10"/>
                <c:pt idx="0">
                  <c:v>0.36154012079378717</c:v>
                </c:pt>
                <c:pt idx="1">
                  <c:v>-0.15830457290767885</c:v>
                </c:pt>
                <c:pt idx="2">
                  <c:v>-3.8459879206213188E-2</c:v>
                </c:pt>
                <c:pt idx="3">
                  <c:v>-0.59160914581535895</c:v>
                </c:pt>
                <c:pt idx="4">
                  <c:v>0.16512079378774835</c:v>
                </c:pt>
                <c:pt idx="5">
                  <c:v>0.33108283002588479</c:v>
                </c:pt>
                <c:pt idx="6">
                  <c:v>0.913330457290769</c:v>
                </c:pt>
                <c:pt idx="7">
                  <c:v>-0.7987489214840382</c:v>
                </c:pt>
                <c:pt idx="8">
                  <c:v>0.19631147540983562</c:v>
                </c:pt>
                <c:pt idx="9">
                  <c:v>-0.38026315789473752</c:v>
                </c:pt>
              </c:numCache>
            </c:numRef>
          </c:yVal>
          <c:smooth val="0"/>
          <c:extLst>
            <c:ext xmlns:c16="http://schemas.microsoft.com/office/drawing/2014/chart" uri="{C3380CC4-5D6E-409C-BE32-E72D297353CC}">
              <c16:uniqueId val="{00000001-53D7-4F51-8D73-59EF77AF29F6}"/>
            </c:ext>
          </c:extLst>
        </c:ser>
        <c:dLbls>
          <c:showLegendKey val="0"/>
          <c:showVal val="0"/>
          <c:showCatName val="0"/>
          <c:showSerName val="0"/>
          <c:showPercent val="0"/>
          <c:showBubbleSize val="0"/>
        </c:dLbls>
        <c:axId val="295210335"/>
        <c:axId val="237232047"/>
      </c:scatterChart>
      <c:valAx>
        <c:axId val="295210335"/>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237232047"/>
        <c:crosses val="autoZero"/>
        <c:crossBetween val="midCat"/>
      </c:valAx>
      <c:valAx>
        <c:axId val="23723204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9521033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Line Fit  Plot</a:t>
            </a:r>
          </a:p>
        </c:rich>
      </c:tx>
      <c:overlay val="0"/>
    </c:title>
    <c:autoTitleDeleted val="0"/>
    <c:plotArea>
      <c:layout/>
      <c:scatterChart>
        <c:scatterStyle val="lineMarker"/>
        <c:varyColors val="0"/>
        <c:ser>
          <c:idx val="0"/>
          <c:order val="0"/>
          <c:tx>
            <c:v>Travel hours</c:v>
          </c:tx>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'Multiple Regression'!$D$2:$D$11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8F64-4E47-9311-7355F897A3BD}"/>
            </c:ext>
          </c:extLst>
        </c:ser>
        <c:ser>
          <c:idx val="1"/>
          <c:order val="1"/>
          <c:tx>
            <c:v>Predicted Travel hours</c:v>
          </c:tx>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'Multiple Regression'!$B$38:$B$47</c:f>
              <c:numCache>
                <c:formatCode>General</c:formatCode>
                <c:ptCount val="10"/>
                <c:pt idx="0">
                  <c:v>8.9384598792062135</c:v>
                </c:pt>
                <c:pt idx="1">
                  <c:v>4.9583045729076787</c:v>
                </c:pt>
                <c:pt idx="2">
                  <c:v>8.9384598792062135</c:v>
                </c:pt>
                <c:pt idx="3">
                  <c:v>7.0916091458153589</c:v>
                </c:pt>
                <c:pt idx="4">
                  <c:v>4.0348792062122518</c:v>
                </c:pt>
                <c:pt idx="5">
                  <c:v>5.8689171699741154</c:v>
                </c:pt>
                <c:pt idx="6">
                  <c:v>6.4866695427092314</c:v>
                </c:pt>
                <c:pt idx="7">
                  <c:v>6.7987489214840382</c:v>
                </c:pt>
                <c:pt idx="8">
                  <c:v>7.403688524590164</c:v>
                </c:pt>
                <c:pt idx="9">
                  <c:v>6.4802631578947372</c:v>
                </c:pt>
              </c:numCache>
            </c:numRef>
          </c:yVal>
          <c:smooth val="0"/>
          <c:extLst>
            <c:ext xmlns:c16="http://schemas.microsoft.com/office/drawing/2014/chart" uri="{C3380CC4-5D6E-409C-BE32-E72D297353CC}">
              <c16:uniqueId val="{00000002-8F64-4E47-9311-7355F897A3BD}"/>
            </c:ext>
          </c:extLst>
        </c:ser>
        <c:dLbls>
          <c:showLegendKey val="0"/>
          <c:showVal val="0"/>
          <c:showCatName val="0"/>
          <c:showSerName val="0"/>
          <c:showPercent val="0"/>
          <c:showBubbleSize val="0"/>
        </c:dLbls>
        <c:axId val="319692735"/>
        <c:axId val="330321631"/>
      </c:scatterChart>
      <c:valAx>
        <c:axId val="319692735"/>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330321631"/>
        <c:crosses val="autoZero"/>
        <c:crossBetween val="midCat"/>
      </c:valAx>
      <c:valAx>
        <c:axId val="33032163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31969273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Line Fit  Plot</a:t>
            </a:r>
          </a:p>
        </c:rich>
      </c:tx>
      <c:overlay val="0"/>
    </c:title>
    <c:autoTitleDeleted val="0"/>
    <c:plotArea>
      <c:layout/>
      <c:scatterChart>
        <c:scatterStyle val="lineMarker"/>
        <c:varyColors val="0"/>
        <c:ser>
          <c:idx val="0"/>
          <c:order val="0"/>
          <c:tx>
            <c:v>Travel hours</c:v>
          </c:tx>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'Multiple Regression'!$D$2:$D$11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F4C0-4D94-820C-8D0D23E576D7}"/>
            </c:ext>
          </c:extLst>
        </c:ser>
        <c:ser>
          <c:idx val="1"/>
          <c:order val="1"/>
          <c:tx>
            <c:v>Predicted Travel hours</c:v>
          </c:tx>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'Multiple Regression'!$B$38:$B$47</c:f>
              <c:numCache>
                <c:formatCode>General</c:formatCode>
                <c:ptCount val="10"/>
                <c:pt idx="0">
                  <c:v>8.9384598792062135</c:v>
                </c:pt>
                <c:pt idx="1">
                  <c:v>4.9583045729076787</c:v>
                </c:pt>
                <c:pt idx="2">
                  <c:v>8.9384598792062135</c:v>
                </c:pt>
                <c:pt idx="3">
                  <c:v>7.0916091458153589</c:v>
                </c:pt>
                <c:pt idx="4">
                  <c:v>4.0348792062122518</c:v>
                </c:pt>
                <c:pt idx="5">
                  <c:v>5.8689171699741154</c:v>
                </c:pt>
                <c:pt idx="6">
                  <c:v>6.4866695427092314</c:v>
                </c:pt>
                <c:pt idx="7">
                  <c:v>6.7987489214840382</c:v>
                </c:pt>
                <c:pt idx="8">
                  <c:v>7.403688524590164</c:v>
                </c:pt>
                <c:pt idx="9">
                  <c:v>6.4802631578947372</c:v>
                </c:pt>
              </c:numCache>
            </c:numRef>
          </c:yVal>
          <c:smooth val="0"/>
          <c:extLst>
            <c:ext xmlns:c16="http://schemas.microsoft.com/office/drawing/2014/chart" uri="{C3380CC4-5D6E-409C-BE32-E72D297353CC}">
              <c16:uniqueId val="{00000002-F4C0-4D94-820C-8D0D23E576D7}"/>
            </c:ext>
          </c:extLst>
        </c:ser>
        <c:dLbls>
          <c:showLegendKey val="0"/>
          <c:showVal val="0"/>
          <c:showCatName val="0"/>
          <c:showSerName val="0"/>
          <c:showPercent val="0"/>
          <c:showBubbleSize val="0"/>
        </c:dLbls>
        <c:axId val="330327871"/>
        <c:axId val="330326911"/>
      </c:scatterChart>
      <c:valAx>
        <c:axId val="330327871"/>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330326911"/>
        <c:crosses val="autoZero"/>
        <c:crossBetween val="midCat"/>
      </c:valAx>
      <c:valAx>
        <c:axId val="33032691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33032787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'Multiple Regression'!$F$38:$F$47</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'Multiple Regression'!$G$38:$G$47</c:f>
              <c:numCache>
                <c:formatCode>General</c:formatCode>
                <c:ptCount val="10"/>
                <c:pt idx="0">
                  <c:v>4.2</c:v>
                </c:pt>
                <c:pt idx="1">
                  <c:v>4.8</c:v>
                </c:pt>
                <c:pt idx="2">
                  <c:v>6</c:v>
                </c:pt>
                <c:pt idx="3">
                  <c:v>6.1</c:v>
                </c:pt>
                <c:pt idx="4">
                  <c:v>6.2</c:v>
                </c:pt>
                <c:pt idx="5">
                  <c:v>6.5</c:v>
                </c:pt>
                <c:pt idx="6">
                  <c:v>7.4</c:v>
                </c:pt>
                <c:pt idx="7">
                  <c:v>7.6</c:v>
                </c:pt>
                <c:pt idx="8">
                  <c:v>8.9</c:v>
                </c:pt>
                <c:pt idx="9">
                  <c:v>9.3000000000000007</c:v>
                </c:pt>
              </c:numCache>
            </c:numRef>
          </c:yVal>
          <c:smooth val="0"/>
          <c:extLst>
            <c:ext xmlns:c16="http://schemas.microsoft.com/office/drawing/2014/chart" uri="{C3380CC4-5D6E-409C-BE32-E72D297353CC}">
              <c16:uniqueId val="{00000001-32D2-458F-B81D-7CAA29718145}"/>
            </c:ext>
          </c:extLst>
        </c:ser>
        <c:dLbls>
          <c:showLegendKey val="0"/>
          <c:showVal val="0"/>
          <c:showCatName val="0"/>
          <c:showSerName val="0"/>
          <c:showPercent val="0"/>
          <c:showBubbleSize val="0"/>
        </c:dLbls>
        <c:axId val="330324031"/>
        <c:axId val="330324511"/>
      </c:scatterChart>
      <c:valAx>
        <c:axId val="33032403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330324511"/>
        <c:crosses val="autoZero"/>
        <c:crossBetween val="midCat"/>
      </c:valAx>
      <c:valAx>
        <c:axId val="33032451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33032403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Residual Plot</a:t>
            </a:r>
          </a:p>
        </c:rich>
      </c:tx>
      <c:overlay val="0"/>
    </c:title>
    <c:autoTitleDeleted val="0"/>
    <c:plotArea>
      <c:layout/>
      <c:scatterChart>
        <c:scatterStyle val="lineMarker"/>
        <c:varyColors val="0"/>
        <c:ser>
          <c:idx val="0"/>
          <c:order val="0"/>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'constant is zero'!$C$26:$C$35</c:f>
              <c:numCache>
                <c:formatCode>General</c:formatCode>
                <c:ptCount val="10"/>
                <c:pt idx="0">
                  <c:v>0.58013460108776549</c:v>
                </c:pt>
                <c:pt idx="1">
                  <c:v>-0.37451970106037447</c:v>
                </c:pt>
                <c:pt idx="2">
                  <c:v>0.18013460108776513</c:v>
                </c:pt>
                <c:pt idx="3">
                  <c:v>-0.59069139570372009</c:v>
                </c:pt>
                <c:pt idx="4">
                  <c:v>-0.15993269945611743</c:v>
                </c:pt>
                <c:pt idx="5">
                  <c:v>0.20161208279532072</c:v>
                </c:pt>
                <c:pt idx="6">
                  <c:v>0.8601009508158235</c:v>
                </c:pt>
                <c:pt idx="7">
                  <c:v>-0.80833431153891233</c:v>
                </c:pt>
                <c:pt idx="8">
                  <c:v>0.24087334194154231</c:v>
                </c:pt>
                <c:pt idx="9">
                  <c:v>-0.44453965645420013</c:v>
                </c:pt>
              </c:numCache>
            </c:numRef>
          </c:yVal>
          <c:smooth val="0"/>
          <c:extLst>
            <c:ext xmlns:c16="http://schemas.microsoft.com/office/drawing/2014/chart" uri="{C3380CC4-5D6E-409C-BE32-E72D297353CC}">
              <c16:uniqueId val="{00000003-108D-45BC-A36A-A12BB4D4609A}"/>
            </c:ext>
          </c:extLst>
        </c:ser>
        <c:dLbls>
          <c:showLegendKey val="0"/>
          <c:showVal val="0"/>
          <c:showCatName val="0"/>
          <c:showSerName val="0"/>
          <c:showPercent val="0"/>
          <c:showBubbleSize val="0"/>
        </c:dLbls>
        <c:axId val="452349551"/>
        <c:axId val="452361071"/>
      </c:scatterChart>
      <c:valAx>
        <c:axId val="452349551"/>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452361071"/>
        <c:crosses val="autoZero"/>
        <c:crossBetween val="midCat"/>
      </c:valAx>
      <c:valAx>
        <c:axId val="45236107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523495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Residual Plot</a:t>
            </a:r>
          </a:p>
        </c:rich>
      </c:tx>
      <c:overlay val="0"/>
    </c:title>
    <c:autoTitleDeleted val="0"/>
    <c:plotArea>
      <c:layout/>
      <c:scatterChart>
        <c:scatterStyle val="lineMarker"/>
        <c:varyColors val="0"/>
        <c:ser>
          <c:idx val="0"/>
          <c:order val="0"/>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'constant is zero'!$C$26:$C$35</c:f>
              <c:numCache>
                <c:formatCode>General</c:formatCode>
                <c:ptCount val="10"/>
                <c:pt idx="0">
                  <c:v>0.58013460108776549</c:v>
                </c:pt>
                <c:pt idx="1">
                  <c:v>-0.37451970106037447</c:v>
                </c:pt>
                <c:pt idx="2">
                  <c:v>0.18013460108776513</c:v>
                </c:pt>
                <c:pt idx="3">
                  <c:v>-0.59069139570372009</c:v>
                </c:pt>
                <c:pt idx="4">
                  <c:v>-0.15993269945611743</c:v>
                </c:pt>
                <c:pt idx="5">
                  <c:v>0.20161208279532072</c:v>
                </c:pt>
                <c:pt idx="6">
                  <c:v>0.8601009508158235</c:v>
                </c:pt>
                <c:pt idx="7">
                  <c:v>-0.80833431153891233</c:v>
                </c:pt>
                <c:pt idx="8">
                  <c:v>0.24087334194154231</c:v>
                </c:pt>
                <c:pt idx="9">
                  <c:v>-0.44453965645420013</c:v>
                </c:pt>
              </c:numCache>
            </c:numRef>
          </c:yVal>
          <c:smooth val="0"/>
          <c:extLst>
            <c:ext xmlns:c16="http://schemas.microsoft.com/office/drawing/2014/chart" uri="{C3380CC4-5D6E-409C-BE32-E72D297353CC}">
              <c16:uniqueId val="{00000003-A695-4AAD-BA9D-78B9BEC6A3CE}"/>
            </c:ext>
          </c:extLst>
        </c:ser>
        <c:dLbls>
          <c:showLegendKey val="0"/>
          <c:showVal val="0"/>
          <c:showCatName val="0"/>
          <c:showSerName val="0"/>
          <c:showPercent val="0"/>
          <c:showBubbleSize val="0"/>
        </c:dLbls>
        <c:axId val="452362031"/>
        <c:axId val="452363471"/>
      </c:scatterChart>
      <c:valAx>
        <c:axId val="452362031"/>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452363471"/>
        <c:crosses val="autoZero"/>
        <c:crossBetween val="midCat"/>
      </c:valAx>
      <c:valAx>
        <c:axId val="45236347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5236203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Line Fit  Plot</a:t>
            </a:r>
          </a:p>
        </c:rich>
      </c:tx>
      <c:overlay val="0"/>
    </c:title>
    <c:autoTitleDeleted val="0"/>
    <c:plotArea>
      <c:layout/>
      <c:scatterChart>
        <c:scatterStyle val="lineMarker"/>
        <c:varyColors val="0"/>
        <c:ser>
          <c:idx val="0"/>
          <c:order val="0"/>
          <c:tx>
            <c:v>Travel hours</c:v>
          </c:tx>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'Multiple Regression'!$D$2:$D$11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3-46A3-4888-9303-68C8321365B6}"/>
            </c:ext>
          </c:extLst>
        </c:ser>
        <c:ser>
          <c:idx val="1"/>
          <c:order val="1"/>
          <c:tx>
            <c:v>Predicted Travel hours</c:v>
          </c:tx>
          <c:spPr>
            <a:ln w="19050">
              <a:noFill/>
            </a:ln>
          </c:spPr>
          <c:xVal>
            <c:numRef>
              <c:f>'Multiple Regression'!$B$2:$B$11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'constant is zero'!$B$26:$B$35</c:f>
              <c:numCache>
                <c:formatCode>General</c:formatCode>
                <c:ptCount val="10"/>
                <c:pt idx="0">
                  <c:v>8.7198653989122352</c:v>
                </c:pt>
                <c:pt idx="1">
                  <c:v>5.1745197010603743</c:v>
                </c:pt>
                <c:pt idx="2">
                  <c:v>8.7198653989122352</c:v>
                </c:pt>
                <c:pt idx="3">
                  <c:v>7.0906913957037201</c:v>
                </c:pt>
                <c:pt idx="4">
                  <c:v>4.3599326994561176</c:v>
                </c:pt>
                <c:pt idx="5">
                  <c:v>5.9983879172046795</c:v>
                </c:pt>
                <c:pt idx="6">
                  <c:v>6.5398990491841769</c:v>
                </c:pt>
                <c:pt idx="7">
                  <c:v>6.8083343115389123</c:v>
                </c:pt>
                <c:pt idx="8">
                  <c:v>7.3591266580584573</c:v>
                </c:pt>
                <c:pt idx="9">
                  <c:v>6.5445396564541998</c:v>
                </c:pt>
              </c:numCache>
            </c:numRef>
          </c:yVal>
          <c:smooth val="0"/>
          <c:extLst>
            <c:ext xmlns:c16="http://schemas.microsoft.com/office/drawing/2014/chart" uri="{C3380CC4-5D6E-409C-BE32-E72D297353CC}">
              <c16:uniqueId val="{00000004-46A3-4888-9303-68C8321365B6}"/>
            </c:ext>
          </c:extLst>
        </c:ser>
        <c:dLbls>
          <c:showLegendKey val="0"/>
          <c:showVal val="0"/>
          <c:showCatName val="0"/>
          <c:showSerName val="0"/>
          <c:showPercent val="0"/>
          <c:showBubbleSize val="0"/>
        </c:dLbls>
        <c:axId val="452362031"/>
        <c:axId val="452363951"/>
      </c:scatterChart>
      <c:valAx>
        <c:axId val="452362031"/>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452363951"/>
        <c:crosses val="autoZero"/>
        <c:crossBetween val="midCat"/>
      </c:valAx>
      <c:valAx>
        <c:axId val="45236395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523620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Line Fit  Plot</a:t>
            </a:r>
          </a:p>
        </c:rich>
      </c:tx>
      <c:overlay val="0"/>
    </c:title>
    <c:autoTitleDeleted val="0"/>
    <c:plotArea>
      <c:layout/>
      <c:scatterChart>
        <c:scatterStyle val="lineMarker"/>
        <c:varyColors val="0"/>
        <c:ser>
          <c:idx val="0"/>
          <c:order val="0"/>
          <c:tx>
            <c:v>Travel hours</c:v>
          </c:tx>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'Multiple Regression'!$D$2:$D$11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3-E4DC-4AFC-B83A-F985B26ACC64}"/>
            </c:ext>
          </c:extLst>
        </c:ser>
        <c:ser>
          <c:idx val="1"/>
          <c:order val="1"/>
          <c:tx>
            <c:v>Predicted Travel hours</c:v>
          </c:tx>
          <c:spPr>
            <a:ln w="19050">
              <a:noFill/>
            </a:ln>
          </c:spPr>
          <c:xVal>
            <c:numRef>
              <c:f>'Multiple Regression'!$C$2:$C$11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'constant is zero'!$B$26:$B$35</c:f>
              <c:numCache>
                <c:formatCode>General</c:formatCode>
                <c:ptCount val="10"/>
                <c:pt idx="0">
                  <c:v>8.7198653989122352</c:v>
                </c:pt>
                <c:pt idx="1">
                  <c:v>5.1745197010603743</c:v>
                </c:pt>
                <c:pt idx="2">
                  <c:v>8.7198653989122352</c:v>
                </c:pt>
                <c:pt idx="3">
                  <c:v>7.0906913957037201</c:v>
                </c:pt>
                <c:pt idx="4">
                  <c:v>4.3599326994561176</c:v>
                </c:pt>
                <c:pt idx="5">
                  <c:v>5.9983879172046795</c:v>
                </c:pt>
                <c:pt idx="6">
                  <c:v>6.5398990491841769</c:v>
                </c:pt>
                <c:pt idx="7">
                  <c:v>6.8083343115389123</c:v>
                </c:pt>
                <c:pt idx="8">
                  <c:v>7.3591266580584573</c:v>
                </c:pt>
                <c:pt idx="9">
                  <c:v>6.5445396564541998</c:v>
                </c:pt>
              </c:numCache>
            </c:numRef>
          </c:yVal>
          <c:smooth val="0"/>
          <c:extLst>
            <c:ext xmlns:c16="http://schemas.microsoft.com/office/drawing/2014/chart" uri="{C3380CC4-5D6E-409C-BE32-E72D297353CC}">
              <c16:uniqueId val="{00000004-E4DC-4AFC-B83A-F985B26ACC64}"/>
            </c:ext>
          </c:extLst>
        </c:ser>
        <c:dLbls>
          <c:showLegendKey val="0"/>
          <c:showVal val="0"/>
          <c:showCatName val="0"/>
          <c:showSerName val="0"/>
          <c:showPercent val="0"/>
          <c:showBubbleSize val="0"/>
        </c:dLbls>
        <c:axId val="452367311"/>
        <c:axId val="452365871"/>
      </c:scatterChart>
      <c:valAx>
        <c:axId val="452367311"/>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452365871"/>
        <c:crosses val="autoZero"/>
        <c:crossBetween val="midCat"/>
      </c:valAx>
      <c:valAx>
        <c:axId val="452365871"/>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5236731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ones  Residual Plot</a:t>
            </a:r>
          </a:p>
        </c:rich>
      </c:tx>
      <c:overlay val="0"/>
    </c:title>
    <c:autoTitleDeleted val="0"/>
    <c:plotArea>
      <c:layout/>
      <c:scatterChart>
        <c:scatterStyle val="lineMarker"/>
        <c:varyColors val="0"/>
        <c:ser>
          <c:idx val="0"/>
          <c:order val="0"/>
          <c:spPr>
            <a:ln w="19050">
              <a:noFill/>
            </a:ln>
          </c:spPr>
          <c:xVal>
            <c:numRef>
              <c:f>'column of ones'!$A$2:$A$11</c:f>
              <c:numCache>
                <c:formatCode>General</c:formatCode>
                <c:ptCount val="10"/>
                <c:pt idx="0">
                  <c:v>1</c:v>
                </c:pt>
                <c:pt idx="1">
                  <c:v>1</c:v>
                </c:pt>
                <c:pt idx="2">
                  <c:v>1</c:v>
                </c:pt>
                <c:pt idx="3">
                  <c:v>1</c:v>
                </c:pt>
                <c:pt idx="4">
                  <c:v>1</c:v>
                </c:pt>
                <c:pt idx="5">
                  <c:v>1</c:v>
                </c:pt>
                <c:pt idx="6">
                  <c:v>1</c:v>
                </c:pt>
                <c:pt idx="7">
                  <c:v>1</c:v>
                </c:pt>
                <c:pt idx="8">
                  <c:v>1</c:v>
                </c:pt>
                <c:pt idx="9">
                  <c:v>1</c:v>
                </c:pt>
              </c:numCache>
            </c:numRef>
          </c:xVal>
          <c:yVal>
            <c:numRef>
              <c:f>'column of ones'!$C$39:$C$48</c:f>
              <c:numCache>
                <c:formatCode>General</c:formatCode>
                <c:ptCount val="10"/>
                <c:pt idx="0">
                  <c:v>0.36154012079378894</c:v>
                </c:pt>
                <c:pt idx="1">
                  <c:v>-0.15830457290767974</c:v>
                </c:pt>
                <c:pt idx="2">
                  <c:v>-3.8459879206211411E-2</c:v>
                </c:pt>
                <c:pt idx="3">
                  <c:v>-0.59160914581535806</c:v>
                </c:pt>
                <c:pt idx="4">
                  <c:v>0.16512079378774747</c:v>
                </c:pt>
                <c:pt idx="5">
                  <c:v>0.33108283002588568</c:v>
                </c:pt>
                <c:pt idx="6">
                  <c:v>0.91333045729076723</c:v>
                </c:pt>
                <c:pt idx="7">
                  <c:v>-0.7987489214840382</c:v>
                </c:pt>
                <c:pt idx="8">
                  <c:v>0.19631147540983562</c:v>
                </c:pt>
                <c:pt idx="9">
                  <c:v>-0.38026315789473664</c:v>
                </c:pt>
              </c:numCache>
            </c:numRef>
          </c:yVal>
          <c:smooth val="0"/>
          <c:extLst>
            <c:ext xmlns:c16="http://schemas.microsoft.com/office/drawing/2014/chart" uri="{C3380CC4-5D6E-409C-BE32-E72D297353CC}">
              <c16:uniqueId val="{00000001-4D3C-45E1-81E2-17ADBD3A03AF}"/>
            </c:ext>
          </c:extLst>
        </c:ser>
        <c:dLbls>
          <c:showLegendKey val="0"/>
          <c:showVal val="0"/>
          <c:showCatName val="0"/>
          <c:showSerName val="0"/>
          <c:showPercent val="0"/>
          <c:showBubbleSize val="0"/>
        </c:dLbls>
        <c:axId val="452367791"/>
        <c:axId val="452368271"/>
      </c:scatterChart>
      <c:valAx>
        <c:axId val="452367791"/>
        <c:scaling>
          <c:orientation val="minMax"/>
        </c:scaling>
        <c:delete val="0"/>
        <c:axPos val="b"/>
        <c:title>
          <c:tx>
            <c:rich>
              <a:bodyPr/>
              <a:lstStyle/>
              <a:p>
                <a:pPr>
                  <a:defRPr/>
                </a:pPr>
                <a:r>
                  <a:rPr lang="en-US"/>
                  <a:t>ones</a:t>
                </a:r>
              </a:p>
            </c:rich>
          </c:tx>
          <c:overlay val="0"/>
        </c:title>
        <c:numFmt formatCode="General" sourceLinked="1"/>
        <c:majorTickMark val="out"/>
        <c:minorTickMark val="none"/>
        <c:tickLblPos val="nextTo"/>
        <c:crossAx val="452368271"/>
        <c:crosses val="autoZero"/>
        <c:crossBetween val="midCat"/>
      </c:valAx>
      <c:valAx>
        <c:axId val="45236827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523677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Residual Plot</a:t>
            </a:r>
          </a:p>
        </c:rich>
      </c:tx>
      <c:overlay val="0"/>
    </c:title>
    <c:autoTitleDeleted val="0"/>
    <c:plotArea>
      <c:layout/>
      <c:scatterChart>
        <c:scatterStyle val="lineMarker"/>
        <c:varyColors val="0"/>
        <c:ser>
          <c:idx val="0"/>
          <c:order val="0"/>
          <c:spPr>
            <a:ln w="19050">
              <a:noFill/>
            </a:ln>
          </c:spPr>
          <c:xVal>
            <c:numRef>
              <c:f>'column of ones'!$B$2:$B$11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'column of ones'!$C$39:$C$48</c:f>
              <c:numCache>
                <c:formatCode>General</c:formatCode>
                <c:ptCount val="10"/>
                <c:pt idx="0">
                  <c:v>0.36154012079378894</c:v>
                </c:pt>
                <c:pt idx="1">
                  <c:v>-0.15830457290767974</c:v>
                </c:pt>
                <c:pt idx="2">
                  <c:v>-3.8459879206211411E-2</c:v>
                </c:pt>
                <c:pt idx="3">
                  <c:v>-0.59160914581535806</c:v>
                </c:pt>
                <c:pt idx="4">
                  <c:v>0.16512079378774747</c:v>
                </c:pt>
                <c:pt idx="5">
                  <c:v>0.33108283002588568</c:v>
                </c:pt>
                <c:pt idx="6">
                  <c:v>0.91333045729076723</c:v>
                </c:pt>
                <c:pt idx="7">
                  <c:v>-0.7987489214840382</c:v>
                </c:pt>
                <c:pt idx="8">
                  <c:v>0.19631147540983562</c:v>
                </c:pt>
                <c:pt idx="9">
                  <c:v>-0.38026315789473664</c:v>
                </c:pt>
              </c:numCache>
            </c:numRef>
          </c:yVal>
          <c:smooth val="0"/>
          <c:extLst>
            <c:ext xmlns:c16="http://schemas.microsoft.com/office/drawing/2014/chart" uri="{C3380CC4-5D6E-409C-BE32-E72D297353CC}">
              <c16:uniqueId val="{00000001-432E-4D24-AD0A-BA6B441F4507}"/>
            </c:ext>
          </c:extLst>
        </c:ser>
        <c:dLbls>
          <c:showLegendKey val="0"/>
          <c:showVal val="0"/>
          <c:showCatName val="0"/>
          <c:showSerName val="0"/>
          <c:showPercent val="0"/>
          <c:showBubbleSize val="0"/>
        </c:dLbls>
        <c:axId val="452367791"/>
        <c:axId val="452370191"/>
      </c:scatterChart>
      <c:valAx>
        <c:axId val="452367791"/>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452370191"/>
        <c:crosses val="autoZero"/>
        <c:crossBetween val="midCat"/>
      </c:valAx>
      <c:valAx>
        <c:axId val="45237019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523677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Residual Plot</a:t>
            </a:r>
          </a:p>
        </c:rich>
      </c:tx>
      <c:overlay val="0"/>
    </c:title>
    <c:autoTitleDeleted val="0"/>
    <c:plotArea>
      <c:layout/>
      <c:scatterChart>
        <c:scatterStyle val="lineMarker"/>
        <c:varyColors val="0"/>
        <c:ser>
          <c:idx val="0"/>
          <c:order val="0"/>
          <c:spPr>
            <a:ln w="19050">
              <a:noFill/>
            </a:ln>
          </c:spPr>
          <c:xVal>
            <c:numRef>
              <c:f>'column of ones'!$C$2:$C$11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'column of ones'!$C$39:$C$48</c:f>
              <c:numCache>
                <c:formatCode>General</c:formatCode>
                <c:ptCount val="10"/>
                <c:pt idx="0">
                  <c:v>0.36154012079378894</c:v>
                </c:pt>
                <c:pt idx="1">
                  <c:v>-0.15830457290767974</c:v>
                </c:pt>
                <c:pt idx="2">
                  <c:v>-3.8459879206211411E-2</c:v>
                </c:pt>
                <c:pt idx="3">
                  <c:v>-0.59160914581535806</c:v>
                </c:pt>
                <c:pt idx="4">
                  <c:v>0.16512079378774747</c:v>
                </c:pt>
                <c:pt idx="5">
                  <c:v>0.33108283002588568</c:v>
                </c:pt>
                <c:pt idx="6">
                  <c:v>0.91333045729076723</c:v>
                </c:pt>
                <c:pt idx="7">
                  <c:v>-0.7987489214840382</c:v>
                </c:pt>
                <c:pt idx="8">
                  <c:v>0.19631147540983562</c:v>
                </c:pt>
                <c:pt idx="9">
                  <c:v>-0.38026315789473664</c:v>
                </c:pt>
              </c:numCache>
            </c:numRef>
          </c:yVal>
          <c:smooth val="0"/>
          <c:extLst>
            <c:ext xmlns:c16="http://schemas.microsoft.com/office/drawing/2014/chart" uri="{C3380CC4-5D6E-409C-BE32-E72D297353CC}">
              <c16:uniqueId val="{00000001-977C-498C-8661-A1741C36D97C}"/>
            </c:ext>
          </c:extLst>
        </c:ser>
        <c:dLbls>
          <c:showLegendKey val="0"/>
          <c:showVal val="0"/>
          <c:showCatName val="0"/>
          <c:showSerName val="0"/>
          <c:showPercent val="0"/>
          <c:showBubbleSize val="0"/>
        </c:dLbls>
        <c:axId val="452372591"/>
        <c:axId val="452373551"/>
      </c:scatterChart>
      <c:valAx>
        <c:axId val="452372591"/>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452373551"/>
        <c:crosses val="autoZero"/>
        <c:crossBetween val="midCat"/>
      </c:valAx>
      <c:valAx>
        <c:axId val="45237355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523725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ones Line Fit  Plot</a:t>
            </a:r>
          </a:p>
        </c:rich>
      </c:tx>
      <c:overlay val="0"/>
    </c:title>
    <c:autoTitleDeleted val="0"/>
    <c:plotArea>
      <c:layout/>
      <c:scatterChart>
        <c:scatterStyle val="lineMarker"/>
        <c:varyColors val="0"/>
        <c:ser>
          <c:idx val="0"/>
          <c:order val="0"/>
          <c:tx>
            <c:v>Travel hours</c:v>
          </c:tx>
          <c:spPr>
            <a:ln w="19050">
              <a:noFill/>
            </a:ln>
          </c:spPr>
          <c:xVal>
            <c:numRef>
              <c:f>'column of ones'!$A$2:$A$11</c:f>
              <c:numCache>
                <c:formatCode>General</c:formatCode>
                <c:ptCount val="10"/>
                <c:pt idx="0">
                  <c:v>1</c:v>
                </c:pt>
                <c:pt idx="1">
                  <c:v>1</c:v>
                </c:pt>
                <c:pt idx="2">
                  <c:v>1</c:v>
                </c:pt>
                <c:pt idx="3">
                  <c:v>1</c:v>
                </c:pt>
                <c:pt idx="4">
                  <c:v>1</c:v>
                </c:pt>
                <c:pt idx="5">
                  <c:v>1</c:v>
                </c:pt>
                <c:pt idx="6">
                  <c:v>1</c:v>
                </c:pt>
                <c:pt idx="7">
                  <c:v>1</c:v>
                </c:pt>
                <c:pt idx="8">
                  <c:v>1</c:v>
                </c:pt>
                <c:pt idx="9">
                  <c:v>1</c:v>
                </c:pt>
              </c:numCache>
            </c:numRef>
          </c:xVal>
          <c:yVal>
            <c:numRef>
              <c:f>'column of ones'!$D$2:$D$11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4E2D-4954-80AC-A1E0F8656224}"/>
            </c:ext>
          </c:extLst>
        </c:ser>
        <c:ser>
          <c:idx val="1"/>
          <c:order val="1"/>
          <c:tx>
            <c:v>Predicted Travel hours</c:v>
          </c:tx>
          <c:spPr>
            <a:ln w="19050">
              <a:noFill/>
            </a:ln>
          </c:spPr>
          <c:xVal>
            <c:numRef>
              <c:f>'column of ones'!$A$2:$A$11</c:f>
              <c:numCache>
                <c:formatCode>General</c:formatCode>
                <c:ptCount val="10"/>
                <c:pt idx="0">
                  <c:v>1</c:v>
                </c:pt>
                <c:pt idx="1">
                  <c:v>1</c:v>
                </c:pt>
                <c:pt idx="2">
                  <c:v>1</c:v>
                </c:pt>
                <c:pt idx="3">
                  <c:v>1</c:v>
                </c:pt>
                <c:pt idx="4">
                  <c:v>1</c:v>
                </c:pt>
                <c:pt idx="5">
                  <c:v>1</c:v>
                </c:pt>
                <c:pt idx="6">
                  <c:v>1</c:v>
                </c:pt>
                <c:pt idx="7">
                  <c:v>1</c:v>
                </c:pt>
                <c:pt idx="8">
                  <c:v>1</c:v>
                </c:pt>
                <c:pt idx="9">
                  <c:v>1</c:v>
                </c:pt>
              </c:numCache>
            </c:numRef>
          </c:xVal>
          <c:yVal>
            <c:numRef>
              <c:f>'column of ones'!$B$39:$B$48</c:f>
              <c:numCache>
                <c:formatCode>General</c:formatCode>
                <c:ptCount val="10"/>
                <c:pt idx="0">
                  <c:v>8.9384598792062118</c:v>
                </c:pt>
                <c:pt idx="1">
                  <c:v>4.9583045729076796</c:v>
                </c:pt>
                <c:pt idx="2">
                  <c:v>8.9384598792062118</c:v>
                </c:pt>
                <c:pt idx="3">
                  <c:v>7.0916091458153581</c:v>
                </c:pt>
                <c:pt idx="4">
                  <c:v>4.0348792062122527</c:v>
                </c:pt>
                <c:pt idx="5">
                  <c:v>5.8689171699741145</c:v>
                </c:pt>
                <c:pt idx="6">
                  <c:v>6.4866695427092331</c:v>
                </c:pt>
                <c:pt idx="7">
                  <c:v>6.7987489214840382</c:v>
                </c:pt>
                <c:pt idx="8">
                  <c:v>7.403688524590164</c:v>
                </c:pt>
                <c:pt idx="9">
                  <c:v>6.4802631578947363</c:v>
                </c:pt>
              </c:numCache>
            </c:numRef>
          </c:yVal>
          <c:smooth val="0"/>
          <c:extLst>
            <c:ext xmlns:c16="http://schemas.microsoft.com/office/drawing/2014/chart" uri="{C3380CC4-5D6E-409C-BE32-E72D297353CC}">
              <c16:uniqueId val="{00000002-4E2D-4954-80AC-A1E0F8656224}"/>
            </c:ext>
          </c:extLst>
        </c:ser>
        <c:dLbls>
          <c:showLegendKey val="0"/>
          <c:showVal val="0"/>
          <c:showCatName val="0"/>
          <c:showSerName val="0"/>
          <c:showPercent val="0"/>
          <c:showBubbleSize val="0"/>
        </c:dLbls>
        <c:axId val="460952399"/>
        <c:axId val="460953839"/>
      </c:scatterChart>
      <c:valAx>
        <c:axId val="460952399"/>
        <c:scaling>
          <c:orientation val="minMax"/>
        </c:scaling>
        <c:delete val="0"/>
        <c:axPos val="b"/>
        <c:title>
          <c:tx>
            <c:rich>
              <a:bodyPr/>
              <a:lstStyle/>
              <a:p>
                <a:pPr>
                  <a:defRPr/>
                </a:pPr>
                <a:r>
                  <a:rPr lang="en-US"/>
                  <a:t>ones</a:t>
                </a:r>
              </a:p>
            </c:rich>
          </c:tx>
          <c:overlay val="0"/>
        </c:title>
        <c:numFmt formatCode="General" sourceLinked="1"/>
        <c:majorTickMark val="out"/>
        <c:minorTickMark val="none"/>
        <c:tickLblPos val="nextTo"/>
        <c:crossAx val="460953839"/>
        <c:crosses val="autoZero"/>
        <c:crossBetween val="midCat"/>
      </c:valAx>
      <c:valAx>
        <c:axId val="460953839"/>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6095239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Miles Traveled Line Fit  Plot</a:t>
            </a:r>
          </a:p>
        </c:rich>
      </c:tx>
      <c:overlay val="0"/>
    </c:title>
    <c:autoTitleDeleted val="0"/>
    <c:plotArea>
      <c:layout/>
      <c:scatterChart>
        <c:scatterStyle val="lineMarker"/>
        <c:varyColors val="0"/>
        <c:ser>
          <c:idx val="0"/>
          <c:order val="0"/>
          <c:tx>
            <c:v>Travel hours</c:v>
          </c:tx>
          <c:spPr>
            <a:ln w="19050">
              <a:noFill/>
            </a:ln>
          </c:spPr>
          <c:xVal>
            <c:numRef>
              <c:f>'column of ones'!$B$2:$B$11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'column of ones'!$D$2:$D$11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00DD-46EB-AC77-EAB7CB6E2E99}"/>
            </c:ext>
          </c:extLst>
        </c:ser>
        <c:ser>
          <c:idx val="1"/>
          <c:order val="1"/>
          <c:tx>
            <c:v>Predicted Travel hours</c:v>
          </c:tx>
          <c:spPr>
            <a:ln w="19050">
              <a:noFill/>
            </a:ln>
          </c:spPr>
          <c:xVal>
            <c:numRef>
              <c:f>'column of ones'!$B$2:$B$11</c:f>
              <c:numCache>
                <c:formatCode>General</c:formatCode>
                <c:ptCount val="10"/>
                <c:pt idx="0">
                  <c:v>100</c:v>
                </c:pt>
                <c:pt idx="1">
                  <c:v>50</c:v>
                </c:pt>
                <c:pt idx="2">
                  <c:v>100</c:v>
                </c:pt>
                <c:pt idx="3">
                  <c:v>100</c:v>
                </c:pt>
                <c:pt idx="4">
                  <c:v>50</c:v>
                </c:pt>
                <c:pt idx="5">
                  <c:v>80</c:v>
                </c:pt>
                <c:pt idx="6">
                  <c:v>75</c:v>
                </c:pt>
                <c:pt idx="7">
                  <c:v>65</c:v>
                </c:pt>
                <c:pt idx="8">
                  <c:v>90</c:v>
                </c:pt>
                <c:pt idx="9">
                  <c:v>90</c:v>
                </c:pt>
              </c:numCache>
            </c:numRef>
          </c:xVal>
          <c:yVal>
            <c:numRef>
              <c:f>'column of ones'!$B$39:$B$48</c:f>
              <c:numCache>
                <c:formatCode>General</c:formatCode>
                <c:ptCount val="10"/>
                <c:pt idx="0">
                  <c:v>8.9384598792062118</c:v>
                </c:pt>
                <c:pt idx="1">
                  <c:v>4.9583045729076796</c:v>
                </c:pt>
                <c:pt idx="2">
                  <c:v>8.9384598792062118</c:v>
                </c:pt>
                <c:pt idx="3">
                  <c:v>7.0916091458153581</c:v>
                </c:pt>
                <c:pt idx="4">
                  <c:v>4.0348792062122527</c:v>
                </c:pt>
                <c:pt idx="5">
                  <c:v>5.8689171699741145</c:v>
                </c:pt>
                <c:pt idx="6">
                  <c:v>6.4866695427092331</c:v>
                </c:pt>
                <c:pt idx="7">
                  <c:v>6.7987489214840382</c:v>
                </c:pt>
                <c:pt idx="8">
                  <c:v>7.403688524590164</c:v>
                </c:pt>
                <c:pt idx="9">
                  <c:v>6.4802631578947363</c:v>
                </c:pt>
              </c:numCache>
            </c:numRef>
          </c:yVal>
          <c:smooth val="0"/>
          <c:extLst>
            <c:ext xmlns:c16="http://schemas.microsoft.com/office/drawing/2014/chart" uri="{C3380CC4-5D6E-409C-BE32-E72D297353CC}">
              <c16:uniqueId val="{00000002-00DD-46EB-AC77-EAB7CB6E2E99}"/>
            </c:ext>
          </c:extLst>
        </c:ser>
        <c:dLbls>
          <c:showLegendKey val="0"/>
          <c:showVal val="0"/>
          <c:showCatName val="0"/>
          <c:showSerName val="0"/>
          <c:showPercent val="0"/>
          <c:showBubbleSize val="0"/>
        </c:dLbls>
        <c:axId val="460955279"/>
        <c:axId val="460944239"/>
      </c:scatterChart>
      <c:valAx>
        <c:axId val="460955279"/>
        <c:scaling>
          <c:orientation val="minMax"/>
        </c:scaling>
        <c:delete val="0"/>
        <c:axPos val="b"/>
        <c:title>
          <c:tx>
            <c:rich>
              <a:bodyPr/>
              <a:lstStyle/>
              <a:p>
                <a:pPr>
                  <a:defRPr/>
                </a:pPr>
                <a:r>
                  <a:rPr lang="en-US"/>
                  <a:t>Miles Traveled</a:t>
                </a:r>
              </a:p>
            </c:rich>
          </c:tx>
          <c:overlay val="0"/>
        </c:title>
        <c:numFmt formatCode="General" sourceLinked="1"/>
        <c:majorTickMark val="out"/>
        <c:minorTickMark val="none"/>
        <c:tickLblPos val="nextTo"/>
        <c:crossAx val="460944239"/>
        <c:crosses val="autoZero"/>
        <c:crossBetween val="midCat"/>
      </c:valAx>
      <c:valAx>
        <c:axId val="460944239"/>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6095527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Deliveries Line Fit  Plot</a:t>
            </a:r>
          </a:p>
        </c:rich>
      </c:tx>
      <c:overlay val="0"/>
    </c:title>
    <c:autoTitleDeleted val="0"/>
    <c:plotArea>
      <c:layout/>
      <c:scatterChart>
        <c:scatterStyle val="lineMarker"/>
        <c:varyColors val="0"/>
        <c:ser>
          <c:idx val="0"/>
          <c:order val="0"/>
          <c:tx>
            <c:v>Travel hours</c:v>
          </c:tx>
          <c:spPr>
            <a:ln w="19050">
              <a:noFill/>
            </a:ln>
          </c:spPr>
          <c:xVal>
            <c:numRef>
              <c:f>'column of ones'!$C$2:$C$11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'column of ones'!$D$2:$D$11</c:f>
              <c:numCache>
                <c:formatCode>General</c:formatCode>
                <c:ptCount val="10"/>
                <c:pt idx="0">
                  <c:v>9.3000000000000007</c:v>
                </c:pt>
                <c:pt idx="1">
                  <c:v>4.8</c:v>
                </c:pt>
                <c:pt idx="2">
                  <c:v>8.9</c:v>
                </c:pt>
                <c:pt idx="3">
                  <c:v>6.5</c:v>
                </c:pt>
                <c:pt idx="4">
                  <c:v>4.2</c:v>
                </c:pt>
                <c:pt idx="5">
                  <c:v>6.2</c:v>
                </c:pt>
                <c:pt idx="6">
                  <c:v>7.4</c:v>
                </c:pt>
                <c:pt idx="7">
                  <c:v>6</c:v>
                </c:pt>
                <c:pt idx="8">
                  <c:v>7.6</c:v>
                </c:pt>
                <c:pt idx="9">
                  <c:v>6.1</c:v>
                </c:pt>
              </c:numCache>
            </c:numRef>
          </c:yVal>
          <c:smooth val="0"/>
          <c:extLst>
            <c:ext xmlns:c16="http://schemas.microsoft.com/office/drawing/2014/chart" uri="{C3380CC4-5D6E-409C-BE32-E72D297353CC}">
              <c16:uniqueId val="{00000001-9C98-4569-BB7F-CCD5B1A3F133}"/>
            </c:ext>
          </c:extLst>
        </c:ser>
        <c:ser>
          <c:idx val="1"/>
          <c:order val="1"/>
          <c:tx>
            <c:v>Predicted Travel hours</c:v>
          </c:tx>
          <c:spPr>
            <a:ln w="19050">
              <a:noFill/>
            </a:ln>
          </c:spPr>
          <c:xVal>
            <c:numRef>
              <c:f>'column of ones'!$C$2:$C$11</c:f>
              <c:numCache>
                <c:formatCode>General</c:formatCode>
                <c:ptCount val="10"/>
                <c:pt idx="0">
                  <c:v>4</c:v>
                </c:pt>
                <c:pt idx="1">
                  <c:v>3</c:v>
                </c:pt>
                <c:pt idx="2">
                  <c:v>4</c:v>
                </c:pt>
                <c:pt idx="3">
                  <c:v>2</c:v>
                </c:pt>
                <c:pt idx="4">
                  <c:v>2</c:v>
                </c:pt>
                <c:pt idx="5">
                  <c:v>2</c:v>
                </c:pt>
                <c:pt idx="6">
                  <c:v>3</c:v>
                </c:pt>
                <c:pt idx="7">
                  <c:v>4</c:v>
                </c:pt>
                <c:pt idx="8">
                  <c:v>3</c:v>
                </c:pt>
                <c:pt idx="9">
                  <c:v>2</c:v>
                </c:pt>
              </c:numCache>
            </c:numRef>
          </c:xVal>
          <c:yVal>
            <c:numRef>
              <c:f>'column of ones'!$B$39:$B$48</c:f>
              <c:numCache>
                <c:formatCode>General</c:formatCode>
                <c:ptCount val="10"/>
                <c:pt idx="0">
                  <c:v>8.9384598792062118</c:v>
                </c:pt>
                <c:pt idx="1">
                  <c:v>4.9583045729076796</c:v>
                </c:pt>
                <c:pt idx="2">
                  <c:v>8.9384598792062118</c:v>
                </c:pt>
                <c:pt idx="3">
                  <c:v>7.0916091458153581</c:v>
                </c:pt>
                <c:pt idx="4">
                  <c:v>4.0348792062122527</c:v>
                </c:pt>
                <c:pt idx="5">
                  <c:v>5.8689171699741145</c:v>
                </c:pt>
                <c:pt idx="6">
                  <c:v>6.4866695427092331</c:v>
                </c:pt>
                <c:pt idx="7">
                  <c:v>6.7987489214840382</c:v>
                </c:pt>
                <c:pt idx="8">
                  <c:v>7.403688524590164</c:v>
                </c:pt>
                <c:pt idx="9">
                  <c:v>6.4802631578947363</c:v>
                </c:pt>
              </c:numCache>
            </c:numRef>
          </c:yVal>
          <c:smooth val="0"/>
          <c:extLst>
            <c:ext xmlns:c16="http://schemas.microsoft.com/office/drawing/2014/chart" uri="{C3380CC4-5D6E-409C-BE32-E72D297353CC}">
              <c16:uniqueId val="{00000002-9C98-4569-BB7F-CCD5B1A3F133}"/>
            </c:ext>
          </c:extLst>
        </c:ser>
        <c:dLbls>
          <c:showLegendKey val="0"/>
          <c:showVal val="0"/>
          <c:showCatName val="0"/>
          <c:showSerName val="0"/>
          <c:showPercent val="0"/>
          <c:showBubbleSize val="0"/>
        </c:dLbls>
        <c:axId val="460945199"/>
        <c:axId val="460941839"/>
      </c:scatterChart>
      <c:valAx>
        <c:axId val="460945199"/>
        <c:scaling>
          <c:orientation val="minMax"/>
        </c:scaling>
        <c:delete val="0"/>
        <c:axPos val="b"/>
        <c:title>
          <c:tx>
            <c:rich>
              <a:bodyPr/>
              <a:lstStyle/>
              <a:p>
                <a:pPr>
                  <a:defRPr/>
                </a:pPr>
                <a:r>
                  <a:rPr lang="en-US"/>
                  <a:t>Number of Deliveries</a:t>
                </a:r>
              </a:p>
            </c:rich>
          </c:tx>
          <c:overlay val="0"/>
        </c:title>
        <c:numFmt formatCode="General" sourceLinked="1"/>
        <c:majorTickMark val="out"/>
        <c:minorTickMark val="none"/>
        <c:tickLblPos val="nextTo"/>
        <c:crossAx val="460941839"/>
        <c:crosses val="autoZero"/>
        <c:crossBetween val="midCat"/>
      </c:valAx>
      <c:valAx>
        <c:axId val="460941839"/>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6094519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'column of ones'!$E$39:$E$48</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'column of ones'!$F$39:$F$48</c:f>
              <c:numCache>
                <c:formatCode>General</c:formatCode>
                <c:ptCount val="10"/>
                <c:pt idx="0">
                  <c:v>4.2</c:v>
                </c:pt>
                <c:pt idx="1">
                  <c:v>4.8</c:v>
                </c:pt>
                <c:pt idx="2">
                  <c:v>6</c:v>
                </c:pt>
                <c:pt idx="3">
                  <c:v>6.1</c:v>
                </c:pt>
                <c:pt idx="4">
                  <c:v>6.2</c:v>
                </c:pt>
                <c:pt idx="5">
                  <c:v>6.5</c:v>
                </c:pt>
                <c:pt idx="6">
                  <c:v>7.4</c:v>
                </c:pt>
                <c:pt idx="7">
                  <c:v>7.6</c:v>
                </c:pt>
                <c:pt idx="8">
                  <c:v>8.9</c:v>
                </c:pt>
                <c:pt idx="9">
                  <c:v>9.3000000000000007</c:v>
                </c:pt>
              </c:numCache>
            </c:numRef>
          </c:yVal>
          <c:smooth val="0"/>
          <c:extLst>
            <c:ext xmlns:c16="http://schemas.microsoft.com/office/drawing/2014/chart" uri="{C3380CC4-5D6E-409C-BE32-E72D297353CC}">
              <c16:uniqueId val="{00000001-CB95-4B98-A801-F3D8E597FD0E}"/>
            </c:ext>
          </c:extLst>
        </c:ser>
        <c:dLbls>
          <c:showLegendKey val="0"/>
          <c:showVal val="0"/>
          <c:showCatName val="0"/>
          <c:showSerName val="0"/>
          <c:showPercent val="0"/>
          <c:showBubbleSize val="0"/>
        </c:dLbls>
        <c:axId val="460943279"/>
        <c:axId val="460955279"/>
      </c:scatterChart>
      <c:valAx>
        <c:axId val="460943279"/>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460955279"/>
        <c:crosses val="autoZero"/>
        <c:crossBetween val="midCat"/>
      </c:valAx>
      <c:valAx>
        <c:axId val="460955279"/>
        <c:scaling>
          <c:orientation val="minMax"/>
        </c:scaling>
        <c:delete val="0"/>
        <c:axPos val="l"/>
        <c:title>
          <c:tx>
            <c:rich>
              <a:bodyPr/>
              <a:lstStyle/>
              <a:p>
                <a:pPr>
                  <a:defRPr/>
                </a:pPr>
                <a:r>
                  <a:rPr lang="en-US"/>
                  <a:t>Travel hours</a:t>
                </a:r>
              </a:p>
            </c:rich>
          </c:tx>
          <c:overlay val="0"/>
        </c:title>
        <c:numFmt formatCode="General" sourceLinked="1"/>
        <c:majorTickMark val="out"/>
        <c:minorTickMark val="none"/>
        <c:tickLblPos val="nextTo"/>
        <c:crossAx val="46094327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 Since
Last Service  Residual Plot</a:t>
            </a:r>
          </a:p>
        </c:rich>
      </c:tx>
      <c:overlay val="0"/>
    </c:title>
    <c:autoTitleDeleted val="0"/>
    <c:plotArea>
      <c:layout/>
      <c:scatterChart>
        <c:scatterStyle val="lineMarker"/>
        <c:varyColors val="0"/>
        <c:ser>
          <c:idx val="0"/>
          <c:order val="0"/>
          <c:spPr>
            <a:ln w="19050">
              <a:noFill/>
            </a:ln>
          </c:spPr>
          <c:xVal>
            <c:numRef>
              <c:f>'15.7 Categorical Independent '!$H$2:$H$11</c:f>
              <c:numCache>
                <c:formatCode>General</c:formatCode>
                <c:ptCount val="10"/>
                <c:pt idx="0">
                  <c:v>2</c:v>
                </c:pt>
                <c:pt idx="1">
                  <c:v>6</c:v>
                </c:pt>
                <c:pt idx="2">
                  <c:v>8</c:v>
                </c:pt>
                <c:pt idx="3">
                  <c:v>3</c:v>
                </c:pt>
                <c:pt idx="4">
                  <c:v>2</c:v>
                </c:pt>
                <c:pt idx="5">
                  <c:v>7</c:v>
                </c:pt>
                <c:pt idx="6">
                  <c:v>9</c:v>
                </c:pt>
                <c:pt idx="7">
                  <c:v>8</c:v>
                </c:pt>
                <c:pt idx="8">
                  <c:v>4</c:v>
                </c:pt>
                <c:pt idx="9">
                  <c:v>6</c:v>
                </c:pt>
              </c:numCache>
            </c:numRef>
          </c:xVal>
          <c:yVal>
            <c:numRef>
              <c:f>'15.7 Categorical Independent '!$N$26:$N$35</c:f>
              <c:numCache>
                <c:formatCode>General</c:formatCode>
                <c:ptCount val="10"/>
                <c:pt idx="0">
                  <c:v>-6.8421052631578938E-2</c:v>
                </c:pt>
                <c:pt idx="1">
                  <c:v>-0.25619195046439636</c:v>
                </c:pt>
                <c:pt idx="2">
                  <c:v>-0.49411764705882444</c:v>
                </c:pt>
                <c:pt idx="3">
                  <c:v>-0.29334365325077338</c:v>
                </c:pt>
                <c:pt idx="4">
                  <c:v>-6.8421052631578938E-2</c:v>
                </c:pt>
                <c:pt idx="5">
                  <c:v>-6.501547987616263E-3</c:v>
                </c:pt>
                <c:pt idx="6">
                  <c:v>-0.21904024767801911</c:v>
                </c:pt>
                <c:pt idx="7">
                  <c:v>0.76857585139318818</c:v>
                </c:pt>
                <c:pt idx="8">
                  <c:v>0.65634674922600666</c:v>
                </c:pt>
                <c:pt idx="9">
                  <c:v>-1.8885448916408976E-2</c:v>
                </c:pt>
              </c:numCache>
            </c:numRef>
          </c:yVal>
          <c:smooth val="0"/>
          <c:extLst>
            <c:ext xmlns:c16="http://schemas.microsoft.com/office/drawing/2014/chart" uri="{C3380CC4-5D6E-409C-BE32-E72D297353CC}">
              <c16:uniqueId val="{00000001-F6DD-4B97-8A29-A7BE1596B82D}"/>
            </c:ext>
          </c:extLst>
        </c:ser>
        <c:dLbls>
          <c:showLegendKey val="0"/>
          <c:showVal val="0"/>
          <c:showCatName val="0"/>
          <c:showSerName val="0"/>
          <c:showPercent val="0"/>
          <c:showBubbleSize val="0"/>
        </c:dLbls>
        <c:axId val="1341748864"/>
        <c:axId val="1341747424"/>
      </c:scatterChart>
      <c:valAx>
        <c:axId val="1341748864"/>
        <c:scaling>
          <c:orientation val="minMax"/>
        </c:scaling>
        <c:delete val="0"/>
        <c:axPos val="b"/>
        <c:title>
          <c:tx>
            <c:rich>
              <a:bodyPr/>
              <a:lstStyle/>
              <a:p>
                <a:pPr>
                  <a:defRPr/>
                </a:pPr>
                <a:r>
                  <a:rPr lang="en-US"/>
                  <a:t>Months Since
Last Service</a:t>
                </a:r>
              </a:p>
            </c:rich>
          </c:tx>
          <c:overlay val="0"/>
        </c:title>
        <c:numFmt formatCode="General" sourceLinked="1"/>
        <c:majorTickMark val="out"/>
        <c:minorTickMark val="none"/>
        <c:tickLblPos val="nextTo"/>
        <c:crossAx val="1341747424"/>
        <c:crosses val="autoZero"/>
        <c:crossBetween val="midCat"/>
      </c:valAx>
      <c:valAx>
        <c:axId val="134174742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4174886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Type of
Repair  Residual Plot</a:t>
            </a:r>
          </a:p>
        </c:rich>
      </c:tx>
      <c:overlay val="0"/>
    </c:title>
    <c:autoTitleDeleted val="0"/>
    <c:plotArea>
      <c:layout/>
      <c:scatterChart>
        <c:scatterStyle val="lineMarker"/>
        <c:varyColors val="0"/>
        <c:ser>
          <c:idx val="0"/>
          <c:order val="0"/>
          <c:spPr>
            <a:ln w="19050">
              <a:noFill/>
            </a:ln>
          </c:spPr>
          <c:xVal>
            <c:numRef>
              <c:f>'15.7 Categorical Independent '!$I$2:$I$11</c:f>
              <c:numCache>
                <c:formatCode>General</c:formatCode>
                <c:ptCount val="10"/>
                <c:pt idx="0">
                  <c:v>1</c:v>
                </c:pt>
                <c:pt idx="1">
                  <c:v>0</c:v>
                </c:pt>
                <c:pt idx="2">
                  <c:v>1</c:v>
                </c:pt>
                <c:pt idx="3">
                  <c:v>0</c:v>
                </c:pt>
                <c:pt idx="4">
                  <c:v>1</c:v>
                </c:pt>
                <c:pt idx="5">
                  <c:v>1</c:v>
                </c:pt>
                <c:pt idx="6">
                  <c:v>0</c:v>
                </c:pt>
                <c:pt idx="7">
                  <c:v>0</c:v>
                </c:pt>
                <c:pt idx="8">
                  <c:v>1</c:v>
                </c:pt>
                <c:pt idx="9">
                  <c:v>1</c:v>
                </c:pt>
              </c:numCache>
            </c:numRef>
          </c:xVal>
          <c:yVal>
            <c:numRef>
              <c:f>'15.7 Categorical Independent '!$N$26:$N$35</c:f>
              <c:numCache>
                <c:formatCode>General</c:formatCode>
                <c:ptCount val="10"/>
                <c:pt idx="0">
                  <c:v>-6.8421052631578938E-2</c:v>
                </c:pt>
                <c:pt idx="1">
                  <c:v>-0.25619195046439636</c:v>
                </c:pt>
                <c:pt idx="2">
                  <c:v>-0.49411764705882444</c:v>
                </c:pt>
                <c:pt idx="3">
                  <c:v>-0.29334365325077338</c:v>
                </c:pt>
                <c:pt idx="4">
                  <c:v>-6.8421052631578938E-2</c:v>
                </c:pt>
                <c:pt idx="5">
                  <c:v>-6.501547987616263E-3</c:v>
                </c:pt>
                <c:pt idx="6">
                  <c:v>-0.21904024767801911</c:v>
                </c:pt>
                <c:pt idx="7">
                  <c:v>0.76857585139318818</c:v>
                </c:pt>
                <c:pt idx="8">
                  <c:v>0.65634674922600666</c:v>
                </c:pt>
                <c:pt idx="9">
                  <c:v>-1.8885448916408976E-2</c:v>
                </c:pt>
              </c:numCache>
            </c:numRef>
          </c:yVal>
          <c:smooth val="0"/>
          <c:extLst>
            <c:ext xmlns:c16="http://schemas.microsoft.com/office/drawing/2014/chart" uri="{C3380CC4-5D6E-409C-BE32-E72D297353CC}">
              <c16:uniqueId val="{00000001-B645-4EEA-B254-FDE06A812C41}"/>
            </c:ext>
          </c:extLst>
        </c:ser>
        <c:dLbls>
          <c:showLegendKey val="0"/>
          <c:showVal val="0"/>
          <c:showCatName val="0"/>
          <c:showSerName val="0"/>
          <c:showPercent val="0"/>
          <c:showBubbleSize val="0"/>
        </c:dLbls>
        <c:axId val="1341748864"/>
        <c:axId val="1341741184"/>
      </c:scatterChart>
      <c:valAx>
        <c:axId val="1341748864"/>
        <c:scaling>
          <c:orientation val="minMax"/>
        </c:scaling>
        <c:delete val="0"/>
        <c:axPos val="b"/>
        <c:title>
          <c:tx>
            <c:rich>
              <a:bodyPr/>
              <a:lstStyle/>
              <a:p>
                <a:pPr>
                  <a:defRPr/>
                </a:pPr>
                <a:r>
                  <a:rPr lang="en-US"/>
                  <a:t>Type of
Repair</a:t>
                </a:r>
              </a:p>
            </c:rich>
          </c:tx>
          <c:overlay val="0"/>
        </c:title>
        <c:numFmt formatCode="General" sourceLinked="1"/>
        <c:majorTickMark val="out"/>
        <c:minorTickMark val="none"/>
        <c:tickLblPos val="nextTo"/>
        <c:crossAx val="1341741184"/>
        <c:crosses val="autoZero"/>
        <c:crossBetween val="midCat"/>
      </c:valAx>
      <c:valAx>
        <c:axId val="134174118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4174886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 Since
Last Service Line Fit  Plot</a:t>
            </a:r>
          </a:p>
        </c:rich>
      </c:tx>
      <c:layout>
        <c:manualLayout>
          <c:xMode val="edge"/>
          <c:yMode val="edge"/>
          <c:x val="0.18011939438357794"/>
          <c:y val="4.7477759598046558E-2"/>
        </c:manualLayout>
      </c:layout>
      <c:overlay val="0"/>
    </c:title>
    <c:autoTitleDeleted val="0"/>
    <c:plotArea>
      <c:layout/>
      <c:scatterChart>
        <c:scatterStyle val="lineMarker"/>
        <c:varyColors val="0"/>
        <c:ser>
          <c:idx val="0"/>
          <c:order val="0"/>
          <c:tx>
            <c:v>Repair Time
(hours)</c:v>
          </c:tx>
          <c:spPr>
            <a:ln w="19050">
              <a:noFill/>
            </a:ln>
          </c:spPr>
          <c:xVal>
            <c:numRef>
              <c:f>'15.7 Categorical Independent '!$H$2:$H$11</c:f>
              <c:numCache>
                <c:formatCode>General</c:formatCode>
                <c:ptCount val="10"/>
                <c:pt idx="0">
                  <c:v>2</c:v>
                </c:pt>
                <c:pt idx="1">
                  <c:v>6</c:v>
                </c:pt>
                <c:pt idx="2">
                  <c:v>8</c:v>
                </c:pt>
                <c:pt idx="3">
                  <c:v>3</c:v>
                </c:pt>
                <c:pt idx="4">
                  <c:v>2</c:v>
                </c:pt>
                <c:pt idx="5">
                  <c:v>7</c:v>
                </c:pt>
                <c:pt idx="6">
                  <c:v>9</c:v>
                </c:pt>
                <c:pt idx="7">
                  <c:v>8</c:v>
                </c:pt>
                <c:pt idx="8">
                  <c:v>4</c:v>
                </c:pt>
                <c:pt idx="9">
                  <c:v>6</c:v>
                </c:pt>
              </c:numCache>
            </c:numRef>
          </c:xVal>
          <c:yVal>
            <c:numRef>
              <c:f>'15.7 Categorical Independent '!$J$2:$J$11</c:f>
              <c:numCache>
                <c:formatCode>0.0</c:formatCode>
                <c:ptCount val="10"/>
                <c:pt idx="0">
                  <c:v>2.9</c:v>
                </c:pt>
                <c:pt idx="1">
                  <c:v>3</c:v>
                </c:pt>
                <c:pt idx="2">
                  <c:v>4.8</c:v>
                </c:pt>
                <c:pt idx="3">
                  <c:v>1.8</c:v>
                </c:pt>
                <c:pt idx="4">
                  <c:v>2.9</c:v>
                </c:pt>
                <c:pt idx="5">
                  <c:v>4.9000000000000004</c:v>
                </c:pt>
                <c:pt idx="6">
                  <c:v>4.2</c:v>
                </c:pt>
                <c:pt idx="7">
                  <c:v>4.8</c:v>
                </c:pt>
                <c:pt idx="8">
                  <c:v>4.4000000000000004</c:v>
                </c:pt>
                <c:pt idx="9">
                  <c:v>4.5</c:v>
                </c:pt>
              </c:numCache>
            </c:numRef>
          </c:yVal>
          <c:smooth val="0"/>
          <c:extLst>
            <c:ext xmlns:c16="http://schemas.microsoft.com/office/drawing/2014/chart" uri="{C3380CC4-5D6E-409C-BE32-E72D297353CC}">
              <c16:uniqueId val="{00000001-9439-4C6B-A41F-FD0EABD75E38}"/>
            </c:ext>
          </c:extLst>
        </c:ser>
        <c:ser>
          <c:idx val="1"/>
          <c:order val="1"/>
          <c:tx>
            <c:v>Predicted Repair Time
(hours)</c:v>
          </c:tx>
          <c:spPr>
            <a:ln w="19050">
              <a:noFill/>
            </a:ln>
          </c:spPr>
          <c:xVal>
            <c:numRef>
              <c:f>'15.7 Categorical Independent '!$H$2:$H$11</c:f>
              <c:numCache>
                <c:formatCode>General</c:formatCode>
                <c:ptCount val="10"/>
                <c:pt idx="0">
                  <c:v>2</c:v>
                </c:pt>
                <c:pt idx="1">
                  <c:v>6</c:v>
                </c:pt>
                <c:pt idx="2">
                  <c:v>8</c:v>
                </c:pt>
                <c:pt idx="3">
                  <c:v>3</c:v>
                </c:pt>
                <c:pt idx="4">
                  <c:v>2</c:v>
                </c:pt>
                <c:pt idx="5">
                  <c:v>7</c:v>
                </c:pt>
                <c:pt idx="6">
                  <c:v>9</c:v>
                </c:pt>
                <c:pt idx="7">
                  <c:v>8</c:v>
                </c:pt>
                <c:pt idx="8">
                  <c:v>4</c:v>
                </c:pt>
                <c:pt idx="9">
                  <c:v>6</c:v>
                </c:pt>
              </c:numCache>
            </c:numRef>
          </c:xVal>
          <c:yVal>
            <c:numRef>
              <c:f>'15.7 Categorical Independent '!$M$26:$M$35</c:f>
              <c:numCache>
                <c:formatCode>General</c:formatCode>
                <c:ptCount val="10"/>
                <c:pt idx="0">
                  <c:v>2.9684210526315788</c:v>
                </c:pt>
                <c:pt idx="1">
                  <c:v>3.2561919504643964</c:v>
                </c:pt>
                <c:pt idx="2">
                  <c:v>5.2941176470588243</c:v>
                </c:pt>
                <c:pt idx="3">
                  <c:v>2.0933436532507734</c:v>
                </c:pt>
                <c:pt idx="4">
                  <c:v>2.9684210526315788</c:v>
                </c:pt>
                <c:pt idx="5">
                  <c:v>4.9065015479876166</c:v>
                </c:pt>
                <c:pt idx="6">
                  <c:v>4.4190402476780193</c:v>
                </c:pt>
                <c:pt idx="7">
                  <c:v>4.0314241486068116</c:v>
                </c:pt>
                <c:pt idx="8">
                  <c:v>3.7436532507739937</c:v>
                </c:pt>
                <c:pt idx="9">
                  <c:v>4.518885448916409</c:v>
                </c:pt>
              </c:numCache>
            </c:numRef>
          </c:yVal>
          <c:smooth val="0"/>
          <c:extLst>
            <c:ext xmlns:c16="http://schemas.microsoft.com/office/drawing/2014/chart" uri="{C3380CC4-5D6E-409C-BE32-E72D297353CC}">
              <c16:uniqueId val="{00000002-9439-4C6B-A41F-FD0EABD75E38}"/>
            </c:ext>
          </c:extLst>
        </c:ser>
        <c:dLbls>
          <c:showLegendKey val="0"/>
          <c:showVal val="0"/>
          <c:showCatName val="0"/>
          <c:showSerName val="0"/>
          <c:showPercent val="0"/>
          <c:showBubbleSize val="0"/>
        </c:dLbls>
        <c:axId val="1341748864"/>
        <c:axId val="1341742624"/>
      </c:scatterChart>
      <c:valAx>
        <c:axId val="1341748864"/>
        <c:scaling>
          <c:orientation val="minMax"/>
        </c:scaling>
        <c:delete val="0"/>
        <c:axPos val="b"/>
        <c:title>
          <c:tx>
            <c:rich>
              <a:bodyPr/>
              <a:lstStyle/>
              <a:p>
                <a:pPr>
                  <a:defRPr/>
                </a:pPr>
                <a:r>
                  <a:rPr lang="en-US"/>
                  <a:t>Months Since
Last Service</a:t>
                </a:r>
              </a:p>
            </c:rich>
          </c:tx>
          <c:overlay val="0"/>
        </c:title>
        <c:numFmt formatCode="General" sourceLinked="1"/>
        <c:majorTickMark val="out"/>
        <c:minorTickMark val="none"/>
        <c:tickLblPos val="nextTo"/>
        <c:crossAx val="1341742624"/>
        <c:crosses val="autoZero"/>
        <c:crossBetween val="midCat"/>
      </c:valAx>
      <c:valAx>
        <c:axId val="1341742624"/>
        <c:scaling>
          <c:orientation val="minMax"/>
        </c:scaling>
        <c:delete val="0"/>
        <c:axPos val="l"/>
        <c:title>
          <c:tx>
            <c:rich>
              <a:bodyPr/>
              <a:lstStyle/>
              <a:p>
                <a:pPr>
                  <a:defRPr/>
                </a:pPr>
                <a:r>
                  <a:rPr lang="en-US"/>
                  <a:t>Repair Time
(hours)</a:t>
                </a:r>
              </a:p>
            </c:rich>
          </c:tx>
          <c:overlay val="0"/>
        </c:title>
        <c:numFmt formatCode="0.0" sourceLinked="1"/>
        <c:majorTickMark val="out"/>
        <c:minorTickMark val="none"/>
        <c:tickLblPos val="nextTo"/>
        <c:crossAx val="134174886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Type of
Repair Line Fit  Plot</a:t>
            </a:r>
          </a:p>
        </c:rich>
      </c:tx>
      <c:overlay val="0"/>
    </c:title>
    <c:autoTitleDeleted val="0"/>
    <c:plotArea>
      <c:layout/>
      <c:scatterChart>
        <c:scatterStyle val="lineMarker"/>
        <c:varyColors val="0"/>
        <c:ser>
          <c:idx val="0"/>
          <c:order val="0"/>
          <c:tx>
            <c:v>Repair Time
(hours)</c:v>
          </c:tx>
          <c:spPr>
            <a:ln w="19050">
              <a:noFill/>
            </a:ln>
          </c:spPr>
          <c:xVal>
            <c:numRef>
              <c:f>'15.7 Categorical Independent '!$I$2:$I$11</c:f>
              <c:numCache>
                <c:formatCode>General</c:formatCode>
                <c:ptCount val="10"/>
                <c:pt idx="0">
                  <c:v>1</c:v>
                </c:pt>
                <c:pt idx="1">
                  <c:v>0</c:v>
                </c:pt>
                <c:pt idx="2">
                  <c:v>1</c:v>
                </c:pt>
                <c:pt idx="3">
                  <c:v>0</c:v>
                </c:pt>
                <c:pt idx="4">
                  <c:v>1</c:v>
                </c:pt>
                <c:pt idx="5">
                  <c:v>1</c:v>
                </c:pt>
                <c:pt idx="6">
                  <c:v>0</c:v>
                </c:pt>
                <c:pt idx="7">
                  <c:v>0</c:v>
                </c:pt>
                <c:pt idx="8">
                  <c:v>1</c:v>
                </c:pt>
                <c:pt idx="9">
                  <c:v>1</c:v>
                </c:pt>
              </c:numCache>
            </c:numRef>
          </c:xVal>
          <c:yVal>
            <c:numRef>
              <c:f>'15.7 Categorical Independent '!$J$2:$J$11</c:f>
              <c:numCache>
                <c:formatCode>0.0</c:formatCode>
                <c:ptCount val="10"/>
                <c:pt idx="0">
                  <c:v>2.9</c:v>
                </c:pt>
                <c:pt idx="1">
                  <c:v>3</c:v>
                </c:pt>
                <c:pt idx="2">
                  <c:v>4.8</c:v>
                </c:pt>
                <c:pt idx="3">
                  <c:v>1.8</c:v>
                </c:pt>
                <c:pt idx="4">
                  <c:v>2.9</c:v>
                </c:pt>
                <c:pt idx="5">
                  <c:v>4.9000000000000004</c:v>
                </c:pt>
                <c:pt idx="6">
                  <c:v>4.2</c:v>
                </c:pt>
                <c:pt idx="7">
                  <c:v>4.8</c:v>
                </c:pt>
                <c:pt idx="8">
                  <c:v>4.4000000000000004</c:v>
                </c:pt>
                <c:pt idx="9">
                  <c:v>4.5</c:v>
                </c:pt>
              </c:numCache>
            </c:numRef>
          </c:yVal>
          <c:smooth val="0"/>
          <c:extLst>
            <c:ext xmlns:c16="http://schemas.microsoft.com/office/drawing/2014/chart" uri="{C3380CC4-5D6E-409C-BE32-E72D297353CC}">
              <c16:uniqueId val="{00000001-C5DC-417B-9A8D-0CBFD1669D3E}"/>
            </c:ext>
          </c:extLst>
        </c:ser>
        <c:ser>
          <c:idx val="1"/>
          <c:order val="1"/>
          <c:tx>
            <c:v>Predicted Repair Time
(hours)</c:v>
          </c:tx>
          <c:spPr>
            <a:ln w="19050">
              <a:noFill/>
            </a:ln>
          </c:spPr>
          <c:xVal>
            <c:numRef>
              <c:f>'15.7 Categorical Independent '!$I$2:$I$11</c:f>
              <c:numCache>
                <c:formatCode>General</c:formatCode>
                <c:ptCount val="10"/>
                <c:pt idx="0">
                  <c:v>1</c:v>
                </c:pt>
                <c:pt idx="1">
                  <c:v>0</c:v>
                </c:pt>
                <c:pt idx="2">
                  <c:v>1</c:v>
                </c:pt>
                <c:pt idx="3">
                  <c:v>0</c:v>
                </c:pt>
                <c:pt idx="4">
                  <c:v>1</c:v>
                </c:pt>
                <c:pt idx="5">
                  <c:v>1</c:v>
                </c:pt>
                <c:pt idx="6">
                  <c:v>0</c:v>
                </c:pt>
                <c:pt idx="7">
                  <c:v>0</c:v>
                </c:pt>
                <c:pt idx="8">
                  <c:v>1</c:v>
                </c:pt>
                <c:pt idx="9">
                  <c:v>1</c:v>
                </c:pt>
              </c:numCache>
            </c:numRef>
          </c:xVal>
          <c:yVal>
            <c:numRef>
              <c:f>'15.7 Categorical Independent '!$M$26:$M$35</c:f>
              <c:numCache>
                <c:formatCode>General</c:formatCode>
                <c:ptCount val="10"/>
                <c:pt idx="0">
                  <c:v>2.9684210526315788</c:v>
                </c:pt>
                <c:pt idx="1">
                  <c:v>3.2561919504643964</c:v>
                </c:pt>
                <c:pt idx="2">
                  <c:v>5.2941176470588243</c:v>
                </c:pt>
                <c:pt idx="3">
                  <c:v>2.0933436532507734</c:v>
                </c:pt>
                <c:pt idx="4">
                  <c:v>2.9684210526315788</c:v>
                </c:pt>
                <c:pt idx="5">
                  <c:v>4.9065015479876166</c:v>
                </c:pt>
                <c:pt idx="6">
                  <c:v>4.4190402476780193</c:v>
                </c:pt>
                <c:pt idx="7">
                  <c:v>4.0314241486068116</c:v>
                </c:pt>
                <c:pt idx="8">
                  <c:v>3.7436532507739937</c:v>
                </c:pt>
                <c:pt idx="9">
                  <c:v>4.518885448916409</c:v>
                </c:pt>
              </c:numCache>
            </c:numRef>
          </c:yVal>
          <c:smooth val="0"/>
          <c:extLst>
            <c:ext xmlns:c16="http://schemas.microsoft.com/office/drawing/2014/chart" uri="{C3380CC4-5D6E-409C-BE32-E72D297353CC}">
              <c16:uniqueId val="{00000002-C5DC-417B-9A8D-0CBFD1669D3E}"/>
            </c:ext>
          </c:extLst>
        </c:ser>
        <c:dLbls>
          <c:showLegendKey val="0"/>
          <c:showVal val="0"/>
          <c:showCatName val="0"/>
          <c:showSerName val="0"/>
          <c:showPercent val="0"/>
          <c:showBubbleSize val="0"/>
        </c:dLbls>
        <c:axId val="1341748864"/>
        <c:axId val="1341753184"/>
      </c:scatterChart>
      <c:valAx>
        <c:axId val="1341748864"/>
        <c:scaling>
          <c:orientation val="minMax"/>
        </c:scaling>
        <c:delete val="0"/>
        <c:axPos val="b"/>
        <c:title>
          <c:tx>
            <c:rich>
              <a:bodyPr/>
              <a:lstStyle/>
              <a:p>
                <a:pPr>
                  <a:defRPr/>
                </a:pPr>
                <a:r>
                  <a:rPr lang="en-US"/>
                  <a:t>Type of
Repair</a:t>
                </a:r>
              </a:p>
            </c:rich>
          </c:tx>
          <c:overlay val="0"/>
        </c:title>
        <c:numFmt formatCode="General" sourceLinked="1"/>
        <c:majorTickMark val="out"/>
        <c:minorTickMark val="none"/>
        <c:tickLblPos val="nextTo"/>
        <c:crossAx val="1341753184"/>
        <c:crosses val="autoZero"/>
        <c:crossBetween val="midCat"/>
      </c:valAx>
      <c:valAx>
        <c:axId val="1341753184"/>
        <c:scaling>
          <c:orientation val="minMax"/>
        </c:scaling>
        <c:delete val="0"/>
        <c:axPos val="l"/>
        <c:title>
          <c:tx>
            <c:rich>
              <a:bodyPr/>
              <a:lstStyle/>
              <a:p>
                <a:pPr>
                  <a:defRPr/>
                </a:pPr>
                <a:r>
                  <a:rPr lang="en-US"/>
                  <a:t>Repair Time
(hours)</a:t>
                </a:r>
              </a:p>
            </c:rich>
          </c:tx>
          <c:overlay val="0"/>
        </c:title>
        <c:numFmt formatCode="0.0" sourceLinked="1"/>
        <c:majorTickMark val="out"/>
        <c:minorTickMark val="none"/>
        <c:tickLblPos val="nextTo"/>
        <c:crossAx val="134174886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'15.7 Categorical Independent '!$Q$26:$Q$35</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'15.7 Categorical Independent '!$R$26:$R$35</c:f>
              <c:numCache>
                <c:formatCode>General</c:formatCode>
                <c:ptCount val="10"/>
                <c:pt idx="0">
                  <c:v>1.8</c:v>
                </c:pt>
                <c:pt idx="1">
                  <c:v>2.9</c:v>
                </c:pt>
                <c:pt idx="2">
                  <c:v>2.9</c:v>
                </c:pt>
                <c:pt idx="3">
                  <c:v>3</c:v>
                </c:pt>
                <c:pt idx="4">
                  <c:v>4.2</c:v>
                </c:pt>
                <c:pt idx="5">
                  <c:v>4.4000000000000004</c:v>
                </c:pt>
                <c:pt idx="6">
                  <c:v>4.5</c:v>
                </c:pt>
                <c:pt idx="7">
                  <c:v>4.8</c:v>
                </c:pt>
                <c:pt idx="8">
                  <c:v>4.8</c:v>
                </c:pt>
                <c:pt idx="9">
                  <c:v>4.9000000000000004</c:v>
                </c:pt>
              </c:numCache>
            </c:numRef>
          </c:yVal>
          <c:smooth val="0"/>
          <c:extLst>
            <c:ext xmlns:c16="http://schemas.microsoft.com/office/drawing/2014/chart" uri="{C3380CC4-5D6E-409C-BE32-E72D297353CC}">
              <c16:uniqueId val="{00000001-ACCA-4D91-9FEF-3963BF8C539D}"/>
            </c:ext>
          </c:extLst>
        </c:ser>
        <c:dLbls>
          <c:showLegendKey val="0"/>
          <c:showVal val="0"/>
          <c:showCatName val="0"/>
          <c:showSerName val="0"/>
          <c:showPercent val="0"/>
          <c:showBubbleSize val="0"/>
        </c:dLbls>
        <c:axId val="1075839008"/>
        <c:axId val="1075844288"/>
      </c:scatterChart>
      <c:valAx>
        <c:axId val="107583900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075844288"/>
        <c:crosses val="autoZero"/>
        <c:crossBetween val="midCat"/>
      </c:valAx>
      <c:valAx>
        <c:axId val="1075844288"/>
        <c:scaling>
          <c:orientation val="minMax"/>
        </c:scaling>
        <c:delete val="0"/>
        <c:axPos val="l"/>
        <c:title>
          <c:tx>
            <c:rich>
              <a:bodyPr/>
              <a:lstStyle/>
              <a:p>
                <a:pPr>
                  <a:defRPr/>
                </a:pPr>
                <a:r>
                  <a:rPr lang="en-US"/>
                  <a:t>Repair Time
(hours)</a:t>
                </a:r>
              </a:p>
            </c:rich>
          </c:tx>
          <c:overlay val="0"/>
        </c:title>
        <c:numFmt formatCode="General" sourceLinked="1"/>
        <c:majorTickMark val="out"/>
        <c:minorTickMark val="none"/>
        <c:tickLblPos val="nextTo"/>
        <c:crossAx val="107583900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3</xdr:col>
      <xdr:colOff>66675</xdr:colOff>
      <xdr:row>10</xdr:row>
      <xdr:rowOff>180975</xdr:rowOff>
    </xdr:from>
    <xdr:to>
      <xdr:col>6</xdr:col>
      <xdr:colOff>9525</xdr:colOff>
      <xdr:row>19</xdr:row>
      <xdr:rowOff>19050</xdr:rowOff>
    </xdr:to>
    <xdr:sp macro="" textlink="">
      <xdr:nvSpPr>
        <xdr:cNvPr id="2" name="TextBox 1">
          <a:extLst>
            <a:ext uri="{FF2B5EF4-FFF2-40B4-BE49-F238E27FC236}">
              <a16:creationId xmlns:a16="http://schemas.microsoft.com/office/drawing/2014/main" id="{BBA7481E-1DBF-4EDC-8EAD-390FD763C280}"/>
            </a:ext>
          </a:extLst>
        </xdr:cNvPr>
        <xdr:cNvSpPr txBox="1"/>
      </xdr:nvSpPr>
      <xdr:spPr>
        <a:xfrm>
          <a:off x="2581275" y="2066925"/>
          <a:ext cx="245745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Intercept              -0.868701</a:t>
          </a:r>
        </a:p>
        <a:p>
          <a:r>
            <a:rPr lang="en-US" sz="1100"/>
            <a:t>Miles_Traveled          0.061135</a:t>
          </a:r>
        </a:p>
        <a:p>
          <a:r>
            <a:rPr lang="en-US" sz="1100"/>
            <a:t>Number_of_Deliveries    0.923425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344365</xdr:colOff>
      <xdr:row>0</xdr:row>
      <xdr:rowOff>0</xdr:rowOff>
    </xdr:from>
    <xdr:to>
      <xdr:col>15</xdr:col>
      <xdr:colOff>476356</xdr:colOff>
      <xdr:row>18</xdr:row>
      <xdr:rowOff>122464</xdr:rowOff>
    </xdr:to>
    <xdr:graphicFrame macro="">
      <xdr:nvGraphicFramePr>
        <xdr:cNvPr id="2" name="Chart 1">
          <a:extLst>
            <a:ext uri="{FF2B5EF4-FFF2-40B4-BE49-F238E27FC236}">
              <a16:creationId xmlns:a16="http://schemas.microsoft.com/office/drawing/2014/main" id="{CE3A0641-13AC-351F-A738-2D137EE0C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507546</xdr:colOff>
      <xdr:row>21</xdr:row>
      <xdr:rowOff>62802</xdr:rowOff>
    </xdr:from>
    <xdr:to>
      <xdr:col>18</xdr:col>
      <xdr:colOff>269421</xdr:colOff>
      <xdr:row>36</xdr:row>
      <xdr:rowOff>78083</xdr:rowOff>
    </xdr:to>
    <xdr:graphicFrame macro="">
      <xdr:nvGraphicFramePr>
        <xdr:cNvPr id="3" name="Chart 2">
          <a:extLst>
            <a:ext uri="{FF2B5EF4-FFF2-40B4-BE49-F238E27FC236}">
              <a16:creationId xmlns:a16="http://schemas.microsoft.com/office/drawing/2014/main" id="{055B12A8-6C34-09DD-E4FD-C43DB14A1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547950</xdr:colOff>
      <xdr:row>35</xdr:row>
      <xdr:rowOff>108439</xdr:rowOff>
    </xdr:from>
    <xdr:to>
      <xdr:col>13</xdr:col>
      <xdr:colOff>547949</xdr:colOff>
      <xdr:row>45</xdr:row>
      <xdr:rowOff>142980</xdr:rowOff>
    </xdr:to>
    <xdr:graphicFrame macro="">
      <xdr:nvGraphicFramePr>
        <xdr:cNvPr id="4" name="Chart 3">
          <a:extLst>
            <a:ext uri="{FF2B5EF4-FFF2-40B4-BE49-F238E27FC236}">
              <a16:creationId xmlns:a16="http://schemas.microsoft.com/office/drawing/2014/main" id="{21E510A9-0FA3-D386-E333-8245D645E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259897</xdr:colOff>
      <xdr:row>52</xdr:row>
      <xdr:rowOff>39984</xdr:rowOff>
    </xdr:from>
    <xdr:to>
      <xdr:col>12</xdr:col>
      <xdr:colOff>564698</xdr:colOff>
      <xdr:row>69</xdr:row>
      <xdr:rowOff>37263</xdr:rowOff>
    </xdr:to>
    <xdr:graphicFrame macro="">
      <xdr:nvGraphicFramePr>
        <xdr:cNvPr id="5" name="Chart 4">
          <a:extLst>
            <a:ext uri="{FF2B5EF4-FFF2-40B4-BE49-F238E27FC236}">
              <a16:creationId xmlns:a16="http://schemas.microsoft.com/office/drawing/2014/main" id="{D8CFA97E-2CC4-32D4-A9BC-6070D2584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226088</xdr:colOff>
      <xdr:row>40</xdr:row>
      <xdr:rowOff>99018</xdr:rowOff>
    </xdr:from>
    <xdr:to>
      <xdr:col>20</xdr:col>
      <xdr:colOff>548473</xdr:colOff>
      <xdr:row>56</xdr:row>
      <xdr:rowOff>141723</xdr:rowOff>
    </xdr:to>
    <xdr:graphicFrame macro="">
      <xdr:nvGraphicFramePr>
        <xdr:cNvPr id="6" name="Chart 5">
          <a:extLst>
            <a:ext uri="{FF2B5EF4-FFF2-40B4-BE49-F238E27FC236}">
              <a16:creationId xmlns:a16="http://schemas.microsoft.com/office/drawing/2014/main" id="{7AF14A1A-D1E9-FA79-B7AD-AD43642C1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383094</xdr:colOff>
      <xdr:row>0</xdr:row>
      <xdr:rowOff>78083</xdr:rowOff>
    </xdr:from>
    <xdr:to>
      <xdr:col>24</xdr:col>
      <xdr:colOff>98390</xdr:colOff>
      <xdr:row>17</xdr:row>
      <xdr:rowOff>141723</xdr:rowOff>
    </xdr:to>
    <xdr:graphicFrame macro="">
      <xdr:nvGraphicFramePr>
        <xdr:cNvPr id="7" name="Chart 6">
          <a:extLst>
            <a:ext uri="{FF2B5EF4-FFF2-40B4-BE49-F238E27FC236}">
              <a16:creationId xmlns:a16="http://schemas.microsoft.com/office/drawing/2014/main" id="{2E69A7E0-273C-126E-403D-6CB487F1D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115136</xdr:colOff>
      <xdr:row>11</xdr:row>
      <xdr:rowOff>31402</xdr:rowOff>
    </xdr:from>
    <xdr:to>
      <xdr:col>7</xdr:col>
      <xdr:colOff>460550</xdr:colOff>
      <xdr:row>21</xdr:row>
      <xdr:rowOff>146538</xdr:rowOff>
    </xdr:to>
    <xdr:sp macro="" textlink="">
      <xdr:nvSpPr>
        <xdr:cNvPr id="8" name="TextBox 7">
          <a:extLst>
            <a:ext uri="{FF2B5EF4-FFF2-40B4-BE49-F238E27FC236}">
              <a16:creationId xmlns:a16="http://schemas.microsoft.com/office/drawing/2014/main" id="{92B6EF51-7B8A-E8B1-3B0B-F96C6FD2C010}"/>
            </a:ext>
          </a:extLst>
        </xdr:cNvPr>
        <xdr:cNvSpPr txBox="1"/>
      </xdr:nvSpPr>
      <xdr:spPr>
        <a:xfrm>
          <a:off x="2658625" y="1758462"/>
          <a:ext cx="3883271" cy="170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Multiple</a:t>
          </a:r>
          <a:r>
            <a:rPr lang="en-US" sz="1100" baseline="0">
              <a:solidFill>
                <a:schemeClr val="dk1"/>
              </a:solidFill>
              <a:effectLst/>
              <a:latin typeface="+mn-lt"/>
              <a:ea typeface="+mn-ea"/>
              <a:cs typeface="+mn-cs"/>
            </a:rPr>
            <a:t> R is the sample correlation coefficient: ( Sign of b1) Square root of R square</a:t>
          </a:r>
          <a:endParaRPr lang="en-US">
            <a:effectLst/>
          </a:endParaRPr>
        </a:p>
        <a:p>
          <a:r>
            <a:rPr lang="en-US" sz="1100" baseline="0">
              <a:solidFill>
                <a:schemeClr val="dk1"/>
              </a:solidFill>
              <a:effectLst/>
              <a:latin typeface="+mn-lt"/>
              <a:ea typeface="+mn-ea"/>
              <a:cs typeface="+mn-cs"/>
            </a:rPr>
            <a:t>Where bi = </a:t>
          </a:r>
          <a:r>
            <a:rPr lang="en-US" sz="1100" b="0" i="0">
              <a:solidFill>
                <a:schemeClr val="dk1"/>
              </a:solidFill>
              <a:effectLst/>
              <a:latin typeface="+mn-lt"/>
              <a:ea typeface="+mn-ea"/>
              <a:cs typeface="+mn-cs"/>
            </a:rPr>
            <a:t> ( ∑ (xi</a:t>
          </a:r>
          <a:r>
            <a:rPr lang="en-US" sz="1100" b="0" i="0" baseline="0">
              <a:solidFill>
                <a:schemeClr val="dk1"/>
              </a:solidFill>
              <a:effectLst/>
              <a:latin typeface="+mn-lt"/>
              <a:ea typeface="+mn-ea"/>
              <a:cs typeface="+mn-cs"/>
            </a:rPr>
            <a:t>-mean value for independent variable)(yi-mean value for dependent variable)) / </a:t>
          </a:r>
          <a:r>
            <a:rPr lang="en-US" sz="1100" b="0" i="0">
              <a:solidFill>
                <a:schemeClr val="dk1"/>
              </a:solidFill>
              <a:effectLst/>
              <a:latin typeface="+mn-lt"/>
              <a:ea typeface="+mn-ea"/>
              <a:cs typeface="+mn-cs"/>
            </a:rPr>
            <a:t> ∑ (xi</a:t>
          </a:r>
          <a:r>
            <a:rPr lang="en-US" sz="1100" b="0" i="0" baseline="0">
              <a:solidFill>
                <a:schemeClr val="dk1"/>
              </a:solidFill>
              <a:effectLst/>
              <a:latin typeface="+mn-lt"/>
              <a:ea typeface="+mn-ea"/>
              <a:cs typeface="+mn-cs"/>
            </a:rPr>
            <a:t> -mean value of independent variable) squared</a:t>
          </a:r>
          <a:endParaRPr lang="en-US">
            <a:effectLst/>
          </a:endParaRPr>
        </a:p>
        <a:p>
          <a:r>
            <a:rPr lang="en-US" sz="1100">
              <a:solidFill>
                <a:schemeClr val="dk1"/>
              </a:solidFill>
              <a:effectLst/>
              <a:latin typeface="+mn-lt"/>
              <a:ea typeface="+mn-ea"/>
              <a:cs typeface="+mn-cs"/>
            </a:rPr>
            <a:t>"Cofficient</a:t>
          </a:r>
          <a:r>
            <a:rPr lang="en-US" sz="1100" baseline="0">
              <a:solidFill>
                <a:schemeClr val="dk1"/>
              </a:solidFill>
              <a:effectLst/>
              <a:latin typeface="+mn-lt"/>
              <a:ea typeface="+mn-ea"/>
              <a:cs typeface="+mn-cs"/>
            </a:rPr>
            <a:t> of determination" </a:t>
          </a:r>
          <a:r>
            <a:rPr lang="en-US" sz="1100">
              <a:solidFill>
                <a:schemeClr val="dk1"/>
              </a:solidFill>
              <a:effectLst/>
              <a:latin typeface="+mn-lt"/>
              <a:ea typeface="+mn-ea"/>
              <a:cs typeface="+mn-cs"/>
            </a:rPr>
            <a:t>R Squared</a:t>
          </a:r>
          <a:r>
            <a:rPr lang="en-US" sz="1100" baseline="0">
              <a:solidFill>
                <a:schemeClr val="dk1"/>
              </a:solidFill>
              <a:effectLst/>
              <a:latin typeface="+mn-lt"/>
              <a:ea typeface="+mn-ea"/>
              <a:cs typeface="+mn-cs"/>
            </a:rPr>
            <a:t> is SSR/SST: 66.4% of the variablility in travel time can be explained by the linear effect of the number of miles traveled. This is ok but we can add a second indepentdent variable to explain the remaining variablity. </a:t>
          </a:r>
          <a:endParaRPr lang="en-US" sz="1100"/>
        </a:p>
      </xdr:txBody>
    </xdr:sp>
    <xdr:clientData/>
  </xdr:twoCellAnchor>
  <xdr:twoCellAnchor>
    <xdr:from>
      <xdr:col>7</xdr:col>
      <xdr:colOff>334945</xdr:colOff>
      <xdr:row>19</xdr:row>
      <xdr:rowOff>157006</xdr:rowOff>
    </xdr:from>
    <xdr:to>
      <xdr:col>12</xdr:col>
      <xdr:colOff>73268</xdr:colOff>
      <xdr:row>26</xdr:row>
      <xdr:rowOff>157005</xdr:rowOff>
    </xdr:to>
    <xdr:sp macro="" textlink="">
      <xdr:nvSpPr>
        <xdr:cNvPr id="9" name="TextBox 8">
          <a:extLst>
            <a:ext uri="{FF2B5EF4-FFF2-40B4-BE49-F238E27FC236}">
              <a16:creationId xmlns:a16="http://schemas.microsoft.com/office/drawing/2014/main" id="{F2BEA993-071A-71E5-8CCE-80F5EF8E85E5}"/>
            </a:ext>
          </a:extLst>
        </xdr:cNvPr>
        <xdr:cNvSpPr txBox="1"/>
      </xdr:nvSpPr>
      <xdr:spPr>
        <a:xfrm>
          <a:off x="6416291" y="3150577"/>
          <a:ext cx="2773763" cy="11304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With</a:t>
          </a:r>
          <a:r>
            <a:rPr lang="en-US" sz="1100" baseline="0"/>
            <a:t> F value of 0.004, the relationship is significant . We reject Ho: B1=0. The same result is given with the  t value 3.97 and p value 0.004. We can conclude longer travel times are associated with more miles traveled.</a:t>
          </a:r>
          <a:endParaRPr lang="en-US" sz="1100"/>
        </a:p>
      </xdr:txBody>
    </xdr:sp>
    <xdr:clientData/>
  </xdr:twoCellAnchor>
  <xdr:twoCellAnchor>
    <xdr:from>
      <xdr:col>4</xdr:col>
      <xdr:colOff>73269</xdr:colOff>
      <xdr:row>1</xdr:row>
      <xdr:rowOff>31402</xdr:rowOff>
    </xdr:from>
    <xdr:to>
      <xdr:col>6</xdr:col>
      <xdr:colOff>324478</xdr:colOff>
      <xdr:row>3</xdr:row>
      <xdr:rowOff>10468</xdr:rowOff>
    </xdr:to>
    <xdr:sp macro="" textlink="">
      <xdr:nvSpPr>
        <xdr:cNvPr id="10" name="TextBox 9">
          <a:extLst>
            <a:ext uri="{FF2B5EF4-FFF2-40B4-BE49-F238E27FC236}">
              <a16:creationId xmlns:a16="http://schemas.microsoft.com/office/drawing/2014/main" id="{46E5C6E8-1C2D-9439-9144-96DC3867C6A0}"/>
            </a:ext>
          </a:extLst>
        </xdr:cNvPr>
        <xdr:cNvSpPr txBox="1"/>
      </xdr:nvSpPr>
      <xdr:spPr>
        <a:xfrm>
          <a:off x="4574093" y="188407"/>
          <a:ext cx="1695660" cy="293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Butler Trucking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594944</xdr:colOff>
      <xdr:row>0</xdr:row>
      <xdr:rowOff>12212</xdr:rowOff>
    </xdr:from>
    <xdr:to>
      <xdr:col>20</xdr:col>
      <xdr:colOff>12943</xdr:colOff>
      <xdr:row>18</xdr:row>
      <xdr:rowOff>62523</xdr:rowOff>
    </xdr:to>
    <xdr:graphicFrame macro="">
      <xdr:nvGraphicFramePr>
        <xdr:cNvPr id="2" name="Chart 1">
          <a:extLst>
            <a:ext uri="{FF2B5EF4-FFF2-40B4-BE49-F238E27FC236}">
              <a16:creationId xmlns:a16="http://schemas.microsoft.com/office/drawing/2014/main" id="{CCE17B97-81AB-DFA8-5153-D220E4252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343090</xdr:colOff>
      <xdr:row>20</xdr:row>
      <xdr:rowOff>153376</xdr:rowOff>
    </xdr:from>
    <xdr:to>
      <xdr:col>18</xdr:col>
      <xdr:colOff>534329</xdr:colOff>
      <xdr:row>36</xdr:row>
      <xdr:rowOff>69695</xdr:rowOff>
    </xdr:to>
    <xdr:graphicFrame macro="">
      <xdr:nvGraphicFramePr>
        <xdr:cNvPr id="3" name="Chart 2">
          <a:extLst>
            <a:ext uri="{FF2B5EF4-FFF2-40B4-BE49-F238E27FC236}">
              <a16:creationId xmlns:a16="http://schemas.microsoft.com/office/drawing/2014/main" id="{BB59DCA5-BBCF-7C7F-F69D-280FE0EFC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202492</xdr:colOff>
      <xdr:row>21</xdr:row>
      <xdr:rowOff>17204</xdr:rowOff>
    </xdr:from>
    <xdr:to>
      <xdr:col>30</xdr:col>
      <xdr:colOff>125315</xdr:colOff>
      <xdr:row>50</xdr:row>
      <xdr:rowOff>90229</xdr:rowOff>
    </xdr:to>
    <xdr:graphicFrame macro="">
      <xdr:nvGraphicFramePr>
        <xdr:cNvPr id="4" name="Chart 3">
          <a:extLst>
            <a:ext uri="{FF2B5EF4-FFF2-40B4-BE49-F238E27FC236}">
              <a16:creationId xmlns:a16="http://schemas.microsoft.com/office/drawing/2014/main" id="{54E13021-92E2-4EA0-39CB-752029237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250336</xdr:colOff>
      <xdr:row>0</xdr:row>
      <xdr:rowOff>0</xdr:rowOff>
    </xdr:from>
    <xdr:to>
      <xdr:col>28</xdr:col>
      <xdr:colOff>336061</xdr:colOff>
      <xdr:row>18</xdr:row>
      <xdr:rowOff>0</xdr:rowOff>
    </xdr:to>
    <xdr:graphicFrame macro="">
      <xdr:nvGraphicFramePr>
        <xdr:cNvPr id="5" name="Chart 4">
          <a:extLst>
            <a:ext uri="{FF2B5EF4-FFF2-40B4-BE49-F238E27FC236}">
              <a16:creationId xmlns:a16="http://schemas.microsoft.com/office/drawing/2014/main" id="{FBDC27D4-F410-E5AC-BEB0-4D915DF6A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207092</xdr:colOff>
      <xdr:row>50</xdr:row>
      <xdr:rowOff>149327</xdr:rowOff>
    </xdr:from>
    <xdr:to>
      <xdr:col>8</xdr:col>
      <xdr:colOff>278784</xdr:colOff>
      <xdr:row>62</xdr:row>
      <xdr:rowOff>121469</xdr:rowOff>
    </xdr:to>
    <xdr:graphicFrame macro="">
      <xdr:nvGraphicFramePr>
        <xdr:cNvPr id="6" name="Chart 5">
          <a:extLst>
            <a:ext uri="{FF2B5EF4-FFF2-40B4-BE49-F238E27FC236}">
              <a16:creationId xmlns:a16="http://schemas.microsoft.com/office/drawing/2014/main" id="{68C43FA4-3113-5198-75B6-5502468CF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552449</xdr:colOff>
      <xdr:row>11</xdr:row>
      <xdr:rowOff>85725</xdr:rowOff>
    </xdr:from>
    <xdr:to>
      <xdr:col>8</xdr:col>
      <xdr:colOff>399434</xdr:colOff>
      <xdr:row>21</xdr:row>
      <xdr:rowOff>69694</xdr:rowOff>
    </xdr:to>
    <xdr:sp macro="" textlink="">
      <xdr:nvSpPr>
        <xdr:cNvPr id="7" name="TextBox 6">
          <a:extLst>
            <a:ext uri="{FF2B5EF4-FFF2-40B4-BE49-F238E27FC236}">
              <a16:creationId xmlns:a16="http://schemas.microsoft.com/office/drawing/2014/main" id="{9B69944A-3AC2-244D-03CD-7E71C122F74E}"/>
            </a:ext>
          </a:extLst>
        </xdr:cNvPr>
        <xdr:cNvSpPr txBox="1"/>
      </xdr:nvSpPr>
      <xdr:spPr>
        <a:xfrm>
          <a:off x="3293790" y="1874566"/>
          <a:ext cx="4923114" cy="1633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Multiple</a:t>
          </a:r>
          <a:r>
            <a:rPr lang="en-US" sz="1100" baseline="0">
              <a:solidFill>
                <a:schemeClr val="dk1"/>
              </a:solidFill>
              <a:effectLst/>
              <a:latin typeface="+mn-lt"/>
              <a:ea typeface="+mn-ea"/>
              <a:cs typeface="+mn-cs"/>
            </a:rPr>
            <a:t> R is the sample correlation coefficient: ( Sign of b1) Square root of R square</a:t>
          </a:r>
          <a:endParaRPr lang="en-US">
            <a:effectLst/>
          </a:endParaRPr>
        </a:p>
        <a:p>
          <a:r>
            <a:rPr lang="en-US" sz="1100" baseline="0">
              <a:solidFill>
                <a:schemeClr val="dk1"/>
              </a:solidFill>
              <a:effectLst/>
              <a:latin typeface="+mn-lt"/>
              <a:ea typeface="+mn-ea"/>
              <a:cs typeface="+mn-cs"/>
            </a:rPr>
            <a:t>Where bi = </a:t>
          </a:r>
          <a:r>
            <a:rPr lang="en-US" sz="1100" b="0" i="0">
              <a:solidFill>
                <a:schemeClr val="dk1"/>
              </a:solidFill>
              <a:effectLst/>
              <a:latin typeface="+mn-lt"/>
              <a:ea typeface="+mn-ea"/>
              <a:cs typeface="+mn-cs"/>
            </a:rPr>
            <a:t> ( ∑ (xi</a:t>
          </a:r>
          <a:r>
            <a:rPr lang="en-US" sz="1100" b="0" i="0" baseline="0">
              <a:solidFill>
                <a:schemeClr val="dk1"/>
              </a:solidFill>
              <a:effectLst/>
              <a:latin typeface="+mn-lt"/>
              <a:ea typeface="+mn-ea"/>
              <a:cs typeface="+mn-cs"/>
            </a:rPr>
            <a:t>-mean value for independent variable)(yi-mean value for dependent variable)) / </a:t>
          </a:r>
          <a:r>
            <a:rPr lang="en-US" sz="1100" b="0" i="0">
              <a:solidFill>
                <a:schemeClr val="dk1"/>
              </a:solidFill>
              <a:effectLst/>
              <a:latin typeface="+mn-lt"/>
              <a:ea typeface="+mn-ea"/>
              <a:cs typeface="+mn-cs"/>
            </a:rPr>
            <a:t> ∑ (xi</a:t>
          </a:r>
          <a:r>
            <a:rPr lang="en-US" sz="1100" b="0" i="0" baseline="0">
              <a:solidFill>
                <a:schemeClr val="dk1"/>
              </a:solidFill>
              <a:effectLst/>
              <a:latin typeface="+mn-lt"/>
              <a:ea typeface="+mn-ea"/>
              <a:cs typeface="+mn-cs"/>
            </a:rPr>
            <a:t> -mean value of independent variable) squared</a:t>
          </a:r>
          <a:endParaRPr lang="en-US">
            <a:effectLst/>
          </a:endParaRPr>
        </a:p>
        <a:p>
          <a:r>
            <a:rPr lang="en-US" sz="1100">
              <a:solidFill>
                <a:schemeClr val="dk1"/>
              </a:solidFill>
              <a:effectLst/>
              <a:latin typeface="+mn-lt"/>
              <a:ea typeface="+mn-ea"/>
              <a:cs typeface="+mn-cs"/>
            </a:rPr>
            <a:t>"Cofficient</a:t>
          </a:r>
          <a:r>
            <a:rPr lang="en-US" sz="1100" baseline="0">
              <a:solidFill>
                <a:schemeClr val="dk1"/>
              </a:solidFill>
              <a:effectLst/>
              <a:latin typeface="+mn-lt"/>
              <a:ea typeface="+mn-ea"/>
              <a:cs typeface="+mn-cs"/>
            </a:rPr>
            <a:t> of determination" </a:t>
          </a:r>
          <a:r>
            <a:rPr lang="en-US" sz="1100">
              <a:solidFill>
                <a:schemeClr val="dk1"/>
              </a:solidFill>
              <a:effectLst/>
              <a:latin typeface="+mn-lt"/>
              <a:ea typeface="+mn-ea"/>
              <a:cs typeface="+mn-cs"/>
            </a:rPr>
            <a:t>R Squared</a:t>
          </a:r>
          <a:r>
            <a:rPr lang="en-US" sz="1100" baseline="0">
              <a:solidFill>
                <a:schemeClr val="dk1"/>
              </a:solidFill>
              <a:effectLst/>
              <a:latin typeface="+mn-lt"/>
              <a:ea typeface="+mn-ea"/>
              <a:cs typeface="+mn-cs"/>
            </a:rPr>
            <a:t> is SSR/SST: The percentage of variablilty that can be explained by the estimated regression equation is 90.37%. This is more than the simple linear regression which was 66.4%</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Standard error is the square root of MSE (Sqrt of (0.328))=0.573</a:t>
          </a:r>
          <a:endParaRPr lang="en-US" sz="1100"/>
        </a:p>
      </xdr:txBody>
    </xdr:sp>
    <xdr:clientData/>
  </xdr:twoCellAnchor>
  <xdr:twoCellAnchor>
    <xdr:from>
      <xdr:col>9</xdr:col>
      <xdr:colOff>157415</xdr:colOff>
      <xdr:row>14</xdr:row>
      <xdr:rowOff>142665</xdr:rowOff>
    </xdr:from>
    <xdr:to>
      <xdr:col>14</xdr:col>
      <xdr:colOff>209084</xdr:colOff>
      <xdr:row>70</xdr:row>
      <xdr:rowOff>58079</xdr:rowOff>
    </xdr:to>
    <xdr:sp macro="" textlink="">
      <xdr:nvSpPr>
        <xdr:cNvPr id="8" name="TextBox 7">
          <a:extLst>
            <a:ext uri="{FF2B5EF4-FFF2-40B4-BE49-F238E27FC236}">
              <a16:creationId xmlns:a16="http://schemas.microsoft.com/office/drawing/2014/main" id="{F73631BE-3881-909A-CFCC-9BDE558D728A}"/>
            </a:ext>
          </a:extLst>
        </xdr:cNvPr>
        <xdr:cNvSpPr txBox="1"/>
      </xdr:nvSpPr>
      <xdr:spPr>
        <a:xfrm>
          <a:off x="8578909" y="2430988"/>
          <a:ext cx="3071791" cy="9370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F test ("Overall Significance Test") is used to determine whether a significant relationship exists between the dependent variable and the set of all the independent variables. </a:t>
          </a:r>
        </a:p>
        <a:p>
          <a:r>
            <a:rPr lang="en-US" sz="1100" baseline="0"/>
            <a:t>Ho: B1=B2=...=Bp=0</a:t>
          </a:r>
        </a:p>
        <a:p>
          <a:r>
            <a:rPr lang="en-US" sz="1100"/>
            <a:t>Ha: One or more of the parameters is not equal to zero.</a:t>
          </a:r>
          <a:r>
            <a:rPr lang="en-US" sz="1100" baseline="0"/>
            <a:t> </a:t>
          </a:r>
        </a:p>
        <a:p>
          <a:endParaRPr lang="en-US" sz="1100" baseline="0"/>
        </a:p>
        <a:p>
          <a:endParaRPr lang="en-US" sz="1100" baseline="0"/>
        </a:p>
        <a:p>
          <a:r>
            <a:rPr lang="en-US" sz="1100" baseline="0"/>
            <a:t>If Ho is rejected, the test gives us sufficient statistical evidence to conclude that 1 or more of the parameters is not equal to zero and the overall relationship between y and the set of independent variables x1, x2, ... , xp is significant. Reject Ho when p value of F is &lt;= 0.05. In this case reject Ho means it is a good model.</a:t>
          </a:r>
        </a:p>
        <a:p>
          <a:endParaRPr lang="en-US" sz="1100" baseline="0"/>
        </a:p>
        <a:p>
          <a:r>
            <a:rPr lang="en-US" sz="1100" baseline="0"/>
            <a:t>F test statistic is MSR/MSE or in this case 10.8/0.328= 32.87. MSE is an unbiased estimate of the variance of the error term  </a:t>
          </a:r>
          <a:r>
            <a:rPr lang="el-GR" sz="1600" b="1" i="0">
              <a:solidFill>
                <a:schemeClr val="dk1"/>
              </a:solidFill>
              <a:effectLst/>
              <a:latin typeface="+mn-lt"/>
              <a:ea typeface="+mn-ea"/>
              <a:cs typeface="+mn-cs"/>
            </a:rPr>
            <a:t>ε</a:t>
          </a:r>
          <a:r>
            <a:rPr lang="en-US" sz="1600" b="1" i="0">
              <a:solidFill>
                <a:schemeClr val="dk1"/>
              </a:solidFill>
              <a:effectLst/>
              <a:latin typeface="+mn-lt"/>
              <a:ea typeface="+mn-ea"/>
              <a:cs typeface="+mn-cs"/>
            </a:rPr>
            <a:t>.</a:t>
          </a:r>
          <a:r>
            <a:rPr lang="en-US" sz="1600" b="1" i="0" baseline="0">
              <a:solidFill>
                <a:schemeClr val="dk1"/>
              </a:solidFill>
              <a:effectLst/>
              <a:latin typeface="+mn-lt"/>
              <a:ea typeface="+mn-ea"/>
              <a:cs typeface="+mn-cs"/>
            </a:rPr>
            <a:t> </a:t>
          </a:r>
          <a:r>
            <a:rPr lang="en-US" sz="1100" b="0" i="0" baseline="0">
              <a:solidFill>
                <a:schemeClr val="dk1"/>
              </a:solidFill>
              <a:effectLst/>
              <a:latin typeface="+mn-lt"/>
              <a:ea typeface="+mn-ea"/>
              <a:cs typeface="+mn-cs"/>
            </a:rPr>
            <a:t>If Ho were true, the F test stat would be close to 1. To determine how large it must be to reject Ho, we assume the model assumptions are valid and therefore MSR/MSE is an F distribution with p  d.f in the numerator and n-p-1 d.f. in the denominator. You would see that the critical value is 9.55 so any F test greater than 9.55, reject Ho.</a:t>
          </a:r>
        </a:p>
        <a:p>
          <a:endParaRPr lang="en-US"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While F</a:t>
          </a:r>
          <a:r>
            <a:rPr lang="en-US" sz="1100" baseline="0">
              <a:solidFill>
                <a:schemeClr val="dk1"/>
              </a:solidFill>
              <a:effectLst/>
              <a:latin typeface="+mn-lt"/>
              <a:ea typeface="+mn-ea"/>
              <a:cs typeface="+mn-cs"/>
            </a:rPr>
            <a:t> test shows an overall significance, the t test is used to determine whether each of the individual independent variables is significant. (Test of individual significance). Ho: B1=0, H0: B2=0. We can reject both with the p values 0.00045 and 0.00416. Since p value &lt;=0.01. Reject Ho for t test when test tatistic &gt; 3.499.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Note that when x1 and x2 are highly correlated (like if x2 was gas gallons used), one of them might fail the t test, but that does not mean it is not related to the depenedent variable y hat, it just means that with the correlated x1, it does not make a significant contribution to determining the value of y. Basically it does not add enough info.</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 sample correlation coefficient greater than +7 or -7 for two independent variables is a rule of thumb warning for potential problems with multicollinearity) =correl in excel for correlation coefficient. It is a similar concept to covariance except ithe formula makes it so that t is between -1 and 1.</a:t>
          </a:r>
        </a:p>
        <a:p>
          <a:pPr marL="0" marR="0" lvl="0" indent="0" defTabSz="914400" eaLnBrk="1" fontAlgn="auto" latinLnBrk="0" hangingPunct="1">
            <a:lnSpc>
              <a:spcPct val="100000"/>
            </a:lnSpc>
            <a:spcBef>
              <a:spcPts val="0"/>
            </a:spcBef>
            <a:spcAft>
              <a:spcPts val="0"/>
            </a:spcAft>
            <a:buClrTx/>
            <a:buSzTx/>
            <a:buFontTx/>
            <a:buNone/>
            <a:tabLst/>
            <a:defRPr/>
          </a:pPr>
          <a:endParaRPr lang="en-US" sz="1600">
            <a:effectLst/>
          </a:endParaRPr>
        </a:p>
        <a:p>
          <a:r>
            <a:rPr lang="en-US" sz="1100" baseline="0">
              <a:solidFill>
                <a:schemeClr val="dk1"/>
              </a:solidFill>
              <a:effectLst/>
              <a:latin typeface="+mn-lt"/>
              <a:ea typeface="+mn-ea"/>
              <a:cs typeface="+mn-cs"/>
            </a:rPr>
            <a:t>We dont do a hypothesis test for the intercept.</a:t>
          </a:r>
        </a:p>
        <a:p>
          <a:endParaRPr lang="en-US" sz="1600" baseline="0"/>
        </a:p>
        <a:p>
          <a:endParaRPr lang="en-US" sz="1100"/>
        </a:p>
      </xdr:txBody>
    </xdr:sp>
    <xdr:clientData/>
  </xdr:twoCellAnchor>
  <xdr:twoCellAnchor>
    <xdr:from>
      <xdr:col>7</xdr:col>
      <xdr:colOff>501855</xdr:colOff>
      <xdr:row>1</xdr:row>
      <xdr:rowOff>10242</xdr:rowOff>
    </xdr:from>
    <xdr:to>
      <xdr:col>11</xdr:col>
      <xdr:colOff>317500</xdr:colOff>
      <xdr:row>9</xdr:row>
      <xdr:rowOff>102419</xdr:rowOff>
    </xdr:to>
    <xdr:sp macro="" textlink="">
      <xdr:nvSpPr>
        <xdr:cNvPr id="10" name="TextBox 9">
          <a:extLst>
            <a:ext uri="{FF2B5EF4-FFF2-40B4-BE49-F238E27FC236}">
              <a16:creationId xmlns:a16="http://schemas.microsoft.com/office/drawing/2014/main" id="{ADDAD3CF-E23F-3EC9-5010-896AEC9FAF3C}"/>
            </a:ext>
          </a:extLst>
        </xdr:cNvPr>
        <xdr:cNvSpPr txBox="1"/>
      </xdr:nvSpPr>
      <xdr:spPr>
        <a:xfrm>
          <a:off x="7742903" y="174113"/>
          <a:ext cx="2273710" cy="1403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In forecasting, MSE</a:t>
          </a:r>
          <a:r>
            <a:rPr lang="en-US" sz="1100">
              <a:solidFill>
                <a:schemeClr val="dk1"/>
              </a:solidFill>
              <a:effectLst/>
              <a:latin typeface="+mn-lt"/>
              <a:ea typeface="+mn-ea"/>
              <a:cs typeface="+mn-cs"/>
            </a:rPr>
            <a:t> (mean square error)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is the average of the sum of squared forecast errors.</a:t>
          </a:r>
          <a:endParaRPr lang="en-US">
            <a:effectLst/>
          </a:endParaRPr>
        </a:p>
        <a:p>
          <a:r>
            <a:rPr lang="en-US" sz="1100" b="1">
              <a:solidFill>
                <a:schemeClr val="dk1"/>
              </a:solidFill>
              <a:effectLst/>
              <a:latin typeface="+mn-lt"/>
              <a:ea typeface="+mn-ea"/>
              <a:cs typeface="+mn-cs"/>
            </a:rPr>
            <a:t>In regression analysis </a:t>
          </a:r>
          <a:r>
            <a:rPr lang="en-US" sz="1100">
              <a:solidFill>
                <a:schemeClr val="dk1"/>
              </a:solidFill>
              <a:effectLst/>
              <a:latin typeface="+mn-lt"/>
              <a:ea typeface="+mn-ea"/>
              <a:cs typeface="+mn-cs"/>
            </a:rPr>
            <a:t>the mean square error (MSE) is the residual sum of squares divided by its degrees of freedom.  </a:t>
          </a:r>
          <a:endParaRPr lang="en-US" sz="1100"/>
        </a:p>
      </xdr:txBody>
    </xdr:sp>
    <xdr:clientData/>
  </xdr:twoCellAnchor>
  <xdr:twoCellAnchor editAs="oneCell">
    <xdr:from>
      <xdr:col>0</xdr:col>
      <xdr:colOff>104542</xdr:colOff>
      <xdr:row>51</xdr:row>
      <xdr:rowOff>139389</xdr:rowOff>
    </xdr:from>
    <xdr:to>
      <xdr:col>3</xdr:col>
      <xdr:colOff>162621</xdr:colOff>
      <xdr:row>69</xdr:row>
      <xdr:rowOff>42977</xdr:rowOff>
    </xdr:to>
    <xdr:pic>
      <xdr:nvPicPr>
        <xdr:cNvPr id="9" name="Picture 8">
          <a:extLst>
            <a:ext uri="{FF2B5EF4-FFF2-40B4-BE49-F238E27FC236}">
              <a16:creationId xmlns:a16="http://schemas.microsoft.com/office/drawing/2014/main" id="{D32E9FCE-DB62-44B9-8802-5831ECF8604F}"/>
            </a:ext>
          </a:extLst>
        </xdr:cNvPr>
        <xdr:cNvPicPr>
          <a:picLocks noChangeAspect="1"/>
        </xdr:cNvPicPr>
      </xdr:nvPicPr>
      <xdr:blipFill>
        <a:blip xmlns:r="http://schemas.openxmlformats.org/officeDocument/2006/relationships" r:embed="rId6"/>
        <a:stretch>
          <a:fillRect/>
        </a:stretch>
      </xdr:blipFill>
      <xdr:spPr>
        <a:xfrm>
          <a:off x="104542" y="8793200"/>
          <a:ext cx="4297866" cy="2830783"/>
        </a:xfrm>
        <a:prstGeom prst="rect">
          <a:avLst/>
        </a:prstGeom>
      </xdr:spPr>
    </xdr:pic>
    <xdr:clientData/>
  </xdr:twoCellAnchor>
  <xdr:twoCellAnchor editAs="oneCell">
    <xdr:from>
      <xdr:col>0</xdr:col>
      <xdr:colOff>104541</xdr:colOff>
      <xdr:row>70</xdr:row>
      <xdr:rowOff>92927</xdr:rowOff>
    </xdr:from>
    <xdr:to>
      <xdr:col>3</xdr:col>
      <xdr:colOff>290395</xdr:colOff>
      <xdr:row>88</xdr:row>
      <xdr:rowOff>112879</xdr:rowOff>
    </xdr:to>
    <xdr:pic>
      <xdr:nvPicPr>
        <xdr:cNvPr id="11" name="Picture 10">
          <a:extLst>
            <a:ext uri="{FF2B5EF4-FFF2-40B4-BE49-F238E27FC236}">
              <a16:creationId xmlns:a16="http://schemas.microsoft.com/office/drawing/2014/main" id="{1E159DE4-C3C2-4FC3-A8C9-FC982DB8700E}"/>
            </a:ext>
          </a:extLst>
        </xdr:cNvPr>
        <xdr:cNvPicPr>
          <a:picLocks noChangeAspect="1"/>
        </xdr:cNvPicPr>
      </xdr:nvPicPr>
      <xdr:blipFill>
        <a:blip xmlns:r="http://schemas.openxmlformats.org/officeDocument/2006/relationships" r:embed="rId7"/>
        <a:stretch>
          <a:fillRect/>
        </a:stretch>
      </xdr:blipFill>
      <xdr:spPr>
        <a:xfrm>
          <a:off x="104541" y="11836555"/>
          <a:ext cx="4425641" cy="29471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400050</xdr:colOff>
      <xdr:row>1</xdr:row>
      <xdr:rowOff>19050</xdr:rowOff>
    </xdr:from>
    <xdr:to>
      <xdr:col>14</xdr:col>
      <xdr:colOff>200337</xdr:colOff>
      <xdr:row>4</xdr:row>
      <xdr:rowOff>38170</xdr:rowOff>
    </xdr:to>
    <xdr:pic>
      <xdr:nvPicPr>
        <xdr:cNvPr id="2" name="Picture 1">
          <a:extLst>
            <a:ext uri="{FF2B5EF4-FFF2-40B4-BE49-F238E27FC236}">
              <a16:creationId xmlns:a16="http://schemas.microsoft.com/office/drawing/2014/main" id="{EDE5376E-FA40-B06B-4BFC-DE3380EE8453}"/>
            </a:ext>
          </a:extLst>
        </xdr:cNvPr>
        <xdr:cNvPicPr>
          <a:picLocks noChangeAspect="1"/>
        </xdr:cNvPicPr>
      </xdr:nvPicPr>
      <xdr:blipFill>
        <a:blip xmlns:r="http://schemas.openxmlformats.org/officeDocument/2006/relationships" r:embed="rId1"/>
        <a:stretch>
          <a:fillRect/>
        </a:stretch>
      </xdr:blipFill>
      <xdr:spPr>
        <a:xfrm>
          <a:off x="7562850" y="180975"/>
          <a:ext cx="2238687" cy="504895"/>
        </a:xfrm>
        <a:prstGeom prst="rect">
          <a:avLst/>
        </a:prstGeom>
      </xdr:spPr>
    </xdr:pic>
    <xdr:clientData/>
  </xdr:twoCellAnchor>
  <xdr:twoCellAnchor editAs="oneCell">
    <xdr:from>
      <xdr:col>9</xdr:col>
      <xdr:colOff>552450</xdr:colOff>
      <xdr:row>5</xdr:row>
      <xdr:rowOff>19050</xdr:rowOff>
    </xdr:from>
    <xdr:to>
      <xdr:col>15</xdr:col>
      <xdr:colOff>524382</xdr:colOff>
      <xdr:row>21</xdr:row>
      <xdr:rowOff>95622</xdr:rowOff>
    </xdr:to>
    <xdr:pic>
      <xdr:nvPicPr>
        <xdr:cNvPr id="3" name="Picture 2">
          <a:extLst>
            <a:ext uri="{FF2B5EF4-FFF2-40B4-BE49-F238E27FC236}">
              <a16:creationId xmlns:a16="http://schemas.microsoft.com/office/drawing/2014/main" id="{02B2513C-3A77-392B-0E03-8D315196D7E1}"/>
            </a:ext>
          </a:extLst>
        </xdr:cNvPr>
        <xdr:cNvPicPr>
          <a:picLocks noChangeAspect="1"/>
        </xdr:cNvPicPr>
      </xdr:nvPicPr>
      <xdr:blipFill>
        <a:blip xmlns:r="http://schemas.openxmlformats.org/officeDocument/2006/relationships" r:embed="rId2"/>
        <a:stretch>
          <a:fillRect/>
        </a:stretch>
      </xdr:blipFill>
      <xdr:spPr>
        <a:xfrm>
          <a:off x="7105650" y="828675"/>
          <a:ext cx="3629532" cy="2667372"/>
        </a:xfrm>
        <a:prstGeom prst="rect">
          <a:avLst/>
        </a:prstGeom>
      </xdr:spPr>
    </xdr:pic>
    <xdr:clientData/>
  </xdr:twoCellAnchor>
  <xdr:twoCellAnchor>
    <xdr:from>
      <xdr:col>10</xdr:col>
      <xdr:colOff>104774</xdr:colOff>
      <xdr:row>17</xdr:row>
      <xdr:rowOff>142875</xdr:rowOff>
    </xdr:from>
    <xdr:to>
      <xdr:col>15</xdr:col>
      <xdr:colOff>95249</xdr:colOff>
      <xdr:row>20</xdr:row>
      <xdr:rowOff>19050</xdr:rowOff>
    </xdr:to>
    <xdr:sp macro="" textlink="">
      <xdr:nvSpPr>
        <xdr:cNvPr id="4" name="TextBox 3">
          <a:extLst>
            <a:ext uri="{FF2B5EF4-FFF2-40B4-BE49-F238E27FC236}">
              <a16:creationId xmlns:a16="http://schemas.microsoft.com/office/drawing/2014/main" id="{9ED42118-99F8-A817-602A-3FEF37F3FBEA}"/>
            </a:ext>
          </a:extLst>
        </xdr:cNvPr>
        <xdr:cNvSpPr txBox="1"/>
      </xdr:nvSpPr>
      <xdr:spPr>
        <a:xfrm>
          <a:off x="7267574" y="2895600"/>
          <a:ext cx="30384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=MMULT(TRANSPOSE(F3:H12),F3:H12)</a:t>
          </a:r>
        </a:p>
      </xdr:txBody>
    </xdr:sp>
    <xdr:clientData/>
  </xdr:twoCellAnchor>
  <xdr:twoCellAnchor editAs="oneCell">
    <xdr:from>
      <xdr:col>1</xdr:col>
      <xdr:colOff>381000</xdr:colOff>
      <xdr:row>27</xdr:row>
      <xdr:rowOff>142875</xdr:rowOff>
    </xdr:from>
    <xdr:to>
      <xdr:col>9</xdr:col>
      <xdr:colOff>381830</xdr:colOff>
      <xdr:row>46</xdr:row>
      <xdr:rowOff>124252</xdr:rowOff>
    </xdr:to>
    <xdr:pic>
      <xdr:nvPicPr>
        <xdr:cNvPr id="6" name="Picture 5">
          <a:extLst>
            <a:ext uri="{FF2B5EF4-FFF2-40B4-BE49-F238E27FC236}">
              <a16:creationId xmlns:a16="http://schemas.microsoft.com/office/drawing/2014/main" id="{7C926275-9759-DA30-A59D-818E0AFC5925}"/>
            </a:ext>
          </a:extLst>
        </xdr:cNvPr>
        <xdr:cNvPicPr>
          <a:picLocks noChangeAspect="1"/>
        </xdr:cNvPicPr>
      </xdr:nvPicPr>
      <xdr:blipFill>
        <a:blip xmlns:r="http://schemas.openxmlformats.org/officeDocument/2006/relationships" r:embed="rId3"/>
        <a:stretch>
          <a:fillRect/>
        </a:stretch>
      </xdr:blipFill>
      <xdr:spPr>
        <a:xfrm>
          <a:off x="990600" y="4514850"/>
          <a:ext cx="5944430" cy="3057952"/>
        </a:xfrm>
        <a:prstGeom prst="rect">
          <a:avLst/>
        </a:prstGeom>
      </xdr:spPr>
    </xdr:pic>
    <xdr:clientData/>
  </xdr:twoCellAnchor>
  <xdr:twoCellAnchor editAs="oneCell">
    <xdr:from>
      <xdr:col>3</xdr:col>
      <xdr:colOff>95250</xdr:colOff>
      <xdr:row>46</xdr:row>
      <xdr:rowOff>47625</xdr:rowOff>
    </xdr:from>
    <xdr:to>
      <xdr:col>8</xdr:col>
      <xdr:colOff>495813</xdr:colOff>
      <xdr:row>60</xdr:row>
      <xdr:rowOff>19362</xdr:rowOff>
    </xdr:to>
    <xdr:pic>
      <xdr:nvPicPr>
        <xdr:cNvPr id="7" name="Picture 6">
          <a:extLst>
            <a:ext uri="{FF2B5EF4-FFF2-40B4-BE49-F238E27FC236}">
              <a16:creationId xmlns:a16="http://schemas.microsoft.com/office/drawing/2014/main" id="{9B8C319B-7B4A-F6D0-F9D4-6C0D069BF75E}"/>
            </a:ext>
          </a:extLst>
        </xdr:cNvPr>
        <xdr:cNvPicPr>
          <a:picLocks noChangeAspect="1"/>
        </xdr:cNvPicPr>
      </xdr:nvPicPr>
      <xdr:blipFill>
        <a:blip xmlns:r="http://schemas.openxmlformats.org/officeDocument/2006/relationships" r:embed="rId4"/>
        <a:stretch>
          <a:fillRect/>
        </a:stretch>
      </xdr:blipFill>
      <xdr:spPr>
        <a:xfrm>
          <a:off x="2762250" y="7496175"/>
          <a:ext cx="3677163" cy="2238687"/>
        </a:xfrm>
        <a:prstGeom prst="rect">
          <a:avLst/>
        </a:prstGeom>
      </xdr:spPr>
    </xdr:pic>
    <xdr:clientData/>
  </xdr:twoCellAnchor>
  <xdr:twoCellAnchor editAs="oneCell">
    <xdr:from>
      <xdr:col>2</xdr:col>
      <xdr:colOff>180975</xdr:colOff>
      <xdr:row>61</xdr:row>
      <xdr:rowOff>38100</xdr:rowOff>
    </xdr:from>
    <xdr:to>
      <xdr:col>10</xdr:col>
      <xdr:colOff>248456</xdr:colOff>
      <xdr:row>80</xdr:row>
      <xdr:rowOff>424</xdr:rowOff>
    </xdr:to>
    <xdr:pic>
      <xdr:nvPicPr>
        <xdr:cNvPr id="8" name="Picture 7">
          <a:extLst>
            <a:ext uri="{FF2B5EF4-FFF2-40B4-BE49-F238E27FC236}">
              <a16:creationId xmlns:a16="http://schemas.microsoft.com/office/drawing/2014/main" id="{B4180190-9574-B0EF-1051-22C9D45796BC}"/>
            </a:ext>
          </a:extLst>
        </xdr:cNvPr>
        <xdr:cNvPicPr>
          <a:picLocks noChangeAspect="1"/>
        </xdr:cNvPicPr>
      </xdr:nvPicPr>
      <xdr:blipFill>
        <a:blip xmlns:r="http://schemas.openxmlformats.org/officeDocument/2006/relationships" r:embed="rId5"/>
        <a:stretch>
          <a:fillRect/>
        </a:stretch>
      </xdr:blipFill>
      <xdr:spPr>
        <a:xfrm>
          <a:off x="1638300" y="9915525"/>
          <a:ext cx="5772956" cy="30388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266700</xdr:colOff>
      <xdr:row>1</xdr:row>
      <xdr:rowOff>9525</xdr:rowOff>
    </xdr:from>
    <xdr:to>
      <xdr:col>14</xdr:col>
      <xdr:colOff>266700</xdr:colOff>
      <xdr:row>11</xdr:row>
      <xdr:rowOff>9525</xdr:rowOff>
    </xdr:to>
    <xdr:graphicFrame macro="">
      <xdr:nvGraphicFramePr>
        <xdr:cNvPr id="2" name="Chart 1">
          <a:extLst>
            <a:ext uri="{FF2B5EF4-FFF2-40B4-BE49-F238E27FC236}">
              <a16:creationId xmlns:a16="http://schemas.microsoft.com/office/drawing/2014/main" id="{12452DE0-CA20-618C-5FAE-85D82776A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228600</xdr:colOff>
      <xdr:row>0</xdr:row>
      <xdr:rowOff>0</xdr:rowOff>
    </xdr:from>
    <xdr:to>
      <xdr:col>20</xdr:col>
      <xdr:colOff>228600</xdr:colOff>
      <xdr:row>9</xdr:row>
      <xdr:rowOff>161925</xdr:rowOff>
    </xdr:to>
    <xdr:graphicFrame macro="">
      <xdr:nvGraphicFramePr>
        <xdr:cNvPr id="3" name="Chart 2">
          <a:extLst>
            <a:ext uri="{FF2B5EF4-FFF2-40B4-BE49-F238E27FC236}">
              <a16:creationId xmlns:a16="http://schemas.microsoft.com/office/drawing/2014/main" id="{CB3A3056-3B73-780E-CFF0-C794F0FF9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7</xdr:row>
      <xdr:rowOff>66675</xdr:rowOff>
    </xdr:from>
    <xdr:to>
      <xdr:col>21</xdr:col>
      <xdr:colOff>0</xdr:colOff>
      <xdr:row>17</xdr:row>
      <xdr:rowOff>57150</xdr:rowOff>
    </xdr:to>
    <xdr:graphicFrame macro="">
      <xdr:nvGraphicFramePr>
        <xdr:cNvPr id="4" name="Chart 3">
          <a:extLst>
            <a:ext uri="{FF2B5EF4-FFF2-40B4-BE49-F238E27FC236}">
              <a16:creationId xmlns:a16="http://schemas.microsoft.com/office/drawing/2014/main" id="{99EA617D-DFFC-B898-E3C8-6F99744F5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152399</xdr:colOff>
      <xdr:row>17</xdr:row>
      <xdr:rowOff>47625</xdr:rowOff>
    </xdr:from>
    <xdr:to>
      <xdr:col>18</xdr:col>
      <xdr:colOff>314324</xdr:colOff>
      <xdr:row>33</xdr:row>
      <xdr:rowOff>104775</xdr:rowOff>
    </xdr:to>
    <xdr:graphicFrame macro="">
      <xdr:nvGraphicFramePr>
        <xdr:cNvPr id="5" name="Chart 4">
          <a:extLst>
            <a:ext uri="{FF2B5EF4-FFF2-40B4-BE49-F238E27FC236}">
              <a16:creationId xmlns:a16="http://schemas.microsoft.com/office/drawing/2014/main" id="{26732BC3-0680-CD2C-B36B-62998B0D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76200</xdr:colOff>
      <xdr:row>0</xdr:row>
      <xdr:rowOff>152400</xdr:rowOff>
    </xdr:from>
    <xdr:to>
      <xdr:col>8</xdr:col>
      <xdr:colOff>171450</xdr:colOff>
      <xdr:row>8</xdr:row>
      <xdr:rowOff>95250</xdr:rowOff>
    </xdr:to>
    <xdr:sp macro="" textlink="">
      <xdr:nvSpPr>
        <xdr:cNvPr id="7" name="TextBox 6">
          <a:extLst>
            <a:ext uri="{FF2B5EF4-FFF2-40B4-BE49-F238E27FC236}">
              <a16:creationId xmlns:a16="http://schemas.microsoft.com/office/drawing/2014/main" id="{7F1AB4BA-EAC5-3CD6-3989-29FFFDB5991B}"/>
            </a:ext>
          </a:extLst>
        </xdr:cNvPr>
        <xdr:cNvSpPr txBox="1"/>
      </xdr:nvSpPr>
      <xdr:spPr>
        <a:xfrm>
          <a:off x="2628900" y="152400"/>
          <a:ext cx="314325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performs better when constant is zero is checked which makes sense since youd</a:t>
          </a:r>
          <a:r>
            <a:rPr lang="en-US" sz="1100" baseline="0"/>
            <a:t> expect the travel hours to be zero if miles traveled and number of deliveries is zero.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419100</xdr:colOff>
      <xdr:row>4</xdr:row>
      <xdr:rowOff>76200</xdr:rowOff>
    </xdr:from>
    <xdr:to>
      <xdr:col>10</xdr:col>
      <xdr:colOff>57150</xdr:colOff>
      <xdr:row>13</xdr:row>
      <xdr:rowOff>161925</xdr:rowOff>
    </xdr:to>
    <xdr:sp macro="" textlink="">
      <xdr:nvSpPr>
        <xdr:cNvPr id="2" name="TextBox 1">
          <a:extLst>
            <a:ext uri="{FF2B5EF4-FFF2-40B4-BE49-F238E27FC236}">
              <a16:creationId xmlns:a16="http://schemas.microsoft.com/office/drawing/2014/main" id="{36EF70D4-1CC4-0B17-7EF4-C25BD6624CD0}"/>
            </a:ext>
          </a:extLst>
        </xdr:cNvPr>
        <xdr:cNvSpPr txBox="1"/>
      </xdr:nvSpPr>
      <xdr:spPr>
        <a:xfrm>
          <a:off x="3467100" y="723900"/>
          <a:ext cx="2686050"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this one i had constant is zero marked but also included a column of ones.</a:t>
          </a:r>
          <a:r>
            <a:rPr lang="en-US" sz="1100" baseline="0"/>
            <a:t> It parameter for the ones column is the same as the intercept of a multiple regression with constant is zero unchecked: </a:t>
          </a:r>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-0.868701467</a:t>
          </a:r>
          <a:r>
            <a:rPr lang="en-US"/>
            <a:t> </a:t>
          </a:r>
          <a:endParaRPr lang="en-US" sz="1100"/>
        </a:p>
      </xdr:txBody>
    </xdr:sp>
    <xdr:clientData/>
  </xdr:twoCellAnchor>
  <xdr:twoCellAnchor>
    <xdr:from>
      <xdr:col>12</xdr:col>
      <xdr:colOff>219075</xdr:colOff>
      <xdr:row>3</xdr:row>
      <xdr:rowOff>0</xdr:rowOff>
    </xdr:from>
    <xdr:to>
      <xdr:col>18</xdr:col>
      <xdr:colOff>219075</xdr:colOff>
      <xdr:row>13</xdr:row>
      <xdr:rowOff>28575</xdr:rowOff>
    </xdr:to>
    <xdr:graphicFrame macro="">
      <xdr:nvGraphicFramePr>
        <xdr:cNvPr id="3" name="Chart 2">
          <a:extLst>
            <a:ext uri="{FF2B5EF4-FFF2-40B4-BE49-F238E27FC236}">
              <a16:creationId xmlns:a16="http://schemas.microsoft.com/office/drawing/2014/main" id="{6C651748-BEF3-3341-6ECD-3779A6BBD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238125</xdr:colOff>
      <xdr:row>14</xdr:row>
      <xdr:rowOff>152400</xdr:rowOff>
    </xdr:from>
    <xdr:to>
      <xdr:col>16</xdr:col>
      <xdr:colOff>238125</xdr:colOff>
      <xdr:row>24</xdr:row>
      <xdr:rowOff>152400</xdr:rowOff>
    </xdr:to>
    <xdr:graphicFrame macro="">
      <xdr:nvGraphicFramePr>
        <xdr:cNvPr id="4" name="Chart 3">
          <a:extLst>
            <a:ext uri="{FF2B5EF4-FFF2-40B4-BE49-F238E27FC236}">
              <a16:creationId xmlns:a16="http://schemas.microsoft.com/office/drawing/2014/main" id="{7BEAE164-0A30-9411-76C7-9F762F309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238125</xdr:colOff>
      <xdr:row>16</xdr:row>
      <xdr:rowOff>152400</xdr:rowOff>
    </xdr:from>
    <xdr:to>
      <xdr:col>17</xdr:col>
      <xdr:colOff>238125</xdr:colOff>
      <xdr:row>26</xdr:row>
      <xdr:rowOff>152400</xdr:rowOff>
    </xdr:to>
    <xdr:graphicFrame macro="">
      <xdr:nvGraphicFramePr>
        <xdr:cNvPr id="5" name="Chart 4">
          <a:extLst>
            <a:ext uri="{FF2B5EF4-FFF2-40B4-BE49-F238E27FC236}">
              <a16:creationId xmlns:a16="http://schemas.microsoft.com/office/drawing/2014/main" id="{0CD840E9-25FA-70E7-68D8-F1B39C21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238125</xdr:colOff>
      <xdr:row>18</xdr:row>
      <xdr:rowOff>152400</xdr:rowOff>
    </xdr:from>
    <xdr:to>
      <xdr:col>18</xdr:col>
      <xdr:colOff>238125</xdr:colOff>
      <xdr:row>28</xdr:row>
      <xdr:rowOff>152400</xdr:rowOff>
    </xdr:to>
    <xdr:graphicFrame macro="">
      <xdr:nvGraphicFramePr>
        <xdr:cNvPr id="6" name="Chart 5">
          <a:extLst>
            <a:ext uri="{FF2B5EF4-FFF2-40B4-BE49-F238E27FC236}">
              <a16:creationId xmlns:a16="http://schemas.microsoft.com/office/drawing/2014/main" id="{75DC4E47-5239-35A6-1C89-4B1BC81A9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238125</xdr:colOff>
      <xdr:row>20</xdr:row>
      <xdr:rowOff>152400</xdr:rowOff>
    </xdr:from>
    <xdr:to>
      <xdr:col>19</xdr:col>
      <xdr:colOff>238125</xdr:colOff>
      <xdr:row>30</xdr:row>
      <xdr:rowOff>152400</xdr:rowOff>
    </xdr:to>
    <xdr:graphicFrame macro="">
      <xdr:nvGraphicFramePr>
        <xdr:cNvPr id="7" name="Chart 6">
          <a:extLst>
            <a:ext uri="{FF2B5EF4-FFF2-40B4-BE49-F238E27FC236}">
              <a16:creationId xmlns:a16="http://schemas.microsoft.com/office/drawing/2014/main" id="{E9BA7F84-8F4F-63E8-FDAA-20A073498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238125</xdr:colOff>
      <xdr:row>22</xdr:row>
      <xdr:rowOff>152400</xdr:rowOff>
    </xdr:from>
    <xdr:to>
      <xdr:col>20</xdr:col>
      <xdr:colOff>238125</xdr:colOff>
      <xdr:row>32</xdr:row>
      <xdr:rowOff>152400</xdr:rowOff>
    </xdr:to>
    <xdr:graphicFrame macro="">
      <xdr:nvGraphicFramePr>
        <xdr:cNvPr id="8" name="Chart 7">
          <a:extLst>
            <a:ext uri="{FF2B5EF4-FFF2-40B4-BE49-F238E27FC236}">
              <a16:creationId xmlns:a16="http://schemas.microsoft.com/office/drawing/2014/main" id="{37F7C37C-3D5C-69F6-18EA-6147A67A8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238125</xdr:colOff>
      <xdr:row>24</xdr:row>
      <xdr:rowOff>152400</xdr:rowOff>
    </xdr:from>
    <xdr:to>
      <xdr:col>21</xdr:col>
      <xdr:colOff>238125</xdr:colOff>
      <xdr:row>34</xdr:row>
      <xdr:rowOff>152400</xdr:rowOff>
    </xdr:to>
    <xdr:graphicFrame macro="">
      <xdr:nvGraphicFramePr>
        <xdr:cNvPr id="9" name="Chart 8">
          <a:extLst>
            <a:ext uri="{FF2B5EF4-FFF2-40B4-BE49-F238E27FC236}">
              <a16:creationId xmlns:a16="http://schemas.microsoft.com/office/drawing/2014/main" id="{B454F5D7-07AA-FA64-0767-728C6D2B5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304799</xdr:colOff>
      <xdr:row>0</xdr:row>
      <xdr:rowOff>142873</xdr:rowOff>
    </xdr:from>
    <xdr:to>
      <xdr:col>13</xdr:col>
      <xdr:colOff>247650</xdr:colOff>
      <xdr:row>10</xdr:row>
      <xdr:rowOff>19049</xdr:rowOff>
    </xdr:to>
    <xdr:sp macro="" textlink="">
      <xdr:nvSpPr>
        <xdr:cNvPr id="2" name="TextBox 1">
          <a:extLst>
            <a:ext uri="{FF2B5EF4-FFF2-40B4-BE49-F238E27FC236}">
              <a16:creationId xmlns:a16="http://schemas.microsoft.com/office/drawing/2014/main" id="{0656E4C1-0508-248F-7E1E-D2545569CCC2}"/>
            </a:ext>
          </a:extLst>
        </xdr:cNvPr>
        <xdr:cNvSpPr txBox="1"/>
      </xdr:nvSpPr>
      <xdr:spPr>
        <a:xfrm>
          <a:off x="4381499" y="142873"/>
          <a:ext cx="3905251" cy="1657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a:t>Confidence</a:t>
          </a:r>
          <a:r>
            <a:rPr lang="en-US" sz="2000" b="0" baseline="0"/>
            <a:t> Interval of mean travel time (y) for ALL trucks that: </a:t>
          </a:r>
        </a:p>
        <a:p>
          <a:pPr algn="ctr"/>
          <a:r>
            <a:rPr lang="en-US" sz="1100" baseline="0"/>
            <a:t>travel 100 miles and make 2 deliveries.</a:t>
          </a:r>
        </a:p>
        <a:p>
          <a:pPr algn="ctr"/>
          <a:endParaRPr lang="en-US" sz="1100" baseline="0"/>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need to use R studtio or Python to solve for this as excel does not work even with Xrealstats addin.</a:t>
          </a:r>
          <a:endParaRPr lang="en-US">
            <a:effectLst/>
          </a:endParaRPr>
        </a:p>
        <a:p>
          <a:pPr algn="ctr"/>
          <a:endParaRPr lang="en-US" sz="1100" baseline="0"/>
        </a:p>
        <a:p>
          <a:r>
            <a:rPr lang="en-US" sz="1100" baseline="0"/>
            <a:t> </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304799</xdr:colOff>
      <xdr:row>0</xdr:row>
      <xdr:rowOff>142874</xdr:rowOff>
    </xdr:from>
    <xdr:to>
      <xdr:col>13</xdr:col>
      <xdr:colOff>247650</xdr:colOff>
      <xdr:row>11</xdr:row>
      <xdr:rowOff>133350</xdr:rowOff>
    </xdr:to>
    <xdr:sp macro="" textlink="">
      <xdr:nvSpPr>
        <xdr:cNvPr id="2" name="TextBox 1">
          <a:extLst>
            <a:ext uri="{FF2B5EF4-FFF2-40B4-BE49-F238E27FC236}">
              <a16:creationId xmlns:a16="http://schemas.microsoft.com/office/drawing/2014/main" id="{0C673CAE-0239-4816-8AFC-88888FB5FE0C}"/>
            </a:ext>
          </a:extLst>
        </xdr:cNvPr>
        <xdr:cNvSpPr txBox="1"/>
      </xdr:nvSpPr>
      <xdr:spPr>
        <a:xfrm>
          <a:off x="4381499" y="142874"/>
          <a:ext cx="3905251" cy="1771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a:t>Prediction</a:t>
          </a:r>
          <a:r>
            <a:rPr lang="en-US" sz="2000" b="0" baseline="0"/>
            <a:t> Interval of travel time (y) for 1 specific trucks that: </a:t>
          </a:r>
        </a:p>
        <a:p>
          <a:pPr algn="ctr"/>
          <a:r>
            <a:rPr lang="en-US" sz="1100" baseline="0"/>
            <a:t>travels 100 miles and make 2 deliveries.</a:t>
          </a:r>
        </a:p>
        <a:p>
          <a:r>
            <a:rPr lang="en-US" sz="1100" baseline="0"/>
            <a:t> </a:t>
          </a:r>
        </a:p>
        <a:p>
          <a:r>
            <a:rPr lang="en-US" sz="1100" baseline="0"/>
            <a:t>need to use R studtio or Python to solve for this as excel does not work even with Xrealstats addin.</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685800</xdr:colOff>
      <xdr:row>15</xdr:row>
      <xdr:rowOff>161924</xdr:rowOff>
    </xdr:from>
    <xdr:to>
      <xdr:col>11</xdr:col>
      <xdr:colOff>514350</xdr:colOff>
      <xdr:row>33</xdr:row>
      <xdr:rowOff>38099</xdr:rowOff>
    </xdr:to>
    <xdr:sp macro="" textlink="">
      <xdr:nvSpPr>
        <xdr:cNvPr id="2" name="TextBox 1">
          <a:extLst>
            <a:ext uri="{FF2B5EF4-FFF2-40B4-BE49-F238E27FC236}">
              <a16:creationId xmlns:a16="http://schemas.microsoft.com/office/drawing/2014/main" id="{2A8BFEF0-8108-C7B9-691B-9DA6AD1BF8B8}"/>
            </a:ext>
          </a:extLst>
        </xdr:cNvPr>
        <xdr:cNvSpPr txBox="1"/>
      </xdr:nvSpPr>
      <xdr:spPr>
        <a:xfrm>
          <a:off x="5048250" y="3086099"/>
          <a:ext cx="3009900" cy="2790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Adjusted</a:t>
          </a:r>
          <a:r>
            <a:rPr lang="en-US" sz="1100" baseline="0"/>
            <a:t> Multiple Coefficient of determination (R Squared): </a:t>
          </a:r>
        </a:p>
        <a:p>
          <a:endParaRPr lang="en-US" sz="1100" baseline="0"/>
        </a:p>
        <a:p>
          <a:r>
            <a:rPr lang="en-US" sz="1100" baseline="0"/>
            <a:t>1-(1-R^2)(  (n-1)/(n-p-1))</a:t>
          </a:r>
        </a:p>
        <a:p>
          <a:endParaRPr lang="en-US" sz="1100" baseline="0"/>
        </a:p>
        <a:p>
          <a:endParaRPr lang="en-US" sz="1100" baseline="0"/>
        </a:p>
        <a:p>
          <a:r>
            <a:rPr lang="en-US" sz="1100"/>
            <a:t>Many analyst</a:t>
          </a:r>
          <a:r>
            <a:rPr lang="en-US" sz="1100" baseline="0"/>
            <a:t> prefer adjusting R Squared for the number of independent variables to avoid overstimating the impact of adding an independent variable on the amount of variability explained by the estimated regression equation. Because if a variable is added to the model, R Squared becomes larger even if the variable is not statistically significant. </a:t>
          </a:r>
          <a:endParaRPr lang="en-US" sz="1100"/>
        </a:p>
      </xdr:txBody>
    </xdr:sp>
    <xdr:clientData/>
  </xdr:twoCellAnchor>
  <xdr:twoCellAnchor>
    <xdr:from>
      <xdr:col>12</xdr:col>
      <xdr:colOff>400051</xdr:colOff>
      <xdr:row>3</xdr:row>
      <xdr:rowOff>95250</xdr:rowOff>
    </xdr:from>
    <xdr:to>
      <xdr:col>14</xdr:col>
      <xdr:colOff>457201</xdr:colOff>
      <xdr:row>10</xdr:row>
      <xdr:rowOff>123825</xdr:rowOff>
    </xdr:to>
    <xdr:sp macro="" textlink="">
      <xdr:nvSpPr>
        <xdr:cNvPr id="3" name="TextBox 2">
          <a:extLst>
            <a:ext uri="{FF2B5EF4-FFF2-40B4-BE49-F238E27FC236}">
              <a16:creationId xmlns:a16="http://schemas.microsoft.com/office/drawing/2014/main" id="{1E66E9F3-F92E-9E0E-EC00-06461574AC9B}"/>
            </a:ext>
          </a:extLst>
        </xdr:cNvPr>
        <xdr:cNvSpPr txBox="1"/>
      </xdr:nvSpPr>
      <xdr:spPr>
        <a:xfrm>
          <a:off x="8553451" y="762000"/>
          <a:ext cx="1276350"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MSR=SSR/p</a:t>
          </a:r>
        </a:p>
        <a:p>
          <a:endParaRPr lang="en-US" sz="1100"/>
        </a:p>
        <a:p>
          <a:r>
            <a:rPr lang="en-US" sz="1100"/>
            <a:t>MSE=SSE/n-p-1</a:t>
          </a:r>
        </a:p>
        <a:p>
          <a:endParaRPr lang="en-US" sz="1100"/>
        </a:p>
        <a:p>
          <a:r>
            <a:rPr lang="en-US" sz="1100"/>
            <a:t>where</a:t>
          </a:r>
          <a:r>
            <a:rPr lang="en-US" sz="1100" baseline="0"/>
            <a:t> p is # of predictors</a:t>
          </a:r>
        </a:p>
        <a:p>
          <a:endParaRPr lang="en-US" sz="1100"/>
        </a:p>
      </xdr:txBody>
    </xdr:sp>
    <xdr:clientData/>
  </xdr:twoCellAnchor>
  <xdr:twoCellAnchor>
    <xdr:from>
      <xdr:col>0</xdr:col>
      <xdr:colOff>114300</xdr:colOff>
      <xdr:row>24</xdr:row>
      <xdr:rowOff>57150</xdr:rowOff>
    </xdr:from>
    <xdr:to>
      <xdr:col>3</xdr:col>
      <xdr:colOff>228600</xdr:colOff>
      <xdr:row>32</xdr:row>
      <xdr:rowOff>9526</xdr:rowOff>
    </xdr:to>
    <xdr:sp macro="" textlink="">
      <xdr:nvSpPr>
        <xdr:cNvPr id="4" name="TextBox 3">
          <a:extLst>
            <a:ext uri="{FF2B5EF4-FFF2-40B4-BE49-F238E27FC236}">
              <a16:creationId xmlns:a16="http://schemas.microsoft.com/office/drawing/2014/main" id="{5FB8DA42-625E-ACB3-3CD0-6D230A6A64B7}"/>
            </a:ext>
          </a:extLst>
        </xdr:cNvPr>
        <xdr:cNvSpPr txBox="1"/>
      </xdr:nvSpPr>
      <xdr:spPr>
        <a:xfrm>
          <a:off x="114300" y="4438650"/>
          <a:ext cx="2705100" cy="1247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sample correlation coefficient</a:t>
          </a:r>
          <a:r>
            <a:rPr lang="en-US" sz="1100" baseline="0"/>
            <a:t> of greater than +0.7 or less than -0.7 for two </a:t>
          </a:r>
          <a:r>
            <a:rPr lang="en-US" sz="1100" b="1" baseline="0"/>
            <a:t>indepenent</a:t>
          </a:r>
          <a:r>
            <a:rPr lang="en-US" sz="1100" baseline="0"/>
            <a:t> variables is a rule of thumb warning of potential problems with multicolinearity. </a:t>
          </a:r>
        </a:p>
      </xdr:txBody>
    </xdr:sp>
    <xdr:clientData/>
  </xdr:twoCellAnchor>
  <xdr:twoCellAnchor>
    <xdr:from>
      <xdr:col>1</xdr:col>
      <xdr:colOff>571500</xdr:colOff>
      <xdr:row>0</xdr:row>
      <xdr:rowOff>47625</xdr:rowOff>
    </xdr:from>
    <xdr:to>
      <xdr:col>6</xdr:col>
      <xdr:colOff>171450</xdr:colOff>
      <xdr:row>0</xdr:row>
      <xdr:rowOff>342900</xdr:rowOff>
    </xdr:to>
    <xdr:sp macro="" textlink="">
      <xdr:nvSpPr>
        <xdr:cNvPr id="5" name="TextBox 4">
          <a:extLst>
            <a:ext uri="{FF2B5EF4-FFF2-40B4-BE49-F238E27FC236}">
              <a16:creationId xmlns:a16="http://schemas.microsoft.com/office/drawing/2014/main" id="{2D1F85C4-C514-4692-40E3-B07EFB8B629A}"/>
            </a:ext>
          </a:extLst>
        </xdr:cNvPr>
        <xdr:cNvSpPr txBox="1"/>
      </xdr:nvSpPr>
      <xdr:spPr>
        <a:xfrm>
          <a:off x="1181100" y="47625"/>
          <a:ext cx="33528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For Mutliple</a:t>
          </a:r>
          <a:r>
            <a:rPr lang="en-US" sz="1800" b="1" baseline="0"/>
            <a:t> </a:t>
          </a:r>
          <a:r>
            <a:rPr lang="en-US" sz="1800" b="1"/>
            <a:t>Regression data</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438150</xdr:colOff>
      <xdr:row>12</xdr:row>
      <xdr:rowOff>9525</xdr:rowOff>
    </xdr:from>
    <xdr:to>
      <xdr:col>11</xdr:col>
      <xdr:colOff>19050</xdr:colOff>
      <xdr:row>22</xdr:row>
      <xdr:rowOff>85725</xdr:rowOff>
    </xdr:to>
    <xdr:sp macro="" textlink="">
      <xdr:nvSpPr>
        <xdr:cNvPr id="2" name="TextBox 1">
          <a:extLst>
            <a:ext uri="{FF2B5EF4-FFF2-40B4-BE49-F238E27FC236}">
              <a16:creationId xmlns:a16="http://schemas.microsoft.com/office/drawing/2014/main" id="{C2FE673F-1D06-2D5A-1CA4-416763CCACB3}"/>
            </a:ext>
          </a:extLst>
        </xdr:cNvPr>
        <xdr:cNvSpPr txBox="1"/>
      </xdr:nvSpPr>
      <xdr:spPr>
        <a:xfrm>
          <a:off x="5686425" y="1952625"/>
          <a:ext cx="201930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Influential observations are when </a:t>
          </a:r>
          <a:endParaRPr lang="en-US">
            <a:effectLst/>
          </a:endParaRPr>
        </a:p>
        <a:p>
          <a:r>
            <a:rPr lang="en-US" sz="1100" baseline="0">
              <a:solidFill>
                <a:schemeClr val="dk1"/>
              </a:solidFill>
              <a:effectLst/>
              <a:latin typeface="+mn-lt"/>
              <a:ea typeface="+mn-ea"/>
              <a:cs typeface="+mn-cs"/>
            </a:rPr>
            <a:t>hi&gt;3(p+1)/n</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where p is # of predictors.</a:t>
          </a:r>
          <a:endParaRPr lang="en-US">
            <a:effectLst/>
          </a:endParaRPr>
        </a:p>
        <a:p>
          <a:r>
            <a:rPr lang="en-US" sz="1100"/>
            <a:t>so for 2</a:t>
          </a:r>
          <a:r>
            <a:rPr lang="en-US" sz="1100" baseline="0"/>
            <a:t> predictors, influential observations are when hi&gt;9/n</a:t>
          </a:r>
        </a:p>
        <a:p>
          <a:r>
            <a:rPr lang="en-US" sz="1100" baseline="0"/>
            <a:t>or 0.9</a:t>
          </a:r>
        </a:p>
      </xdr:txBody>
    </xdr:sp>
    <xdr:clientData/>
  </xdr:twoCellAnchor>
  <xdr:twoCellAnchor>
    <xdr:from>
      <xdr:col>19</xdr:col>
      <xdr:colOff>24216</xdr:colOff>
      <xdr:row>3</xdr:row>
      <xdr:rowOff>72649</xdr:rowOff>
    </xdr:from>
    <xdr:to>
      <xdr:col>21</xdr:col>
      <xdr:colOff>88792</xdr:colOff>
      <xdr:row>6</xdr:row>
      <xdr:rowOff>56505</xdr:rowOff>
    </xdr:to>
    <xdr:sp macro="" textlink="">
      <xdr:nvSpPr>
        <xdr:cNvPr id="3" name="TextBox 2">
          <a:extLst>
            <a:ext uri="{FF2B5EF4-FFF2-40B4-BE49-F238E27FC236}">
              <a16:creationId xmlns:a16="http://schemas.microsoft.com/office/drawing/2014/main" id="{B98708C3-AE52-96CA-7CE6-19FA441B11C7}"/>
            </a:ext>
          </a:extLst>
        </xdr:cNvPr>
        <xdr:cNvSpPr txBox="1"/>
      </xdr:nvSpPr>
      <xdr:spPr>
        <a:xfrm>
          <a:off x="13335000" y="556971"/>
          <a:ext cx="1291525" cy="4681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t>
          </a:r>
          <a:r>
            <a:rPr lang="en-US" sz="1100" baseline="0"/>
            <a:t> observation is influential if Di&gt;1</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20</xdr:col>
      <xdr:colOff>238125</xdr:colOff>
      <xdr:row>0</xdr:row>
      <xdr:rowOff>152400</xdr:rowOff>
    </xdr:from>
    <xdr:to>
      <xdr:col>26</xdr:col>
      <xdr:colOff>238125</xdr:colOff>
      <xdr:row>10</xdr:row>
      <xdr:rowOff>152400</xdr:rowOff>
    </xdr:to>
    <xdr:graphicFrame macro="">
      <xdr:nvGraphicFramePr>
        <xdr:cNvPr id="2" name="Chart 1">
          <a:extLst>
            <a:ext uri="{FF2B5EF4-FFF2-40B4-BE49-F238E27FC236}">
              <a16:creationId xmlns:a16="http://schemas.microsoft.com/office/drawing/2014/main" id="{22395D19-BAA7-0016-F659-BF497BA5C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142875</xdr:colOff>
      <xdr:row>0</xdr:row>
      <xdr:rowOff>190500</xdr:rowOff>
    </xdr:from>
    <xdr:to>
      <xdr:col>33</xdr:col>
      <xdr:colOff>142875</xdr:colOff>
      <xdr:row>7</xdr:row>
      <xdr:rowOff>161925</xdr:rowOff>
    </xdr:to>
    <xdr:graphicFrame macro="">
      <xdr:nvGraphicFramePr>
        <xdr:cNvPr id="3" name="Chart 2">
          <a:extLst>
            <a:ext uri="{FF2B5EF4-FFF2-40B4-BE49-F238E27FC236}">
              <a16:creationId xmlns:a16="http://schemas.microsoft.com/office/drawing/2014/main" id="{C4085FF0-4963-1662-DAAD-B2F1CFCCB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57149</xdr:colOff>
      <xdr:row>19</xdr:row>
      <xdr:rowOff>57151</xdr:rowOff>
    </xdr:from>
    <xdr:to>
      <xdr:col>37</xdr:col>
      <xdr:colOff>342900</xdr:colOff>
      <xdr:row>36</xdr:row>
      <xdr:rowOff>9525</xdr:rowOff>
    </xdr:to>
    <xdr:graphicFrame macro="">
      <xdr:nvGraphicFramePr>
        <xdr:cNvPr id="4" name="Chart 3">
          <a:extLst>
            <a:ext uri="{FF2B5EF4-FFF2-40B4-BE49-F238E27FC236}">
              <a16:creationId xmlns:a16="http://schemas.microsoft.com/office/drawing/2014/main" id="{4C94BF9F-ABEC-916E-401F-D52494EF2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123824</xdr:colOff>
      <xdr:row>17</xdr:row>
      <xdr:rowOff>504824</xdr:rowOff>
    </xdr:from>
    <xdr:to>
      <xdr:col>29</xdr:col>
      <xdr:colOff>457199</xdr:colOff>
      <xdr:row>30</xdr:row>
      <xdr:rowOff>76199</xdr:rowOff>
    </xdr:to>
    <xdr:graphicFrame macro="">
      <xdr:nvGraphicFramePr>
        <xdr:cNvPr id="5" name="Chart 4">
          <a:extLst>
            <a:ext uri="{FF2B5EF4-FFF2-40B4-BE49-F238E27FC236}">
              <a16:creationId xmlns:a16="http://schemas.microsoft.com/office/drawing/2014/main" id="{DA4416A9-E6B4-4490-22F8-3CCC1615C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209550</xdr:colOff>
      <xdr:row>9</xdr:row>
      <xdr:rowOff>66675</xdr:rowOff>
    </xdr:from>
    <xdr:to>
      <xdr:col>36</xdr:col>
      <xdr:colOff>209550</xdr:colOff>
      <xdr:row>18</xdr:row>
      <xdr:rowOff>266700</xdr:rowOff>
    </xdr:to>
    <xdr:graphicFrame macro="">
      <xdr:nvGraphicFramePr>
        <xdr:cNvPr id="6" name="Chart 5">
          <a:extLst>
            <a:ext uri="{FF2B5EF4-FFF2-40B4-BE49-F238E27FC236}">
              <a16:creationId xmlns:a16="http://schemas.microsoft.com/office/drawing/2014/main" id="{C2DBFABF-8266-2C28-6C60-B64477743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571499</xdr:colOff>
      <xdr:row>0</xdr:row>
      <xdr:rowOff>381000</xdr:rowOff>
    </xdr:from>
    <xdr:to>
      <xdr:col>18</xdr:col>
      <xdr:colOff>428624</xdr:colOff>
      <xdr:row>9</xdr:row>
      <xdr:rowOff>57150</xdr:rowOff>
    </xdr:to>
    <xdr:sp macro="" textlink="">
      <xdr:nvSpPr>
        <xdr:cNvPr id="7" name="TextBox 6">
          <a:extLst>
            <a:ext uri="{FF2B5EF4-FFF2-40B4-BE49-F238E27FC236}">
              <a16:creationId xmlns:a16="http://schemas.microsoft.com/office/drawing/2014/main" id="{CB8CDD63-74B1-9DCF-5159-8B4C2BC2E128}"/>
            </a:ext>
          </a:extLst>
        </xdr:cNvPr>
        <xdr:cNvSpPr txBox="1"/>
      </xdr:nvSpPr>
      <xdr:spPr>
        <a:xfrm>
          <a:off x="8096249" y="381000"/>
          <a:ext cx="2905125"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Excel File </a:t>
          </a:r>
          <a:r>
            <a:rPr lang="en-US" sz="1100" baseline="0"/>
            <a:t>"</a:t>
          </a:r>
          <a:r>
            <a:rPr lang="en-US" sz="1100"/>
            <a:t>Ch 15.7 Multiple Regression with Categorical Independent Variables &amp;  generating norm dist</a:t>
          </a:r>
          <a:r>
            <a:rPr lang="en-US" sz="1100" baseline="0"/>
            <a:t>. </a:t>
          </a:r>
          <a:r>
            <a:rPr lang="en-US" sz="1100"/>
            <a:t>correlated random data"</a:t>
          </a:r>
          <a:r>
            <a:rPr lang="en-US" sz="1100" baseline="0"/>
            <a:t> </a:t>
          </a:r>
        </a:p>
        <a:p>
          <a:endParaRPr lang="en-US" sz="1100" baseline="0"/>
        </a:p>
        <a:p>
          <a:r>
            <a:rPr lang="en-US" sz="1100" baseline="0"/>
            <a:t>shows how to make the categorical scatter plot (different color dots), shows how to do it with 3 k levels of categories and how to generate normally distributed correlated random data. </a:t>
          </a:r>
          <a:endParaRPr lang="en-US" sz="1100"/>
        </a:p>
      </xdr:txBody>
    </xdr:sp>
    <xdr:clientData/>
  </xdr:twoCellAnchor>
  <xdr:twoCellAnchor>
    <xdr:from>
      <xdr:col>3</xdr:col>
      <xdr:colOff>38100</xdr:colOff>
      <xdr:row>15</xdr:row>
      <xdr:rowOff>123825</xdr:rowOff>
    </xdr:from>
    <xdr:to>
      <xdr:col>6</xdr:col>
      <xdr:colOff>457200</xdr:colOff>
      <xdr:row>18</xdr:row>
      <xdr:rowOff>38100</xdr:rowOff>
    </xdr:to>
    <xdr:sp macro="" textlink="">
      <xdr:nvSpPr>
        <xdr:cNvPr id="8" name="TextBox 7">
          <a:extLst>
            <a:ext uri="{FF2B5EF4-FFF2-40B4-BE49-F238E27FC236}">
              <a16:creationId xmlns:a16="http://schemas.microsoft.com/office/drawing/2014/main" id="{4A07B75F-D761-4252-0693-973757CF8A12}"/>
            </a:ext>
          </a:extLst>
        </xdr:cNvPr>
        <xdr:cNvSpPr txBox="1"/>
      </xdr:nvSpPr>
      <xdr:spPr>
        <a:xfrm>
          <a:off x="1971675" y="3619500"/>
          <a:ext cx="163830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one has its own</a:t>
          </a:r>
          <a:r>
            <a:rPr lang="en-US" sz="1100" baseline="0"/>
            <a:t> excel file that shows a categorical scatter plot</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419100</xdr:colOff>
      <xdr:row>10</xdr:row>
      <xdr:rowOff>123825</xdr:rowOff>
    </xdr:from>
    <xdr:to>
      <xdr:col>8</xdr:col>
      <xdr:colOff>304800</xdr:colOff>
      <xdr:row>18</xdr:row>
      <xdr:rowOff>47625</xdr:rowOff>
    </xdr:to>
    <xdr:sp macro="" textlink="">
      <xdr:nvSpPr>
        <xdr:cNvPr id="2" name="TextBox 1">
          <a:extLst>
            <a:ext uri="{FF2B5EF4-FFF2-40B4-BE49-F238E27FC236}">
              <a16:creationId xmlns:a16="http://schemas.microsoft.com/office/drawing/2014/main" id="{8EA5F3E5-46B8-D484-5C62-90948027950A}"/>
            </a:ext>
          </a:extLst>
        </xdr:cNvPr>
        <xdr:cNvSpPr txBox="1"/>
      </xdr:nvSpPr>
      <xdr:spPr>
        <a:xfrm>
          <a:off x="1638300" y="1743075"/>
          <a:ext cx="35433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Logistic Multiple</a:t>
          </a:r>
          <a:r>
            <a:rPr lang="en-US" sz="1800" baseline="0"/>
            <a:t> Regression has its own excel file. "Ch 15.9 Logistic categorical independent  &amp; dependent variable"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447675</xdr:colOff>
      <xdr:row>0</xdr:row>
      <xdr:rowOff>152400</xdr:rowOff>
    </xdr:from>
    <xdr:to>
      <xdr:col>19</xdr:col>
      <xdr:colOff>542925</xdr:colOff>
      <xdr:row>30</xdr:row>
      <xdr:rowOff>123825</xdr:rowOff>
    </xdr:to>
    <xdr:sp macro="" textlink="">
      <xdr:nvSpPr>
        <xdr:cNvPr id="2" name="TextBox 1">
          <a:extLst>
            <a:ext uri="{FF2B5EF4-FFF2-40B4-BE49-F238E27FC236}">
              <a16:creationId xmlns:a16="http://schemas.microsoft.com/office/drawing/2014/main" id="{B529BBB1-858F-B40A-6747-E46EE4238102}"/>
            </a:ext>
          </a:extLst>
        </xdr:cNvPr>
        <xdr:cNvSpPr txBox="1"/>
      </xdr:nvSpPr>
      <xdr:spPr>
        <a:xfrm>
          <a:off x="4238625" y="152400"/>
          <a:ext cx="8629650" cy="596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For the linear model  yˆ =1.27 + 0.0678x1 , with only the miles traveled time as x1, the error sum of squares for this model was SSE 8.029.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When x2, the number of deliveries, was added as a second independent variable, we obtained the following estimated regression equation yˆ =869 + 0.0611x1 +0.923x2  The error sum of squares for this model was SSE 2.299. Clearly, adding x2 resulted in a reduction of SSE. The question we want to answer is: Does adding the variable x2 lead to a significant reduction in SSE?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We use the notation SSE(x1) to denote the error sum of squares when x1 is the only independent variable in the model, SSE(x1, x2) to denote the error sum of squares when x1 and x2 are both in the model, and so on. Hence, the reduction in SSE resulting from adding x2 to the model involving just x1 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SSE(x1) - SSE(x1, x2) = 8.029 - 2.299 = 5.730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An F test is conducted to determine whether this reduction is significant. </a:t>
          </a:r>
          <a:r>
            <a:rPr kumimoji="0" lang="en-US" sz="1100" b="0" i="0" u="none" strike="noStrike" kern="0" cap="none" spc="0" normalizeH="0" baseline="0" noProof="0">
              <a:ln>
                <a:noFill/>
              </a:ln>
              <a:solidFill>
                <a:srgbClr val="00B050"/>
              </a:solidFill>
              <a:effectLst/>
              <a:uLnTx/>
              <a:uFillTx/>
              <a:latin typeface="Arial" panose="020B0604020202020204" pitchFamily="34" charset="0"/>
              <a:ea typeface="+mn-ea"/>
              <a:cs typeface="Arial" panose="020B0604020202020204" pitchFamily="34" charset="0"/>
            </a:rPr>
            <a:t>The numerator is the reduction in SSE divided by the number of independent variables added to the original variable</a:t>
          </a: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Here only one variable, x2 has been added so the numberator of the  F statistic 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(SSE(x1) - SSE(x1, x2) ) / 1 = 5.730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and the denominator is the Mean square error of the model that includes all of the independent variables (0.3284)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So F= 5.730 / 0.3284 = 17.448239</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Ho: x2 is not statistically significant.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Reject Ho when p value of F is &lt;= 0.05.</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With p value 0.004152 we reject Ho, so adding x2 to the model involving onyly x1 results in a significant reduction in the error sum of squares.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That is the square of 4.17625125072583 (the t test value) for the x2 so this is the same result as the t test of the individual parameter x2. </a:t>
          </a:r>
          <a:r>
            <a:rPr kumimoji="0" lang="en-US" sz="1100" b="0" i="0" u="none" strike="noStrike" kern="0" cap="none" spc="0" normalizeH="0" baseline="0" noProof="0">
              <a:ln>
                <a:noFill/>
              </a:ln>
              <a:solidFill>
                <a:srgbClr val="00B050"/>
              </a:solidFill>
              <a:effectLst/>
              <a:uLnTx/>
              <a:uFillTx/>
              <a:latin typeface="Arial" panose="020B0604020202020204" pitchFamily="34" charset="0"/>
              <a:ea typeface="+mn-ea"/>
              <a:cs typeface="Arial" panose="020B0604020202020204" pitchFamily="34" charset="0"/>
            </a:rPr>
            <a:t>However if only one t test shows the parameter is not significant, then you can drop it, if more then one is shown to not be significant, you can only drop one and retest as dropping one might make the other/s significant.</a:t>
          </a:r>
        </a:p>
        <a:p>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1903-B1AA-44C1-ABF1-039D3D25DA06}">
  <dimension ref="A1:D11"/>
  <sheetViews>
    <sheetView workbookViewId="0">
      <selection activeCell="F11" sqref="F11"/>
    </sheetView>
  </sheetViews>
  <sheetFormatPr defaultRowHeight="12.75" x14ac:dyDescent="0.2"/>
  <cols>
    <col min="2" max="2" width="19.140625" customWidth="1"/>
    <col min="3" max="3" width="13" customWidth="1"/>
  </cols>
  <sheetData>
    <row r="1" spans="1:4" x14ac:dyDescent="0.2">
      <c r="A1" s="1" t="s">
        <v>0</v>
      </c>
      <c r="B1" s="1" t="s">
        <v>1</v>
      </c>
      <c r="C1" s="1" t="s">
        <v>2</v>
      </c>
      <c r="D1" s="1" t="s">
        <v>3</v>
      </c>
    </row>
    <row r="2" spans="1:4" x14ac:dyDescent="0.2">
      <c r="A2" s="1">
        <v>1</v>
      </c>
      <c r="B2" s="1">
        <v>100</v>
      </c>
      <c r="C2" s="1">
        <v>4</v>
      </c>
      <c r="D2" s="1">
        <v>9.3000000000000007</v>
      </c>
    </row>
    <row r="3" spans="1:4" x14ac:dyDescent="0.2">
      <c r="A3" s="1">
        <v>2</v>
      </c>
      <c r="B3" s="1">
        <v>50</v>
      </c>
      <c r="C3" s="1">
        <v>3</v>
      </c>
      <c r="D3" s="1">
        <v>4.8</v>
      </c>
    </row>
    <row r="4" spans="1:4" x14ac:dyDescent="0.2">
      <c r="A4" s="1">
        <v>3</v>
      </c>
      <c r="B4" s="1">
        <v>100</v>
      </c>
      <c r="C4" s="1">
        <v>4</v>
      </c>
      <c r="D4" s="1">
        <v>8.9</v>
      </c>
    </row>
    <row r="5" spans="1:4" x14ac:dyDescent="0.2">
      <c r="A5" s="1">
        <v>4</v>
      </c>
      <c r="B5" s="1">
        <v>100</v>
      </c>
      <c r="C5" s="1">
        <v>2</v>
      </c>
      <c r="D5" s="1">
        <v>6.5</v>
      </c>
    </row>
    <row r="6" spans="1:4" x14ac:dyDescent="0.2">
      <c r="A6" s="1">
        <v>5</v>
      </c>
      <c r="B6" s="1">
        <v>50</v>
      </c>
      <c r="C6" s="1">
        <v>2</v>
      </c>
      <c r="D6" s="1">
        <v>4.2</v>
      </c>
    </row>
    <row r="7" spans="1:4" x14ac:dyDescent="0.2">
      <c r="A7" s="1">
        <v>6</v>
      </c>
      <c r="B7" s="1">
        <v>80</v>
      </c>
      <c r="C7" s="1">
        <v>2</v>
      </c>
      <c r="D7" s="1">
        <v>6.2</v>
      </c>
    </row>
    <row r="8" spans="1:4" x14ac:dyDescent="0.2">
      <c r="A8" s="1">
        <v>7</v>
      </c>
      <c r="B8" s="1">
        <v>75</v>
      </c>
      <c r="C8" s="1">
        <v>3</v>
      </c>
      <c r="D8" s="1">
        <v>7.4</v>
      </c>
    </row>
    <row r="9" spans="1:4" x14ac:dyDescent="0.2">
      <c r="A9" s="1">
        <v>8</v>
      </c>
      <c r="B9" s="1">
        <v>65</v>
      </c>
      <c r="C9" s="1">
        <v>4</v>
      </c>
      <c r="D9" s="1">
        <v>6</v>
      </c>
    </row>
    <row r="10" spans="1:4" x14ac:dyDescent="0.2">
      <c r="A10" s="1">
        <v>9</v>
      </c>
      <c r="B10" s="1">
        <v>90</v>
      </c>
      <c r="C10" s="1">
        <v>3</v>
      </c>
      <c r="D10" s="1">
        <v>7.6</v>
      </c>
    </row>
    <row r="11" spans="1:4" x14ac:dyDescent="0.2">
      <c r="A11" s="1">
        <v>10</v>
      </c>
      <c r="B11" s="1">
        <v>90</v>
      </c>
      <c r="C11" s="1">
        <v>2</v>
      </c>
      <c r="D11" s="1">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
  <sheetViews>
    <sheetView workbookViewId="0">
      <selection activeCell="D10" sqref="D10"/>
    </sheetView>
  </sheetViews>
  <sheetFormatPr defaultColWidth="12.5703125" defaultRowHeight="15.75" customHeight="1" x14ac:dyDescent="0.2"/>
  <sheetData>
    <row r="1" spans="1:2" ht="12.75" x14ac:dyDescent="0.2">
      <c r="A1" s="1" t="s">
        <v>4</v>
      </c>
      <c r="B1" s="1" t="s">
        <v>5</v>
      </c>
    </row>
    <row r="2" spans="1:2" ht="12.75" x14ac:dyDescent="0.2">
      <c r="A2" s="1">
        <v>46</v>
      </c>
      <c r="B2" s="1">
        <v>3</v>
      </c>
    </row>
    <row r="3" spans="1:2" ht="12.75" x14ac:dyDescent="0.2">
      <c r="A3" s="1">
        <v>83</v>
      </c>
      <c r="B3" s="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4B44-E18E-409F-8E01-A05BE2F1E39E}">
  <sheetPr>
    <outlinePr summaryBelow="0" summaryRight="0"/>
  </sheetPr>
  <dimension ref="A1:E4"/>
  <sheetViews>
    <sheetView workbookViewId="0">
      <selection activeCell="E22" sqref="E22"/>
    </sheetView>
  </sheetViews>
  <sheetFormatPr defaultColWidth="12.5703125" defaultRowHeight="15.75" customHeight="1" x14ac:dyDescent="0.2"/>
  <sheetData>
    <row r="1" spans="1:5" ht="12.75" x14ac:dyDescent="0.2">
      <c r="A1" s="1" t="s">
        <v>4</v>
      </c>
      <c r="B1" s="1" t="s">
        <v>5</v>
      </c>
    </row>
    <row r="2" spans="1:5" ht="12.75" x14ac:dyDescent="0.2">
      <c r="A2" s="1">
        <v>46</v>
      </c>
      <c r="B2" s="1">
        <v>3</v>
      </c>
    </row>
    <row r="3" spans="1:5" ht="12.75" x14ac:dyDescent="0.2">
      <c r="A3" s="1">
        <v>83</v>
      </c>
      <c r="B3" s="1">
        <v>3</v>
      </c>
      <c r="E3">
        <f>-0.868701+0.061135*A2+0.923425*B2</f>
        <v>4.7137840000000004</v>
      </c>
    </row>
    <row r="4" spans="1:5" ht="15.75" customHeight="1" x14ac:dyDescent="0.2">
      <c r="E4">
        <f>-0.868701+0.061135*A3+0.923425*B3</f>
        <v>6.9757790000000011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F9C4-BB01-40B7-BF84-5E5758C1E625}">
  <dimension ref="A1:I61"/>
  <sheetViews>
    <sheetView tabSelected="1" zoomScale="91" zoomScaleNormal="91" workbookViewId="0">
      <selection activeCell="E5" sqref="E5"/>
    </sheetView>
  </sheetViews>
  <sheetFormatPr defaultRowHeight="12.75" x14ac:dyDescent="0.2"/>
  <cols>
    <col min="1" max="1" width="17.42578125" customWidth="1"/>
    <col min="2" max="2" width="24.28515625" customWidth="1"/>
    <col min="3" max="3" width="16.7109375" customWidth="1"/>
    <col min="6" max="6" width="12.5703125" customWidth="1"/>
  </cols>
  <sheetData>
    <row r="1" spans="1:3" x14ac:dyDescent="0.2">
      <c r="A1" s="1" t="s">
        <v>0</v>
      </c>
      <c r="B1" s="1" t="s">
        <v>1</v>
      </c>
      <c r="C1" s="1" t="s">
        <v>3</v>
      </c>
    </row>
    <row r="2" spans="1:3" x14ac:dyDescent="0.2">
      <c r="A2" s="1">
        <v>1</v>
      </c>
      <c r="B2" s="1">
        <v>100</v>
      </c>
      <c r="C2" s="1">
        <v>9.3000000000000007</v>
      </c>
    </row>
    <row r="3" spans="1:3" x14ac:dyDescent="0.2">
      <c r="A3" s="1">
        <v>2</v>
      </c>
      <c r="B3" s="1">
        <v>50</v>
      </c>
      <c r="C3" s="1">
        <v>4.8</v>
      </c>
    </row>
    <row r="4" spans="1:3" x14ac:dyDescent="0.2">
      <c r="A4" s="1">
        <v>3</v>
      </c>
      <c r="B4" s="1">
        <v>100</v>
      </c>
      <c r="C4" s="1">
        <v>8.9</v>
      </c>
    </row>
    <row r="5" spans="1:3" x14ac:dyDescent="0.2">
      <c r="A5" s="1">
        <v>4</v>
      </c>
      <c r="B5" s="1">
        <v>100</v>
      </c>
      <c r="C5" s="1">
        <v>6.5</v>
      </c>
    </row>
    <row r="6" spans="1:3" x14ac:dyDescent="0.2">
      <c r="A6" s="1">
        <v>5</v>
      </c>
      <c r="B6" s="1">
        <v>50</v>
      </c>
      <c r="C6" s="1">
        <v>4.2</v>
      </c>
    </row>
    <row r="7" spans="1:3" x14ac:dyDescent="0.2">
      <c r="A7" s="1">
        <v>6</v>
      </c>
      <c r="B7" s="1">
        <v>80</v>
      </c>
      <c r="C7" s="1">
        <v>6.2</v>
      </c>
    </row>
    <row r="8" spans="1:3" x14ac:dyDescent="0.2">
      <c r="A8" s="1">
        <v>7</v>
      </c>
      <c r="B8" s="1">
        <v>75</v>
      </c>
      <c r="C8" s="1">
        <v>7.4</v>
      </c>
    </row>
    <row r="9" spans="1:3" x14ac:dyDescent="0.2">
      <c r="A9" s="1">
        <v>8</v>
      </c>
      <c r="B9" s="1">
        <v>65</v>
      </c>
      <c r="C9" s="1">
        <v>6</v>
      </c>
    </row>
    <row r="10" spans="1:3" x14ac:dyDescent="0.2">
      <c r="A10" s="1">
        <v>9</v>
      </c>
      <c r="B10" s="1">
        <v>90</v>
      </c>
      <c r="C10" s="1">
        <v>7.6</v>
      </c>
    </row>
    <row r="11" spans="1:3" x14ac:dyDescent="0.2">
      <c r="A11" s="1">
        <v>10</v>
      </c>
      <c r="B11" s="1">
        <v>90</v>
      </c>
      <c r="C11" s="1">
        <v>6.1</v>
      </c>
    </row>
    <row r="13" spans="1:3" x14ac:dyDescent="0.2">
      <c r="A13" t="s">
        <v>6</v>
      </c>
    </row>
    <row r="14" spans="1:3" ht="13.5" thickBot="1" x14ac:dyDescent="0.25"/>
    <row r="15" spans="1:3" x14ac:dyDescent="0.2">
      <c r="A15" s="4" t="s">
        <v>7</v>
      </c>
      <c r="B15" s="4"/>
    </row>
    <row r="16" spans="1:3" x14ac:dyDescent="0.2">
      <c r="A16" t="s">
        <v>8</v>
      </c>
      <c r="B16">
        <v>0.81490570719839883</v>
      </c>
    </row>
    <row r="17" spans="1:9" x14ac:dyDescent="0.2">
      <c r="A17" t="s">
        <v>9</v>
      </c>
      <c r="B17">
        <v>0.66407131162452249</v>
      </c>
    </row>
    <row r="18" spans="1:9" x14ac:dyDescent="0.2">
      <c r="A18" t="s">
        <v>10</v>
      </c>
      <c r="B18">
        <v>0.6220802255775878</v>
      </c>
    </row>
    <row r="19" spans="1:9" x14ac:dyDescent="0.2">
      <c r="A19" t="s">
        <v>11</v>
      </c>
      <c r="B19">
        <v>1.0017918728567023</v>
      </c>
    </row>
    <row r="20" spans="1:9" ht="13.5" thickBot="1" x14ac:dyDescent="0.25">
      <c r="A20" s="2" t="s">
        <v>12</v>
      </c>
      <c r="B20" s="2">
        <v>10</v>
      </c>
    </row>
    <row r="22" spans="1:9" ht="13.5" thickBot="1" x14ac:dyDescent="0.25">
      <c r="A22" t="s">
        <v>13</v>
      </c>
    </row>
    <row r="23" spans="1:9" x14ac:dyDescent="0.2">
      <c r="A23" s="3"/>
      <c r="B23" s="3" t="s">
        <v>17</v>
      </c>
      <c r="C23" s="3" t="s">
        <v>18</v>
      </c>
      <c r="D23" s="3" t="s">
        <v>19</v>
      </c>
      <c r="E23" s="3" t="s">
        <v>20</v>
      </c>
      <c r="F23" s="3" t="s">
        <v>21</v>
      </c>
    </row>
    <row r="24" spans="1:9" x14ac:dyDescent="0.2">
      <c r="A24" t="s">
        <v>14</v>
      </c>
      <c r="B24">
        <v>1</v>
      </c>
      <c r="C24">
        <v>15.871304347826094</v>
      </c>
      <c r="D24">
        <v>15.871304347826094</v>
      </c>
      <c r="E24">
        <v>15.814578143615295</v>
      </c>
      <c r="F24">
        <v>4.0801766797898256E-3</v>
      </c>
    </row>
    <row r="25" spans="1:9" x14ac:dyDescent="0.2">
      <c r="A25" s="9" t="s">
        <v>58</v>
      </c>
      <c r="B25">
        <v>8</v>
      </c>
      <c r="C25">
        <v>8.0286956521739157</v>
      </c>
      <c r="D25">
        <v>1.0035869565217395</v>
      </c>
    </row>
    <row r="26" spans="1:9" ht="13.5" thickBot="1" x14ac:dyDescent="0.25">
      <c r="A26" s="2" t="s">
        <v>15</v>
      </c>
      <c r="B26" s="2">
        <v>9</v>
      </c>
      <c r="C26" s="2">
        <v>23.900000000000009</v>
      </c>
      <c r="D26" s="2"/>
      <c r="E26" s="2"/>
      <c r="F26" s="2"/>
      <c r="G26" s="9" t="s">
        <v>57</v>
      </c>
    </row>
    <row r="27" spans="1:9" ht="13.5" thickBot="1" x14ac:dyDescent="0.25"/>
    <row r="28" spans="1:9" x14ac:dyDescent="0.2">
      <c r="A28" s="3"/>
      <c r="B28" s="3" t="s">
        <v>22</v>
      </c>
      <c r="C28" s="3" t="s">
        <v>11</v>
      </c>
      <c r="D28" s="3" t="s">
        <v>23</v>
      </c>
      <c r="E28" s="3" t="s">
        <v>24</v>
      </c>
      <c r="F28" s="3" t="s">
        <v>25</v>
      </c>
      <c r="G28" s="3" t="s">
        <v>26</v>
      </c>
      <c r="H28" s="3" t="s">
        <v>27</v>
      </c>
      <c r="I28" s="3" t="s">
        <v>28</v>
      </c>
    </row>
    <row r="29" spans="1:9" x14ac:dyDescent="0.2">
      <c r="A29" t="s">
        <v>16</v>
      </c>
      <c r="B29">
        <v>1.2739130434782604</v>
      </c>
      <c r="C29">
        <v>1.4007445247769139</v>
      </c>
      <c r="D29">
        <v>0.90945423733221231</v>
      </c>
      <c r="E29">
        <v>0.38968736066479526</v>
      </c>
      <c r="F29">
        <v>-1.9562096230218988</v>
      </c>
      <c r="G29">
        <v>4.5040357099784192</v>
      </c>
      <c r="H29">
        <v>-3.4261273893928141</v>
      </c>
      <c r="I29">
        <v>5.9739534763493349</v>
      </c>
    </row>
    <row r="30" spans="1:9" ht="13.5" thickBot="1" x14ac:dyDescent="0.25">
      <c r="A30" s="2" t="s">
        <v>1</v>
      </c>
      <c r="B30" s="2">
        <v>6.7826086956521744E-2</v>
      </c>
      <c r="C30" s="2">
        <v>1.7055637484606118E-2</v>
      </c>
      <c r="D30" s="2">
        <v>3.9767547251012698</v>
      </c>
      <c r="E30" s="2">
        <v>4.0801766797898256E-3</v>
      </c>
      <c r="F30" s="2">
        <v>2.8495716388476838E-2</v>
      </c>
      <c r="G30" s="2">
        <v>0.10715645752456665</v>
      </c>
      <c r="H30" s="2">
        <v>1.0597817012859403E-2</v>
      </c>
      <c r="I30" s="2">
        <v>0.12505435690018407</v>
      </c>
    </row>
    <row r="34" spans="1:7" x14ac:dyDescent="0.2">
      <c r="A34" t="s">
        <v>29</v>
      </c>
      <c r="F34" t="s">
        <v>34</v>
      </c>
    </row>
    <row r="35" spans="1:7" ht="13.5" thickBot="1" x14ac:dyDescent="0.25"/>
    <row r="36" spans="1:7" x14ac:dyDescent="0.2">
      <c r="A36" s="3" t="s">
        <v>30</v>
      </c>
      <c r="B36" s="3" t="s">
        <v>31</v>
      </c>
      <c r="C36" s="3" t="s">
        <v>32</v>
      </c>
      <c r="D36" s="3" t="s">
        <v>33</v>
      </c>
      <c r="F36" s="3" t="s">
        <v>35</v>
      </c>
      <c r="G36" s="3" t="s">
        <v>3</v>
      </c>
    </row>
    <row r="37" spans="1:7" x14ac:dyDescent="0.2">
      <c r="A37">
        <v>1</v>
      </c>
      <c r="B37">
        <v>8.0565217391304351</v>
      </c>
      <c r="C37">
        <v>1.2434782608695656</v>
      </c>
      <c r="D37">
        <v>1.3165487777589957</v>
      </c>
      <c r="F37">
        <v>5</v>
      </c>
      <c r="G37">
        <v>4.2</v>
      </c>
    </row>
    <row r="38" spans="1:7" x14ac:dyDescent="0.2">
      <c r="A38">
        <v>2</v>
      </c>
      <c r="B38">
        <v>4.6652173913043473</v>
      </c>
      <c r="C38">
        <v>0.13478260869565251</v>
      </c>
      <c r="D38">
        <v>0.14270283954730403</v>
      </c>
      <c r="F38">
        <v>15</v>
      </c>
      <c r="G38">
        <v>4.8</v>
      </c>
    </row>
    <row r="39" spans="1:7" x14ac:dyDescent="0.2">
      <c r="A39">
        <v>3</v>
      </c>
      <c r="B39">
        <v>8.0565217391304351</v>
      </c>
      <c r="C39">
        <v>0.84347826086956523</v>
      </c>
      <c r="D39">
        <v>0.89304357652183597</v>
      </c>
      <c r="F39">
        <v>25</v>
      </c>
      <c r="G39">
        <v>6</v>
      </c>
    </row>
    <row r="40" spans="1:7" x14ac:dyDescent="0.2">
      <c r="A40">
        <v>4</v>
      </c>
      <c r="B40">
        <v>8.0565217391304351</v>
      </c>
      <c r="C40">
        <v>-1.5565217391304351</v>
      </c>
      <c r="D40">
        <v>-1.6479876309011203</v>
      </c>
      <c r="F40">
        <v>35</v>
      </c>
      <c r="G40">
        <v>6.1</v>
      </c>
    </row>
    <row r="41" spans="1:7" x14ac:dyDescent="0.2">
      <c r="A41">
        <v>5</v>
      </c>
      <c r="B41">
        <v>4.6652173913043473</v>
      </c>
      <c r="C41">
        <v>-0.46521739130434714</v>
      </c>
      <c r="D41">
        <v>-0.4925549623084346</v>
      </c>
      <c r="F41">
        <v>45</v>
      </c>
      <c r="G41">
        <v>6.2</v>
      </c>
    </row>
    <row r="42" spans="1:7" x14ac:dyDescent="0.2">
      <c r="A42">
        <v>6</v>
      </c>
      <c r="B42">
        <v>6.7</v>
      </c>
      <c r="C42">
        <v>-0.5</v>
      </c>
      <c r="D42">
        <v>-0.52938150154644914</v>
      </c>
      <c r="F42">
        <v>55</v>
      </c>
      <c r="G42">
        <v>6.5</v>
      </c>
    </row>
    <row r="43" spans="1:7" x14ac:dyDescent="0.2">
      <c r="A43">
        <v>7</v>
      </c>
      <c r="B43">
        <v>6.3608695652173912</v>
      </c>
      <c r="C43">
        <v>1.0391304347826091</v>
      </c>
      <c r="D43">
        <v>1.1001928597356643</v>
      </c>
      <c r="F43">
        <v>65</v>
      </c>
      <c r="G43">
        <v>7.4</v>
      </c>
    </row>
    <row r="44" spans="1:7" x14ac:dyDescent="0.2">
      <c r="A44">
        <v>8</v>
      </c>
      <c r="B44">
        <v>5.6826086956521742</v>
      </c>
      <c r="C44">
        <v>0.31739130434782581</v>
      </c>
      <c r="D44">
        <v>0.33604217054687613</v>
      </c>
      <c r="F44">
        <v>75</v>
      </c>
      <c r="G44">
        <v>7.6</v>
      </c>
    </row>
    <row r="45" spans="1:7" x14ac:dyDescent="0.2">
      <c r="A45">
        <v>9</v>
      </c>
      <c r="B45">
        <v>7.3782608695652172</v>
      </c>
      <c r="C45">
        <v>0.22173913043478244</v>
      </c>
      <c r="D45">
        <v>0.23476918764233815</v>
      </c>
      <c r="F45">
        <v>85</v>
      </c>
      <c r="G45">
        <v>8.9</v>
      </c>
    </row>
    <row r="46" spans="1:7" ht="13.5" thickBot="1" x14ac:dyDescent="0.25">
      <c r="A46" s="2">
        <v>10</v>
      </c>
      <c r="B46" s="2">
        <v>7.3782608695652172</v>
      </c>
      <c r="C46" s="2">
        <v>-1.2782608695652176</v>
      </c>
      <c r="D46" s="2">
        <v>-1.3533753169970093</v>
      </c>
      <c r="F46" s="2">
        <v>95</v>
      </c>
      <c r="G46" s="2">
        <v>9.3000000000000007</v>
      </c>
    </row>
    <row r="50" spans="1:5" ht="13.5" thickBot="1" x14ac:dyDescent="0.25"/>
    <row r="51" spans="1:5" ht="25.5" x14ac:dyDescent="0.2">
      <c r="A51" s="5" t="s">
        <v>38</v>
      </c>
      <c r="B51" s="5" t="s">
        <v>39</v>
      </c>
      <c r="C51" s="6" t="s">
        <v>40</v>
      </c>
    </row>
    <row r="52" spans="1:5" x14ac:dyDescent="0.2">
      <c r="A52">
        <v>1</v>
      </c>
      <c r="B52">
        <v>-1.55</v>
      </c>
      <c r="C52">
        <v>-1.6479876309011203</v>
      </c>
      <c r="D52">
        <v>-2</v>
      </c>
      <c r="E52">
        <v>-2</v>
      </c>
    </row>
    <row r="53" spans="1:5" x14ac:dyDescent="0.2">
      <c r="A53">
        <v>2</v>
      </c>
      <c r="B53">
        <v>-1</v>
      </c>
      <c r="C53">
        <v>-1.3533753169970093</v>
      </c>
      <c r="D53">
        <v>0</v>
      </c>
      <c r="E53">
        <v>0</v>
      </c>
    </row>
    <row r="54" spans="1:5" x14ac:dyDescent="0.2">
      <c r="A54">
        <v>3</v>
      </c>
      <c r="B54">
        <v>-0.65</v>
      </c>
      <c r="C54">
        <v>-0.52938150154644914</v>
      </c>
      <c r="D54">
        <v>2</v>
      </c>
      <c r="E54">
        <v>2</v>
      </c>
    </row>
    <row r="55" spans="1:5" x14ac:dyDescent="0.2">
      <c r="A55">
        <v>4</v>
      </c>
      <c r="B55">
        <v>-0.37</v>
      </c>
      <c r="C55">
        <v>-0.4925549623084346</v>
      </c>
    </row>
    <row r="56" spans="1:5" x14ac:dyDescent="0.2">
      <c r="A56">
        <v>5</v>
      </c>
      <c r="B56">
        <v>-0.12</v>
      </c>
      <c r="C56">
        <v>0.14270283954730403</v>
      </c>
    </row>
    <row r="57" spans="1:5" x14ac:dyDescent="0.2">
      <c r="A57">
        <v>6</v>
      </c>
      <c r="B57">
        <v>0.12</v>
      </c>
      <c r="C57">
        <v>0.23476918764233815</v>
      </c>
    </row>
    <row r="58" spans="1:5" x14ac:dyDescent="0.2">
      <c r="A58">
        <v>7</v>
      </c>
      <c r="B58">
        <v>0.37</v>
      </c>
      <c r="C58">
        <v>0.33604217054687613</v>
      </c>
    </row>
    <row r="59" spans="1:5" x14ac:dyDescent="0.2">
      <c r="A59">
        <v>8</v>
      </c>
      <c r="B59">
        <v>0.65</v>
      </c>
      <c r="C59">
        <v>0.89304357652183597</v>
      </c>
    </row>
    <row r="60" spans="1:5" x14ac:dyDescent="0.2">
      <c r="A60">
        <v>9</v>
      </c>
      <c r="B60">
        <v>1</v>
      </c>
      <c r="C60">
        <v>1.1001928597356643</v>
      </c>
    </row>
    <row r="61" spans="1:5" ht="13.5" thickBot="1" x14ac:dyDescent="0.25">
      <c r="A61">
        <v>10</v>
      </c>
      <c r="B61">
        <v>1.55</v>
      </c>
      <c r="C61" s="2">
        <v>1.3165487777589957</v>
      </c>
    </row>
  </sheetData>
  <sortState xmlns:xlrd2="http://schemas.microsoft.com/office/spreadsheetml/2017/richdata2" ref="C52:C61">
    <sortCondition ref="C52:C61"/>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C24F-1555-431D-AE5D-DE5C71DE4390}">
  <dimension ref="A1:P59"/>
  <sheetViews>
    <sheetView topLeftCell="A7" zoomScale="82" zoomScaleNormal="82" workbookViewId="0">
      <selection sqref="A1:D11"/>
    </sheetView>
  </sheetViews>
  <sheetFormatPr defaultRowHeight="12.75" x14ac:dyDescent="0.2"/>
  <cols>
    <col min="1" max="1" width="20" customWidth="1"/>
    <col min="2" max="2" width="21.140625" customWidth="1"/>
    <col min="3" max="3" width="22.42578125" customWidth="1"/>
    <col min="4" max="4" width="17.42578125" customWidth="1"/>
    <col min="16" max="16" width="21.5703125" bestFit="1" customWidth="1"/>
  </cols>
  <sheetData>
    <row r="1" spans="1:4" x14ac:dyDescent="0.2">
      <c r="A1" s="1" t="s">
        <v>0</v>
      </c>
      <c r="B1" s="1" t="s">
        <v>1</v>
      </c>
      <c r="C1" s="1" t="s">
        <v>2</v>
      </c>
      <c r="D1" s="1" t="s">
        <v>3</v>
      </c>
    </row>
    <row r="2" spans="1:4" x14ac:dyDescent="0.2">
      <c r="A2" s="1">
        <v>1</v>
      </c>
      <c r="B2" s="1">
        <v>100</v>
      </c>
      <c r="C2" s="1">
        <v>4</v>
      </c>
      <c r="D2" s="1">
        <v>9.3000000000000007</v>
      </c>
    </row>
    <row r="3" spans="1:4" x14ac:dyDescent="0.2">
      <c r="A3" s="1">
        <v>2</v>
      </c>
      <c r="B3" s="1">
        <v>50</v>
      </c>
      <c r="C3" s="1">
        <v>3</v>
      </c>
      <c r="D3" s="1">
        <v>4.8</v>
      </c>
    </row>
    <row r="4" spans="1:4" x14ac:dyDescent="0.2">
      <c r="A4" s="1">
        <v>3</v>
      </c>
      <c r="B4" s="1">
        <v>100</v>
      </c>
      <c r="C4" s="1">
        <v>4</v>
      </c>
      <c r="D4" s="1">
        <v>8.9</v>
      </c>
    </row>
    <row r="5" spans="1:4" x14ac:dyDescent="0.2">
      <c r="A5" s="1">
        <v>4</v>
      </c>
      <c r="B5" s="1">
        <v>100</v>
      </c>
      <c r="C5" s="1">
        <v>2</v>
      </c>
      <c r="D5" s="1">
        <v>6.5</v>
      </c>
    </row>
    <row r="6" spans="1:4" x14ac:dyDescent="0.2">
      <c r="A6" s="1">
        <v>5</v>
      </c>
      <c r="B6" s="1">
        <v>50</v>
      </c>
      <c r="C6" s="1">
        <v>2</v>
      </c>
      <c r="D6" s="1">
        <v>4.2</v>
      </c>
    </row>
    <row r="7" spans="1:4" x14ac:dyDescent="0.2">
      <c r="A7" s="1">
        <v>6</v>
      </c>
      <c r="B7" s="1">
        <v>80</v>
      </c>
      <c r="C7" s="1">
        <v>2</v>
      </c>
      <c r="D7" s="1">
        <v>6.2</v>
      </c>
    </row>
    <row r="8" spans="1:4" x14ac:dyDescent="0.2">
      <c r="A8" s="1">
        <v>7</v>
      </c>
      <c r="B8" s="1">
        <v>75</v>
      </c>
      <c r="C8" s="1">
        <v>3</v>
      </c>
      <c r="D8" s="1">
        <v>7.4</v>
      </c>
    </row>
    <row r="9" spans="1:4" x14ac:dyDescent="0.2">
      <c r="A9" s="1">
        <v>8</v>
      </c>
      <c r="B9" s="1">
        <v>65</v>
      </c>
      <c r="C9" s="1">
        <v>4</v>
      </c>
      <c r="D9" s="1">
        <v>6</v>
      </c>
    </row>
    <row r="10" spans="1:4" x14ac:dyDescent="0.2">
      <c r="A10" s="1">
        <v>9</v>
      </c>
      <c r="B10" s="1">
        <v>90</v>
      </c>
      <c r="C10" s="1">
        <v>3</v>
      </c>
      <c r="D10" s="1">
        <v>7.6</v>
      </c>
    </row>
    <row r="11" spans="1:4" x14ac:dyDescent="0.2">
      <c r="A11" s="1">
        <v>10</v>
      </c>
      <c r="B11" s="1">
        <v>90</v>
      </c>
      <c r="C11" s="1">
        <v>2</v>
      </c>
      <c r="D11" s="1">
        <v>6.1</v>
      </c>
    </row>
    <row r="13" spans="1:4" x14ac:dyDescent="0.2">
      <c r="A13" t="s">
        <v>6</v>
      </c>
    </row>
    <row r="14" spans="1:4" ht="13.5" thickBot="1" x14ac:dyDescent="0.25"/>
    <row r="15" spans="1:4" x14ac:dyDescent="0.2">
      <c r="A15" s="4" t="s">
        <v>7</v>
      </c>
      <c r="B15" s="4"/>
    </row>
    <row r="16" spans="1:4" x14ac:dyDescent="0.2">
      <c r="A16" t="s">
        <v>8</v>
      </c>
      <c r="B16">
        <v>0.95067816609568934</v>
      </c>
    </row>
    <row r="17" spans="1:9" x14ac:dyDescent="0.2">
      <c r="A17" t="s">
        <v>9</v>
      </c>
      <c r="B17">
        <v>0.90378897549106318</v>
      </c>
    </row>
    <row r="18" spans="1:9" x14ac:dyDescent="0.2">
      <c r="A18" t="s">
        <v>10</v>
      </c>
      <c r="B18">
        <v>0.87630011134565267</v>
      </c>
    </row>
    <row r="19" spans="1:9" x14ac:dyDescent="0.2">
      <c r="A19" t="s">
        <v>11</v>
      </c>
      <c r="B19">
        <v>0.573142152120794</v>
      </c>
    </row>
    <row r="20" spans="1:9" ht="13.5" thickBot="1" x14ac:dyDescent="0.25">
      <c r="A20" s="2" t="s">
        <v>12</v>
      </c>
      <c r="B20" s="2">
        <v>10</v>
      </c>
    </row>
    <row r="22" spans="1:9" ht="13.5" thickBot="1" x14ac:dyDescent="0.25">
      <c r="A22" t="s">
        <v>13</v>
      </c>
    </row>
    <row r="23" spans="1:9" x14ac:dyDescent="0.2">
      <c r="A23" s="3"/>
      <c r="B23" s="3" t="s">
        <v>17</v>
      </c>
      <c r="C23" s="3" t="s">
        <v>18</v>
      </c>
      <c r="D23" s="3" t="s">
        <v>19</v>
      </c>
      <c r="E23" s="3" t="s">
        <v>20</v>
      </c>
      <c r="F23" s="3" t="s">
        <v>21</v>
      </c>
    </row>
    <row r="24" spans="1:9" x14ac:dyDescent="0.2">
      <c r="A24" t="s">
        <v>14</v>
      </c>
      <c r="B24">
        <v>2</v>
      </c>
      <c r="C24">
        <v>21.60055651423642</v>
      </c>
      <c r="D24">
        <v>10.80027825711821</v>
      </c>
      <c r="E24">
        <v>32.878367425812982</v>
      </c>
      <c r="F24">
        <v>2.7624023671350955E-4</v>
      </c>
      <c r="H24" s="10"/>
    </row>
    <row r="25" spans="1:9" x14ac:dyDescent="0.2">
      <c r="A25" s="9" t="s">
        <v>58</v>
      </c>
      <c r="B25">
        <v>7</v>
      </c>
      <c r="C25">
        <v>2.2994434857635899</v>
      </c>
      <c r="D25">
        <v>0.32849192653765602</v>
      </c>
      <c r="H25" s="10"/>
    </row>
    <row r="26" spans="1:9" ht="13.5" thickBot="1" x14ac:dyDescent="0.25">
      <c r="A26" s="2" t="s">
        <v>15</v>
      </c>
      <c r="B26" s="2">
        <v>9</v>
      </c>
      <c r="C26" s="2">
        <v>23.900000000000009</v>
      </c>
      <c r="D26" s="2"/>
      <c r="E26" s="2"/>
      <c r="F26" s="2"/>
      <c r="H26" s="10"/>
    </row>
    <row r="27" spans="1:9" ht="13.5" thickBot="1" x14ac:dyDescent="0.25"/>
    <row r="28" spans="1:9" x14ac:dyDescent="0.2">
      <c r="A28" s="3"/>
      <c r="B28" s="3" t="s">
        <v>22</v>
      </c>
      <c r="C28" s="3" t="s">
        <v>11</v>
      </c>
      <c r="D28" s="3" t="s">
        <v>23</v>
      </c>
      <c r="E28" s="3" t="s">
        <v>24</v>
      </c>
      <c r="F28" s="3" t="s">
        <v>25</v>
      </c>
      <c r="G28" s="3" t="s">
        <v>26</v>
      </c>
      <c r="H28" s="3" t="s">
        <v>27</v>
      </c>
      <c r="I28" s="3" t="s">
        <v>28</v>
      </c>
    </row>
    <row r="29" spans="1:9" x14ac:dyDescent="0.2">
      <c r="A29" t="s">
        <v>16</v>
      </c>
      <c r="B29">
        <v>-0.86870146678170856</v>
      </c>
      <c r="C29">
        <v>0.95154772466595794</v>
      </c>
      <c r="D29">
        <v>-0.91293525722702695</v>
      </c>
      <c r="E29">
        <v>0.39163430402274407</v>
      </c>
      <c r="F29">
        <v>-3.1187542930747667</v>
      </c>
      <c r="G29">
        <v>1.3813513595113496</v>
      </c>
      <c r="H29">
        <v>-4.1986268358820951</v>
      </c>
      <c r="I29">
        <v>2.4612239023186784</v>
      </c>
    </row>
    <row r="30" spans="1:9" x14ac:dyDescent="0.2">
      <c r="A30" t="s">
        <v>1</v>
      </c>
      <c r="B30">
        <v>6.1134598792062123E-2</v>
      </c>
      <c r="C30">
        <v>9.8884945761813295E-3</v>
      </c>
      <c r="D30">
        <v>6.1823969585136442</v>
      </c>
      <c r="E30">
        <v>4.5296079321212562E-4</v>
      </c>
      <c r="F30">
        <v>3.7752024705480031E-2</v>
      </c>
      <c r="G30">
        <v>8.4517172878644214E-2</v>
      </c>
      <c r="H30">
        <v>2.6529977186774599E-2</v>
      </c>
      <c r="I30">
        <v>9.5739220397349639E-2</v>
      </c>
    </row>
    <row r="31" spans="1:9" ht="13.5" thickBot="1" x14ac:dyDescent="0.25">
      <c r="A31" s="2" t="s">
        <v>2</v>
      </c>
      <c r="B31" s="2">
        <v>0.92342536669542719</v>
      </c>
      <c r="C31" s="2">
        <v>0.22111346067479429</v>
      </c>
      <c r="D31" s="2">
        <v>4.17625125072583</v>
      </c>
      <c r="E31" s="2">
        <v>4.1566220112781958E-3</v>
      </c>
      <c r="F31" s="2">
        <v>0.40057511523020106</v>
      </c>
      <c r="G31" s="2">
        <v>1.4462756181606533</v>
      </c>
      <c r="H31" s="2">
        <v>0.14964250424461911</v>
      </c>
      <c r="I31" s="2">
        <v>1.6972082291462351</v>
      </c>
    </row>
    <row r="35" spans="1:16" x14ac:dyDescent="0.2">
      <c r="A35" t="s">
        <v>29</v>
      </c>
      <c r="F35" t="s">
        <v>34</v>
      </c>
    </row>
    <row r="36" spans="1:16" ht="34.5" customHeight="1" thickBot="1" x14ac:dyDescent="0.25">
      <c r="C36" t="s">
        <v>36</v>
      </c>
      <c r="D36" s="5" t="s">
        <v>37</v>
      </c>
    </row>
    <row r="37" spans="1:16" x14ac:dyDescent="0.2">
      <c r="A37" s="3" t="s">
        <v>30</v>
      </c>
      <c r="B37" s="3" t="s">
        <v>31</v>
      </c>
      <c r="C37" s="3" t="s">
        <v>32</v>
      </c>
      <c r="D37" s="3" t="s">
        <v>33</v>
      </c>
      <c r="F37" s="3" t="s">
        <v>35</v>
      </c>
      <c r="G37" s="3" t="s">
        <v>3</v>
      </c>
    </row>
    <row r="38" spans="1:16" x14ac:dyDescent="0.2">
      <c r="A38">
        <v>1</v>
      </c>
      <c r="B38">
        <v>8.9384598792062135</v>
      </c>
      <c r="C38">
        <v>0.36154012079378717</v>
      </c>
      <c r="D38">
        <v>0.71526402684852319</v>
      </c>
      <c r="F38">
        <v>5</v>
      </c>
      <c r="G38">
        <v>4.2</v>
      </c>
    </row>
    <row r="39" spans="1:16" x14ac:dyDescent="0.2">
      <c r="A39">
        <v>2</v>
      </c>
      <c r="B39">
        <v>4.9583045729076787</v>
      </c>
      <c r="C39">
        <v>-0.15830457290767885</v>
      </c>
      <c r="D39">
        <v>-0.31318672472056047</v>
      </c>
      <c r="F39">
        <v>15</v>
      </c>
      <c r="G39">
        <v>4.8</v>
      </c>
    </row>
    <row r="40" spans="1:16" x14ac:dyDescent="0.2">
      <c r="A40">
        <v>3</v>
      </c>
      <c r="B40">
        <v>8.9384598792062135</v>
      </c>
      <c r="C40">
        <v>-3.8459879206213188E-2</v>
      </c>
      <c r="D40">
        <v>-7.60882858940964E-2</v>
      </c>
      <c r="F40">
        <v>25</v>
      </c>
      <c r="G40">
        <v>6</v>
      </c>
    </row>
    <row r="41" spans="1:16" x14ac:dyDescent="0.2">
      <c r="A41">
        <v>4</v>
      </c>
      <c r="B41">
        <v>7.0916091458153589</v>
      </c>
      <c r="C41">
        <v>-0.59160914581535895</v>
      </c>
      <c r="D41">
        <v>-1.1704281644516739</v>
      </c>
      <c r="F41">
        <v>35</v>
      </c>
      <c r="G41">
        <v>6.1</v>
      </c>
      <c r="P41" s="10" t="s">
        <v>60</v>
      </c>
    </row>
    <row r="42" spans="1:16" x14ac:dyDescent="0.2">
      <c r="A42">
        <v>5</v>
      </c>
      <c r="B42">
        <v>4.0348792062122518</v>
      </c>
      <c r="C42">
        <v>0.16512079378774835</v>
      </c>
      <c r="D42">
        <v>0.32667180511457927</v>
      </c>
      <c r="F42">
        <v>45</v>
      </c>
      <c r="G42">
        <v>6.2</v>
      </c>
      <c r="P42">
        <v>0.01</v>
      </c>
    </row>
    <row r="43" spans="1:16" x14ac:dyDescent="0.2">
      <c r="A43">
        <v>6</v>
      </c>
      <c r="B43">
        <v>5.8689171699741154</v>
      </c>
      <c r="C43">
        <v>0.33108283002588479</v>
      </c>
      <c r="D43">
        <v>0.65500790812588827</v>
      </c>
      <c r="F43">
        <v>55</v>
      </c>
      <c r="G43">
        <v>6.5</v>
      </c>
    </row>
    <row r="44" spans="1:16" x14ac:dyDescent="0.2">
      <c r="A44">
        <v>7</v>
      </c>
      <c r="B44">
        <v>6.4866695427092314</v>
      </c>
      <c r="C44">
        <v>0.913330457290769</v>
      </c>
      <c r="D44">
        <v>1.8069154241883092</v>
      </c>
      <c r="F44">
        <v>65</v>
      </c>
      <c r="G44">
        <v>7.4</v>
      </c>
      <c r="P44" s="10" t="s">
        <v>59</v>
      </c>
    </row>
    <row r="45" spans="1:16" x14ac:dyDescent="0.2">
      <c r="A45">
        <v>8</v>
      </c>
      <c r="B45">
        <v>6.7987489214840382</v>
      </c>
      <c r="C45">
        <v>-0.7987489214840382</v>
      </c>
      <c r="D45">
        <v>-1.5802295157926654</v>
      </c>
      <c r="F45">
        <v>75</v>
      </c>
      <c r="G45">
        <v>7.6</v>
      </c>
      <c r="P45" s="11">
        <f>_xlfn.F.INV.RT(P42,2,7)</f>
        <v>9.5465780211022917</v>
      </c>
    </row>
    <row r="46" spans="1:16" x14ac:dyDescent="0.2">
      <c r="A46">
        <v>9</v>
      </c>
      <c r="B46">
        <v>7.403688524590164</v>
      </c>
      <c r="C46">
        <v>0.19631147540983562</v>
      </c>
      <c r="D46">
        <v>0.38837885020872293</v>
      </c>
      <c r="F46">
        <v>85</v>
      </c>
      <c r="G46">
        <v>8.9</v>
      </c>
    </row>
    <row r="47" spans="1:16" ht="13.5" thickBot="1" x14ac:dyDescent="0.25">
      <c r="A47" s="2">
        <v>10</v>
      </c>
      <c r="B47" s="2">
        <v>6.4802631578947372</v>
      </c>
      <c r="C47" s="2">
        <v>-0.38026315789473752</v>
      </c>
      <c r="D47" s="2">
        <v>-0.7523053236270304</v>
      </c>
      <c r="F47" s="2">
        <v>95</v>
      </c>
      <c r="G47" s="2">
        <v>9.3000000000000007</v>
      </c>
      <c r="P47" s="10" t="s">
        <v>61</v>
      </c>
    </row>
    <row r="48" spans="1:16" x14ac:dyDescent="0.2">
      <c r="P48">
        <f>_xlfn.T.INV(1-P42/2,7)</f>
        <v>3.4994832973504928</v>
      </c>
    </row>
    <row r="49" spans="3:16" x14ac:dyDescent="0.2">
      <c r="C49" t="s">
        <v>56</v>
      </c>
    </row>
    <row r="50" spans="3:16" x14ac:dyDescent="0.2">
      <c r="C50">
        <f>_xlfn.STDEV.S(C38:C47)</f>
        <v>0.50546386679999111</v>
      </c>
      <c r="D50">
        <f>C38/C50</f>
        <v>0.71526402684852319</v>
      </c>
    </row>
    <row r="58" spans="3:16" x14ac:dyDescent="0.2">
      <c r="P58" s="10" t="s">
        <v>62</v>
      </c>
    </row>
    <row r="59" spans="3:16" x14ac:dyDescent="0.2">
      <c r="P59">
        <f>CORREL(B2:B11,C2:C11)</f>
        <v>0.16203391141302828</v>
      </c>
    </row>
  </sheetData>
  <sortState xmlns:xlrd2="http://schemas.microsoft.com/office/spreadsheetml/2017/richdata2" ref="G38:G47">
    <sortCondition ref="G38"/>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FF46-E6CB-4176-A11C-CC839DE0425E}">
  <dimension ref="A2:M65"/>
  <sheetViews>
    <sheetView topLeftCell="A43" workbookViewId="0">
      <selection activeCell="L74" sqref="L74"/>
    </sheetView>
  </sheetViews>
  <sheetFormatPr defaultRowHeight="12.75" x14ac:dyDescent="0.2"/>
  <cols>
    <col min="2" max="2" width="12.7109375" bestFit="1" customWidth="1"/>
    <col min="3" max="3" width="18.140625" bestFit="1" customWidth="1"/>
    <col min="8" max="8" width="12.5703125" customWidth="1"/>
  </cols>
  <sheetData>
    <row r="2" spans="1:9" x14ac:dyDescent="0.2">
      <c r="A2" s="1" t="s">
        <v>0</v>
      </c>
      <c r="B2" s="1" t="s">
        <v>1</v>
      </c>
      <c r="C2" s="1" t="s">
        <v>2</v>
      </c>
      <c r="D2" s="1" t="s">
        <v>3</v>
      </c>
      <c r="F2" s="1" t="s">
        <v>96</v>
      </c>
      <c r="G2" s="1" t="s">
        <v>97</v>
      </c>
      <c r="H2" s="1" t="s">
        <v>98</v>
      </c>
      <c r="I2" s="1" t="s">
        <v>99</v>
      </c>
    </row>
    <row r="3" spans="1:9" x14ac:dyDescent="0.2">
      <c r="A3" s="1">
        <v>1</v>
      </c>
      <c r="B3" s="1">
        <v>100</v>
      </c>
      <c r="C3" s="1">
        <v>4</v>
      </c>
      <c r="D3" s="1">
        <v>9.3000000000000007</v>
      </c>
      <c r="F3" s="1">
        <v>1</v>
      </c>
      <c r="G3" s="1">
        <v>100</v>
      </c>
      <c r="H3" s="1">
        <v>4</v>
      </c>
      <c r="I3" s="1">
        <v>9.3000000000000007</v>
      </c>
    </row>
    <row r="4" spans="1:9" x14ac:dyDescent="0.2">
      <c r="A4" s="1">
        <v>2</v>
      </c>
      <c r="B4" s="1">
        <v>50</v>
      </c>
      <c r="C4" s="1">
        <v>3</v>
      </c>
      <c r="D4" s="1">
        <v>4.8</v>
      </c>
      <c r="F4" s="1">
        <v>1</v>
      </c>
      <c r="G4" s="1">
        <v>50</v>
      </c>
      <c r="H4" s="1">
        <v>3</v>
      </c>
      <c r="I4" s="1">
        <v>4.8</v>
      </c>
    </row>
    <row r="5" spans="1:9" x14ac:dyDescent="0.2">
      <c r="A5" s="1">
        <v>3</v>
      </c>
      <c r="B5" s="1">
        <v>100</v>
      </c>
      <c r="C5" s="1">
        <v>4</v>
      </c>
      <c r="D5" s="1">
        <v>8.9</v>
      </c>
      <c r="F5" s="1">
        <v>1</v>
      </c>
      <c r="G5" s="1">
        <v>100</v>
      </c>
      <c r="H5" s="1">
        <v>4</v>
      </c>
      <c r="I5" s="1">
        <v>8.9</v>
      </c>
    </row>
    <row r="6" spans="1:9" x14ac:dyDescent="0.2">
      <c r="A6" s="1">
        <v>4</v>
      </c>
      <c r="B6" s="1">
        <v>100</v>
      </c>
      <c r="C6" s="1">
        <v>2</v>
      </c>
      <c r="D6" s="1">
        <v>6.5</v>
      </c>
      <c r="F6" s="1">
        <v>1</v>
      </c>
      <c r="G6" s="1">
        <v>100</v>
      </c>
      <c r="H6" s="1">
        <v>2</v>
      </c>
      <c r="I6" s="1">
        <v>6.5</v>
      </c>
    </row>
    <row r="7" spans="1:9" x14ac:dyDescent="0.2">
      <c r="A7" s="1">
        <v>5</v>
      </c>
      <c r="B7" s="1">
        <v>50</v>
      </c>
      <c r="C7" s="1">
        <v>2</v>
      </c>
      <c r="D7" s="1">
        <v>4.2</v>
      </c>
      <c r="F7" s="1">
        <v>1</v>
      </c>
      <c r="G7" s="1">
        <v>50</v>
      </c>
      <c r="H7" s="1">
        <v>2</v>
      </c>
      <c r="I7" s="1">
        <v>4.2</v>
      </c>
    </row>
    <row r="8" spans="1:9" x14ac:dyDescent="0.2">
      <c r="A8" s="1">
        <v>6</v>
      </c>
      <c r="B8" s="1">
        <v>80</v>
      </c>
      <c r="C8" s="1">
        <v>2</v>
      </c>
      <c r="D8" s="1">
        <v>6.2</v>
      </c>
      <c r="F8" s="1">
        <v>1</v>
      </c>
      <c r="G8" s="1">
        <v>80</v>
      </c>
      <c r="H8" s="1">
        <v>2</v>
      </c>
      <c r="I8" s="1">
        <v>6.2</v>
      </c>
    </row>
    <row r="9" spans="1:9" x14ac:dyDescent="0.2">
      <c r="A9" s="1">
        <v>7</v>
      </c>
      <c r="B9" s="1">
        <v>75</v>
      </c>
      <c r="C9" s="1">
        <v>3</v>
      </c>
      <c r="D9" s="1">
        <v>7.4</v>
      </c>
      <c r="F9" s="1">
        <v>1</v>
      </c>
      <c r="G9" s="1">
        <v>75</v>
      </c>
      <c r="H9" s="1">
        <v>3</v>
      </c>
      <c r="I9" s="1">
        <v>7.4</v>
      </c>
    </row>
    <row r="10" spans="1:9" x14ac:dyDescent="0.2">
      <c r="A10" s="1">
        <v>8</v>
      </c>
      <c r="B10" s="1">
        <v>65</v>
      </c>
      <c r="C10" s="1">
        <v>4</v>
      </c>
      <c r="D10" s="1">
        <v>6</v>
      </c>
      <c r="F10" s="1">
        <v>1</v>
      </c>
      <c r="G10" s="1">
        <v>65</v>
      </c>
      <c r="H10" s="1">
        <v>4</v>
      </c>
      <c r="I10" s="1">
        <v>6</v>
      </c>
    </row>
    <row r="11" spans="1:9" x14ac:dyDescent="0.2">
      <c r="A11" s="1">
        <v>9</v>
      </c>
      <c r="B11" s="1">
        <v>90</v>
      </c>
      <c r="C11" s="1">
        <v>3</v>
      </c>
      <c r="D11" s="1">
        <v>7.6</v>
      </c>
      <c r="F11" s="1">
        <v>1</v>
      </c>
      <c r="G11" s="1">
        <v>90</v>
      </c>
      <c r="H11" s="1">
        <v>3</v>
      </c>
      <c r="I11" s="1">
        <v>7.6</v>
      </c>
    </row>
    <row r="12" spans="1:9" x14ac:dyDescent="0.2">
      <c r="A12" s="1">
        <v>10</v>
      </c>
      <c r="B12" s="1">
        <v>90</v>
      </c>
      <c r="C12" s="1">
        <v>2</v>
      </c>
      <c r="D12" s="1">
        <v>6.1</v>
      </c>
      <c r="F12" s="1">
        <v>1</v>
      </c>
      <c r="G12" s="1">
        <v>90</v>
      </c>
      <c r="H12" s="1">
        <v>2</v>
      </c>
      <c r="I12" s="1">
        <v>6.1</v>
      </c>
    </row>
    <row r="13" spans="1:9" x14ac:dyDescent="0.2">
      <c r="F13" s="1"/>
    </row>
    <row r="14" spans="1:9" x14ac:dyDescent="0.2">
      <c r="A14">
        <f>SUM(A3:A12)</f>
        <v>55</v>
      </c>
      <c r="B14">
        <f t="shared" ref="B14:D14" si="0">SUM(B3:B12)</f>
        <v>800</v>
      </c>
      <c r="C14">
        <f t="shared" si="0"/>
        <v>29</v>
      </c>
      <c r="D14">
        <f t="shared" si="0"/>
        <v>67</v>
      </c>
    </row>
    <row r="25" spans="11:13" x14ac:dyDescent="0.2">
      <c r="K25" cm="1">
        <f t="array" ref="K25:M27">MMULT(TRANSPOSE(F3:H12),F3:H12)</f>
        <v>10</v>
      </c>
      <c r="L25">
        <v>800</v>
      </c>
      <c r="M25">
        <v>29</v>
      </c>
    </row>
    <row r="26" spans="11:13" x14ac:dyDescent="0.2">
      <c r="K26">
        <v>800</v>
      </c>
      <c r="L26">
        <v>67450</v>
      </c>
      <c r="M26">
        <v>2345</v>
      </c>
    </row>
    <row r="27" spans="11:13" x14ac:dyDescent="0.2">
      <c r="K27">
        <v>29</v>
      </c>
      <c r="L27">
        <v>2345</v>
      </c>
      <c r="M27">
        <v>91</v>
      </c>
    </row>
    <row r="29" spans="11:13" x14ac:dyDescent="0.2">
      <c r="K29" cm="1">
        <f t="array" ref="K29:M31">MINVERSE(_xlfn.ANCHORARRAY(K25))</f>
        <v>2.7563632441760131</v>
      </c>
      <c r="L29">
        <v>-2.0685936151855051E-2</v>
      </c>
      <c r="M29">
        <v>-0.34534081104400305</v>
      </c>
    </row>
    <row r="30" spans="11:13" x14ac:dyDescent="0.2">
      <c r="K30">
        <v>-2.0685936151855048E-2</v>
      </c>
      <c r="L30">
        <v>2.9767040552200171E-4</v>
      </c>
      <c r="M30">
        <v>-1.0785159620362379E-3</v>
      </c>
    </row>
    <row r="31" spans="11:13" x14ac:dyDescent="0.2">
      <c r="K31">
        <v>-0.34534081104400316</v>
      </c>
      <c r="L31">
        <v>-1.0785159620362369E-3</v>
      </c>
      <c r="M31">
        <v>0.14883520276100073</v>
      </c>
    </row>
    <row r="48" spans="12:12" x14ac:dyDescent="0.2">
      <c r="L48" s="9" t="s">
        <v>100</v>
      </c>
    </row>
    <row r="49" spans="12:13" x14ac:dyDescent="0.2">
      <c r="L49" cm="1">
        <f t="array" ref="L49:L51">MMULT(TRANSPOSE(F3:H12),I3:I12)</f>
        <v>67</v>
      </c>
    </row>
    <row r="50" spans="12:13" x14ac:dyDescent="0.2">
      <c r="L50">
        <v>5594</v>
      </c>
    </row>
    <row r="51" spans="12:13" x14ac:dyDescent="0.2">
      <c r="L51">
        <v>202.2</v>
      </c>
    </row>
    <row r="62" spans="12:13" x14ac:dyDescent="0.2">
      <c r="M62" s="9" t="s">
        <v>101</v>
      </c>
    </row>
    <row r="63" spans="12:13" x14ac:dyDescent="0.2">
      <c r="L63" s="38" t="s">
        <v>102</v>
      </c>
      <c r="M63" cm="1">
        <f t="array" ref="M63:M65">MMULT(_xlfn.ANCHORARRAY(K29),_xlfn.ANCHORARRAY(L49))</f>
        <v>-0.8687014667816868</v>
      </c>
    </row>
    <row r="64" spans="12:13" x14ac:dyDescent="0.2">
      <c r="L64" s="38" t="s">
        <v>103</v>
      </c>
      <c r="M64">
        <v>6.1134598792062067E-2</v>
      </c>
    </row>
    <row r="65" spans="12:13" x14ac:dyDescent="0.2">
      <c r="L65" s="38" t="s">
        <v>104</v>
      </c>
      <c r="M65">
        <v>0.92342536669542241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467C-FC0C-4ADD-8C98-D8EA606A928B}">
  <dimension ref="A1:I35"/>
  <sheetViews>
    <sheetView workbookViewId="0">
      <selection activeCell="C6" sqref="C6"/>
    </sheetView>
  </sheetViews>
  <sheetFormatPr defaultRowHeight="12.75" x14ac:dyDescent="0.2"/>
  <cols>
    <col min="1" max="1" width="14.85546875" customWidth="1"/>
    <col min="2" max="2" width="14.28515625" customWidth="1"/>
  </cols>
  <sheetData>
    <row r="1" spans="1:9" x14ac:dyDescent="0.2">
      <c r="A1" t="s">
        <v>6</v>
      </c>
    </row>
    <row r="2" spans="1:9" ht="13.5" thickBot="1" x14ac:dyDescent="0.25"/>
    <row r="3" spans="1:9" x14ac:dyDescent="0.2">
      <c r="A3" s="17" t="s">
        <v>7</v>
      </c>
      <c r="B3" s="17"/>
    </row>
    <row r="4" spans="1:9" x14ac:dyDescent="0.2">
      <c r="A4" s="14" t="s">
        <v>8</v>
      </c>
      <c r="B4" s="14">
        <v>0.9972750252645548</v>
      </c>
    </row>
    <row r="5" spans="1:9" x14ac:dyDescent="0.2">
      <c r="A5" s="14" t="s">
        <v>9</v>
      </c>
      <c r="B5" s="14">
        <v>0.99455747601641853</v>
      </c>
    </row>
    <row r="6" spans="1:9" x14ac:dyDescent="0.2">
      <c r="A6" s="14" t="s">
        <v>10</v>
      </c>
      <c r="B6" s="14">
        <v>0.86887716051847086</v>
      </c>
    </row>
    <row r="7" spans="1:9" x14ac:dyDescent="0.2">
      <c r="A7" s="14" t="s">
        <v>11</v>
      </c>
      <c r="B7" s="14">
        <v>0.56714474997981523</v>
      </c>
    </row>
    <row r="8" spans="1:9" ht="13.5" thickBot="1" x14ac:dyDescent="0.25">
      <c r="A8" s="15" t="s">
        <v>12</v>
      </c>
      <c r="B8" s="15">
        <v>10</v>
      </c>
    </row>
    <row r="10" spans="1:9" ht="13.5" thickBot="1" x14ac:dyDescent="0.25">
      <c r="A10" t="s">
        <v>13</v>
      </c>
    </row>
    <row r="11" spans="1:9" x14ac:dyDescent="0.2">
      <c r="A11" s="16"/>
      <c r="B11" s="16" t="s">
        <v>17</v>
      </c>
      <c r="C11" s="16" t="s">
        <v>18</v>
      </c>
      <c r="D11" s="16" t="s">
        <v>19</v>
      </c>
      <c r="E11" s="16" t="s">
        <v>20</v>
      </c>
      <c r="F11" s="16" t="s">
        <v>21</v>
      </c>
    </row>
    <row r="12" spans="1:9" x14ac:dyDescent="0.2">
      <c r="A12" s="14" t="s">
        <v>14</v>
      </c>
      <c r="B12" s="14">
        <v>2</v>
      </c>
      <c r="C12" s="14">
        <v>470.22677466056263</v>
      </c>
      <c r="D12" s="14">
        <v>235.11338733028131</v>
      </c>
      <c r="E12" s="14">
        <v>730.95312323231315</v>
      </c>
      <c r="F12" s="14">
        <v>7.4707442333851839E-9</v>
      </c>
    </row>
    <row r="13" spans="1:9" x14ac:dyDescent="0.2">
      <c r="A13" s="14" t="s">
        <v>69</v>
      </c>
      <c r="B13" s="14">
        <v>8</v>
      </c>
      <c r="C13" s="14">
        <v>2.5732253394373368</v>
      </c>
      <c r="D13" s="14">
        <v>0.3216531674296671</v>
      </c>
      <c r="E13" s="14"/>
      <c r="F13" s="14"/>
    </row>
    <row r="14" spans="1:9" ht="13.5" thickBot="1" x14ac:dyDescent="0.25">
      <c r="A14" s="15" t="s">
        <v>15</v>
      </c>
      <c r="B14" s="15">
        <v>10</v>
      </c>
      <c r="C14" s="15">
        <v>472.79999999999995</v>
      </c>
      <c r="D14" s="15"/>
      <c r="E14" s="15"/>
      <c r="F14" s="15"/>
    </row>
    <row r="15" spans="1:9" ht="13.5" thickBot="1" x14ac:dyDescent="0.25"/>
    <row r="16" spans="1:9" x14ac:dyDescent="0.2">
      <c r="A16" s="16"/>
      <c r="B16" s="16" t="s">
        <v>22</v>
      </c>
      <c r="C16" s="16" t="s">
        <v>11</v>
      </c>
      <c r="D16" s="16" t="s">
        <v>23</v>
      </c>
      <c r="E16" s="16" t="s">
        <v>24</v>
      </c>
      <c r="F16" s="16" t="s">
        <v>25</v>
      </c>
      <c r="G16" s="16" t="s">
        <v>26</v>
      </c>
      <c r="H16" s="16" t="s">
        <v>70</v>
      </c>
      <c r="I16" s="16" t="s">
        <v>71</v>
      </c>
    </row>
    <row r="17" spans="1:9" x14ac:dyDescent="0.2">
      <c r="A17" s="14" t="s">
        <v>16</v>
      </c>
      <c r="B17" s="14">
        <v>0</v>
      </c>
      <c r="C17" s="14" t="e">
        <v>#N/A</v>
      </c>
      <c r="D17" s="14" t="e">
        <v>#N/A</v>
      </c>
      <c r="E17" s="14" t="e">
        <v>#N/A</v>
      </c>
      <c r="F17" s="14" t="e">
        <v>#N/A</v>
      </c>
      <c r="G17" s="14" t="e">
        <v>#N/A</v>
      </c>
      <c r="H17" s="14" t="e">
        <v>#N/A</v>
      </c>
      <c r="I17" s="14" t="e">
        <v>#N/A</v>
      </c>
    </row>
    <row r="18" spans="1:9" x14ac:dyDescent="0.2">
      <c r="A18" s="14" t="s">
        <v>1</v>
      </c>
      <c r="B18" s="14">
        <v>5.4615173924952062E-2</v>
      </c>
      <c r="C18" s="14">
        <v>6.768456958848681E-3</v>
      </c>
      <c r="D18" s="14">
        <v>8.0690730925830021</v>
      </c>
      <c r="E18" s="14">
        <v>4.1045607000355325E-5</v>
      </c>
      <c r="F18" s="14">
        <v>3.9007084188895584E-2</v>
      </c>
      <c r="G18" s="14">
        <v>7.0223263661008548E-2</v>
      </c>
      <c r="H18" s="14">
        <v>3.9007084188895584E-2</v>
      </c>
      <c r="I18" s="14">
        <v>7.0223263661008548E-2</v>
      </c>
    </row>
    <row r="19" spans="1:9" ht="13.5" thickBot="1" x14ac:dyDescent="0.25">
      <c r="A19" s="15" t="s">
        <v>2</v>
      </c>
      <c r="B19" s="15">
        <v>0.81458700160425723</v>
      </c>
      <c r="C19" s="15">
        <v>0.18427225580989831</v>
      </c>
      <c r="D19" s="15">
        <v>4.4205623794208808</v>
      </c>
      <c r="E19" s="15">
        <v>2.2248230584537686E-3</v>
      </c>
      <c r="F19" s="15">
        <v>0.38965441770323161</v>
      </c>
      <c r="G19" s="15">
        <v>1.239519585505283</v>
      </c>
      <c r="H19" s="15">
        <v>0.38965441770323161</v>
      </c>
      <c r="I19" s="15">
        <v>1.239519585505283</v>
      </c>
    </row>
    <row r="23" spans="1:9" x14ac:dyDescent="0.2">
      <c r="A23" t="s">
        <v>29</v>
      </c>
      <c r="E23" t="s">
        <v>34</v>
      </c>
    </row>
    <row r="24" spans="1:9" ht="13.5" thickBot="1" x14ac:dyDescent="0.25"/>
    <row r="25" spans="1:9" x14ac:dyDescent="0.2">
      <c r="A25" s="16" t="s">
        <v>30</v>
      </c>
      <c r="B25" s="16" t="s">
        <v>31</v>
      </c>
      <c r="C25" s="16" t="s">
        <v>32</v>
      </c>
      <c r="E25" s="16" t="s">
        <v>35</v>
      </c>
      <c r="F25" s="16" t="s">
        <v>3</v>
      </c>
    </row>
    <row r="26" spans="1:9" x14ac:dyDescent="0.2">
      <c r="A26" s="14">
        <v>1</v>
      </c>
      <c r="B26" s="14">
        <v>8.7198653989122352</v>
      </c>
      <c r="C26" s="14">
        <v>0.58013460108776549</v>
      </c>
      <c r="E26" s="14">
        <v>5</v>
      </c>
      <c r="F26" s="14">
        <v>4.2</v>
      </c>
    </row>
    <row r="27" spans="1:9" x14ac:dyDescent="0.2">
      <c r="A27" s="14">
        <v>2</v>
      </c>
      <c r="B27" s="14">
        <v>5.1745197010603743</v>
      </c>
      <c r="C27" s="14">
        <v>-0.37451970106037447</v>
      </c>
      <c r="E27" s="14">
        <v>15</v>
      </c>
      <c r="F27" s="14">
        <v>4.8</v>
      </c>
    </row>
    <row r="28" spans="1:9" x14ac:dyDescent="0.2">
      <c r="A28" s="14">
        <v>3</v>
      </c>
      <c r="B28" s="14">
        <v>8.7198653989122352</v>
      </c>
      <c r="C28" s="14">
        <v>0.18013460108776513</v>
      </c>
      <c r="E28" s="14">
        <v>25</v>
      </c>
      <c r="F28" s="14">
        <v>6</v>
      </c>
    </row>
    <row r="29" spans="1:9" x14ac:dyDescent="0.2">
      <c r="A29" s="14">
        <v>4</v>
      </c>
      <c r="B29" s="14">
        <v>7.0906913957037201</v>
      </c>
      <c r="C29" s="14">
        <v>-0.59069139570372009</v>
      </c>
      <c r="E29" s="14">
        <v>35</v>
      </c>
      <c r="F29" s="14">
        <v>6.1</v>
      </c>
    </row>
    <row r="30" spans="1:9" x14ac:dyDescent="0.2">
      <c r="A30" s="14">
        <v>5</v>
      </c>
      <c r="B30" s="14">
        <v>4.3599326994561176</v>
      </c>
      <c r="C30" s="14">
        <v>-0.15993269945611743</v>
      </c>
      <c r="E30" s="14">
        <v>45</v>
      </c>
      <c r="F30" s="14">
        <v>6.2</v>
      </c>
    </row>
    <row r="31" spans="1:9" x14ac:dyDescent="0.2">
      <c r="A31" s="14">
        <v>6</v>
      </c>
      <c r="B31" s="14">
        <v>5.9983879172046795</v>
      </c>
      <c r="C31" s="14">
        <v>0.20161208279532072</v>
      </c>
      <c r="E31" s="14">
        <v>55</v>
      </c>
      <c r="F31" s="14">
        <v>6.5</v>
      </c>
    </row>
    <row r="32" spans="1:9" x14ac:dyDescent="0.2">
      <c r="A32" s="14">
        <v>7</v>
      </c>
      <c r="B32" s="14">
        <v>6.5398990491841769</v>
      </c>
      <c r="C32" s="14">
        <v>0.8601009508158235</v>
      </c>
      <c r="E32" s="14">
        <v>65</v>
      </c>
      <c r="F32" s="14">
        <v>7.4</v>
      </c>
    </row>
    <row r="33" spans="1:6" x14ac:dyDescent="0.2">
      <c r="A33" s="14">
        <v>8</v>
      </c>
      <c r="B33" s="14">
        <v>6.8083343115389123</v>
      </c>
      <c r="C33" s="14">
        <v>-0.80833431153891233</v>
      </c>
      <c r="E33" s="14">
        <v>75</v>
      </c>
      <c r="F33" s="14">
        <v>7.6</v>
      </c>
    </row>
    <row r="34" spans="1:6" x14ac:dyDescent="0.2">
      <c r="A34" s="14">
        <v>9</v>
      </c>
      <c r="B34" s="14">
        <v>7.3591266580584573</v>
      </c>
      <c r="C34" s="14">
        <v>0.24087334194154231</v>
      </c>
      <c r="E34" s="14">
        <v>85</v>
      </c>
      <c r="F34" s="14">
        <v>8.9</v>
      </c>
    </row>
    <row r="35" spans="1:6" ht="13.5" thickBot="1" x14ac:dyDescent="0.25">
      <c r="A35" s="15">
        <v>10</v>
      </c>
      <c r="B35" s="15">
        <v>6.5445396564541998</v>
      </c>
      <c r="C35" s="15">
        <v>-0.44453965645420013</v>
      </c>
      <c r="E35" s="15">
        <v>95</v>
      </c>
      <c r="F35" s="15">
        <v>9.3000000000000007</v>
      </c>
    </row>
  </sheetData>
  <sortState xmlns:xlrd2="http://schemas.microsoft.com/office/spreadsheetml/2017/richdata2" ref="F26:F35">
    <sortCondition ref="F26"/>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1A96-A629-4321-812D-59764FED9AFD}">
  <dimension ref="A1:I48"/>
  <sheetViews>
    <sheetView topLeftCell="A18" workbookViewId="0">
      <selection activeCell="G18" sqref="G18"/>
    </sheetView>
  </sheetViews>
  <sheetFormatPr defaultRowHeight="12.75" x14ac:dyDescent="0.2"/>
  <sheetData>
    <row r="1" spans="1:4" x14ac:dyDescent="0.2">
      <c r="A1" s="9" t="s">
        <v>95</v>
      </c>
      <c r="B1" s="1" t="s">
        <v>1</v>
      </c>
      <c r="C1" s="1" t="s">
        <v>2</v>
      </c>
      <c r="D1" s="1" t="s">
        <v>3</v>
      </c>
    </row>
    <row r="2" spans="1:4" x14ac:dyDescent="0.2">
      <c r="A2">
        <v>1</v>
      </c>
      <c r="B2" s="1">
        <v>100</v>
      </c>
      <c r="C2" s="1">
        <v>4</v>
      </c>
      <c r="D2" s="1">
        <v>9.3000000000000007</v>
      </c>
    </row>
    <row r="3" spans="1:4" x14ac:dyDescent="0.2">
      <c r="A3">
        <v>1</v>
      </c>
      <c r="B3" s="1">
        <v>50</v>
      </c>
      <c r="C3" s="1">
        <v>3</v>
      </c>
      <c r="D3" s="1">
        <v>4.8</v>
      </c>
    </row>
    <row r="4" spans="1:4" x14ac:dyDescent="0.2">
      <c r="A4">
        <v>1</v>
      </c>
      <c r="B4" s="1">
        <v>100</v>
      </c>
      <c r="C4" s="1">
        <v>4</v>
      </c>
      <c r="D4" s="1">
        <v>8.9</v>
      </c>
    </row>
    <row r="5" spans="1:4" x14ac:dyDescent="0.2">
      <c r="A5">
        <v>1</v>
      </c>
      <c r="B5" s="1">
        <v>100</v>
      </c>
      <c r="C5" s="1">
        <v>2</v>
      </c>
      <c r="D5" s="1">
        <v>6.5</v>
      </c>
    </row>
    <row r="6" spans="1:4" x14ac:dyDescent="0.2">
      <c r="A6">
        <v>1</v>
      </c>
      <c r="B6" s="1">
        <v>50</v>
      </c>
      <c r="C6" s="1">
        <v>2</v>
      </c>
      <c r="D6" s="1">
        <v>4.2</v>
      </c>
    </row>
    <row r="7" spans="1:4" x14ac:dyDescent="0.2">
      <c r="A7">
        <v>1</v>
      </c>
      <c r="B7" s="1">
        <v>80</v>
      </c>
      <c r="C7" s="1">
        <v>2</v>
      </c>
      <c r="D7" s="1">
        <v>6.2</v>
      </c>
    </row>
    <row r="8" spans="1:4" x14ac:dyDescent="0.2">
      <c r="A8">
        <v>1</v>
      </c>
      <c r="B8" s="1">
        <v>75</v>
      </c>
      <c r="C8" s="1">
        <v>3</v>
      </c>
      <c r="D8" s="1">
        <v>7.4</v>
      </c>
    </row>
    <row r="9" spans="1:4" x14ac:dyDescent="0.2">
      <c r="A9">
        <v>1</v>
      </c>
      <c r="B9" s="1">
        <v>65</v>
      </c>
      <c r="C9" s="1">
        <v>4</v>
      </c>
      <c r="D9" s="1">
        <v>6</v>
      </c>
    </row>
    <row r="10" spans="1:4" x14ac:dyDescent="0.2">
      <c r="A10">
        <v>1</v>
      </c>
      <c r="B10" s="1">
        <v>90</v>
      </c>
      <c r="C10" s="1">
        <v>3</v>
      </c>
      <c r="D10" s="1">
        <v>7.6</v>
      </c>
    </row>
    <row r="11" spans="1:4" x14ac:dyDescent="0.2">
      <c r="A11">
        <v>1</v>
      </c>
      <c r="B11" s="1">
        <v>90</v>
      </c>
      <c r="C11" s="1">
        <v>2</v>
      </c>
      <c r="D11" s="1">
        <v>6.1</v>
      </c>
    </row>
    <row r="13" spans="1:4" x14ac:dyDescent="0.2">
      <c r="A13" t="s">
        <v>6</v>
      </c>
    </row>
    <row r="14" spans="1:4" ht="13.5" thickBot="1" x14ac:dyDescent="0.25"/>
    <row r="15" spans="1:4" x14ac:dyDescent="0.2">
      <c r="A15" s="17" t="s">
        <v>7</v>
      </c>
      <c r="B15" s="17"/>
    </row>
    <row r="16" spans="1:4" x14ac:dyDescent="0.2">
      <c r="A16" s="14" t="s">
        <v>8</v>
      </c>
      <c r="B16" s="14">
        <v>0.99756530655930176</v>
      </c>
    </row>
    <row r="17" spans="1:9" x14ac:dyDescent="0.2">
      <c r="A17" s="14" t="s">
        <v>9</v>
      </c>
      <c r="B17" s="14">
        <v>0.99513654085075376</v>
      </c>
    </row>
    <row r="18" spans="1:9" x14ac:dyDescent="0.2">
      <c r="A18" s="14" t="s">
        <v>10</v>
      </c>
      <c r="B18" s="14">
        <v>0.85088983823668329</v>
      </c>
    </row>
    <row r="19" spans="1:9" x14ac:dyDescent="0.2">
      <c r="A19" s="14" t="s">
        <v>11</v>
      </c>
      <c r="B19" s="14">
        <v>0.57314215212079445</v>
      </c>
    </row>
    <row r="20" spans="1:9" ht="13.5" thickBot="1" x14ac:dyDescent="0.25">
      <c r="A20" s="15" t="s">
        <v>12</v>
      </c>
      <c r="B20" s="15">
        <v>10</v>
      </c>
    </row>
    <row r="22" spans="1:9" ht="13.5" thickBot="1" x14ac:dyDescent="0.25">
      <c r="A22" t="s">
        <v>13</v>
      </c>
    </row>
    <row r="23" spans="1:9" x14ac:dyDescent="0.2">
      <c r="A23" s="16"/>
      <c r="B23" s="16" t="s">
        <v>17</v>
      </c>
      <c r="C23" s="16" t="s">
        <v>18</v>
      </c>
      <c r="D23" s="16" t="s">
        <v>19</v>
      </c>
      <c r="E23" s="16" t="s">
        <v>20</v>
      </c>
      <c r="F23" s="16" t="s">
        <v>21</v>
      </c>
    </row>
    <row r="24" spans="1:9" x14ac:dyDescent="0.2">
      <c r="A24" s="14" t="s">
        <v>14</v>
      </c>
      <c r="B24" s="14">
        <v>3</v>
      </c>
      <c r="C24" s="14">
        <v>470.50055651423634</v>
      </c>
      <c r="D24" s="14">
        <v>156.83351883807879</v>
      </c>
      <c r="E24" s="14">
        <v>477.43492660876876</v>
      </c>
      <c r="F24" s="14">
        <v>1.585508432352982E-7</v>
      </c>
    </row>
    <row r="25" spans="1:9" x14ac:dyDescent="0.2">
      <c r="A25" s="14" t="s">
        <v>69</v>
      </c>
      <c r="B25" s="14">
        <v>7</v>
      </c>
      <c r="C25" s="14">
        <v>2.2994434857635908</v>
      </c>
      <c r="D25" s="14">
        <v>0.32849192653765585</v>
      </c>
      <c r="E25" s="14"/>
      <c r="F25" s="14"/>
    </row>
    <row r="26" spans="1:9" ht="13.5" thickBot="1" x14ac:dyDescent="0.25">
      <c r="A26" s="15" t="s">
        <v>15</v>
      </c>
      <c r="B26" s="15">
        <v>10</v>
      </c>
      <c r="C26" s="15">
        <v>472.79999999999995</v>
      </c>
      <c r="D26" s="15"/>
      <c r="E26" s="15"/>
      <c r="F26" s="15"/>
    </row>
    <row r="27" spans="1:9" ht="13.5" thickBot="1" x14ac:dyDescent="0.25"/>
    <row r="28" spans="1:9" x14ac:dyDescent="0.2">
      <c r="A28" s="16"/>
      <c r="B28" s="16" t="s">
        <v>22</v>
      </c>
      <c r="C28" s="16" t="s">
        <v>11</v>
      </c>
      <c r="D28" s="16" t="s">
        <v>23</v>
      </c>
      <c r="E28" s="16" t="s">
        <v>24</v>
      </c>
      <c r="F28" s="16" t="s">
        <v>25</v>
      </c>
      <c r="G28" s="16" t="s">
        <v>26</v>
      </c>
      <c r="H28" s="16" t="s">
        <v>70</v>
      </c>
      <c r="I28" s="16" t="s">
        <v>71</v>
      </c>
    </row>
    <row r="29" spans="1:9" x14ac:dyDescent="0.2">
      <c r="A29" s="14" t="s">
        <v>16</v>
      </c>
      <c r="B29" s="14">
        <v>0</v>
      </c>
      <c r="C29" s="14" t="e">
        <v>#N/A</v>
      </c>
      <c r="D29" s="14" t="e">
        <v>#N/A</v>
      </c>
      <c r="E29" s="14" t="e">
        <v>#N/A</v>
      </c>
      <c r="F29" s="14" t="e">
        <v>#N/A</v>
      </c>
      <c r="G29" s="14" t="e">
        <v>#N/A</v>
      </c>
      <c r="H29" s="14" t="e">
        <v>#N/A</v>
      </c>
      <c r="I29" s="14" t="e">
        <v>#N/A</v>
      </c>
    </row>
    <row r="30" spans="1:9" x14ac:dyDescent="0.2">
      <c r="A30" s="14" t="s">
        <v>95</v>
      </c>
      <c r="B30" s="14">
        <v>-0.86870146678170779</v>
      </c>
      <c r="C30" s="14">
        <v>0.95154772466595816</v>
      </c>
      <c r="D30" s="14">
        <v>-0.91293525722702595</v>
      </c>
      <c r="E30" s="14">
        <v>0.39163430402274474</v>
      </c>
      <c r="F30" s="14">
        <v>-3.1187542930747663</v>
      </c>
      <c r="G30" s="14">
        <v>1.3813513595113509</v>
      </c>
      <c r="H30" s="14">
        <v>-3.1187542930747663</v>
      </c>
      <c r="I30" s="14">
        <v>1.3813513595113509</v>
      </c>
    </row>
    <row r="31" spans="1:9" x14ac:dyDescent="0.2">
      <c r="A31" s="14" t="s">
        <v>1</v>
      </c>
      <c r="B31" s="14">
        <v>6.1134598792062116E-2</v>
      </c>
      <c r="C31" s="14">
        <v>9.8884945761813347E-3</v>
      </c>
      <c r="D31" s="14">
        <v>6.1823969585136407</v>
      </c>
      <c r="E31" s="14">
        <v>4.5296079321212681E-4</v>
      </c>
      <c r="F31" s="14">
        <v>3.7752024705480017E-2</v>
      </c>
      <c r="G31" s="14">
        <v>8.4517172878644214E-2</v>
      </c>
      <c r="H31" s="14">
        <v>3.7752024705480017E-2</v>
      </c>
      <c r="I31" s="14">
        <v>8.4517172878644214E-2</v>
      </c>
    </row>
    <row r="32" spans="1:9" ht="13.5" thickBot="1" x14ac:dyDescent="0.25">
      <c r="A32" s="15" t="s">
        <v>2</v>
      </c>
      <c r="B32" s="15">
        <v>0.92342536669542707</v>
      </c>
      <c r="C32" s="15">
        <v>0.22111346067479429</v>
      </c>
      <c r="D32" s="15">
        <v>4.1762512507258336</v>
      </c>
      <c r="E32" s="15">
        <v>4.1566220112781993E-3</v>
      </c>
      <c r="F32" s="15">
        <v>0.40057511523020095</v>
      </c>
      <c r="G32" s="15">
        <v>1.4462756181606533</v>
      </c>
      <c r="H32" s="15">
        <v>0.40057511523020095</v>
      </c>
      <c r="I32" s="15">
        <v>1.4462756181606533</v>
      </c>
    </row>
    <row r="36" spans="1:6" x14ac:dyDescent="0.2">
      <c r="A36" t="s">
        <v>29</v>
      </c>
      <c r="E36" t="s">
        <v>34</v>
      </c>
    </row>
    <row r="37" spans="1:6" ht="13.5" thickBot="1" x14ac:dyDescent="0.25"/>
    <row r="38" spans="1:6" x14ac:dyDescent="0.2">
      <c r="A38" s="16" t="s">
        <v>30</v>
      </c>
      <c r="B38" s="16" t="s">
        <v>31</v>
      </c>
      <c r="C38" s="16" t="s">
        <v>32</v>
      </c>
      <c r="E38" s="16" t="s">
        <v>35</v>
      </c>
      <c r="F38" s="16" t="s">
        <v>3</v>
      </c>
    </row>
    <row r="39" spans="1:6" x14ac:dyDescent="0.2">
      <c r="A39" s="14">
        <v>1</v>
      </c>
      <c r="B39" s="14">
        <v>8.9384598792062118</v>
      </c>
      <c r="C39" s="14">
        <v>0.36154012079378894</v>
      </c>
      <c r="E39" s="14">
        <v>5</v>
      </c>
      <c r="F39" s="14">
        <v>4.2</v>
      </c>
    </row>
    <row r="40" spans="1:6" x14ac:dyDescent="0.2">
      <c r="A40" s="14">
        <v>2</v>
      </c>
      <c r="B40" s="14">
        <v>4.9583045729076796</v>
      </c>
      <c r="C40" s="14">
        <v>-0.15830457290767974</v>
      </c>
      <c r="E40" s="14">
        <v>15</v>
      </c>
      <c r="F40" s="14">
        <v>4.8</v>
      </c>
    </row>
    <row r="41" spans="1:6" x14ac:dyDescent="0.2">
      <c r="A41" s="14">
        <v>3</v>
      </c>
      <c r="B41" s="14">
        <v>8.9384598792062118</v>
      </c>
      <c r="C41" s="14">
        <v>-3.8459879206211411E-2</v>
      </c>
      <c r="E41" s="14">
        <v>25</v>
      </c>
      <c r="F41" s="14">
        <v>6</v>
      </c>
    </row>
    <row r="42" spans="1:6" x14ac:dyDescent="0.2">
      <c r="A42" s="14">
        <v>4</v>
      </c>
      <c r="B42" s="14">
        <v>7.0916091458153581</v>
      </c>
      <c r="C42" s="14">
        <v>-0.59160914581535806</v>
      </c>
      <c r="E42" s="14">
        <v>35</v>
      </c>
      <c r="F42" s="14">
        <v>6.1</v>
      </c>
    </row>
    <row r="43" spans="1:6" x14ac:dyDescent="0.2">
      <c r="A43" s="14">
        <v>5</v>
      </c>
      <c r="B43" s="14">
        <v>4.0348792062122527</v>
      </c>
      <c r="C43" s="14">
        <v>0.16512079378774747</v>
      </c>
      <c r="E43" s="14">
        <v>45</v>
      </c>
      <c r="F43" s="14">
        <v>6.2</v>
      </c>
    </row>
    <row r="44" spans="1:6" x14ac:dyDescent="0.2">
      <c r="A44" s="14">
        <v>6</v>
      </c>
      <c r="B44" s="14">
        <v>5.8689171699741145</v>
      </c>
      <c r="C44" s="14">
        <v>0.33108283002588568</v>
      </c>
      <c r="E44" s="14">
        <v>55</v>
      </c>
      <c r="F44" s="14">
        <v>6.5</v>
      </c>
    </row>
    <row r="45" spans="1:6" x14ac:dyDescent="0.2">
      <c r="A45" s="14">
        <v>7</v>
      </c>
      <c r="B45" s="14">
        <v>6.4866695427092331</v>
      </c>
      <c r="C45" s="14">
        <v>0.91333045729076723</v>
      </c>
      <c r="E45" s="14">
        <v>65</v>
      </c>
      <c r="F45" s="14">
        <v>7.4</v>
      </c>
    </row>
    <row r="46" spans="1:6" x14ac:dyDescent="0.2">
      <c r="A46" s="14">
        <v>8</v>
      </c>
      <c r="B46" s="14">
        <v>6.7987489214840382</v>
      </c>
      <c r="C46" s="14">
        <v>-0.7987489214840382</v>
      </c>
      <c r="E46" s="14">
        <v>75</v>
      </c>
      <c r="F46" s="14">
        <v>7.6</v>
      </c>
    </row>
    <row r="47" spans="1:6" x14ac:dyDescent="0.2">
      <c r="A47" s="14">
        <v>9</v>
      </c>
      <c r="B47" s="14">
        <v>7.403688524590164</v>
      </c>
      <c r="C47" s="14">
        <v>0.19631147540983562</v>
      </c>
      <c r="E47" s="14">
        <v>85</v>
      </c>
      <c r="F47" s="14">
        <v>8.9</v>
      </c>
    </row>
    <row r="48" spans="1:6" ht="13.5" thickBot="1" x14ac:dyDescent="0.25">
      <c r="A48" s="15">
        <v>10</v>
      </c>
      <c r="B48" s="15">
        <v>6.4802631578947363</v>
      </c>
      <c r="C48" s="15">
        <v>-0.38026315789473664</v>
      </c>
      <c r="E48" s="15">
        <v>95</v>
      </c>
      <c r="F48" s="15">
        <v>9.3000000000000007</v>
      </c>
    </row>
  </sheetData>
  <sortState xmlns:xlrd2="http://schemas.microsoft.com/office/spreadsheetml/2017/richdata2" ref="F39:F48">
    <sortCondition ref="F39"/>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CD82-C94E-469C-8DFD-D5AF07D6B720}">
  <dimension ref="A1"/>
  <sheetViews>
    <sheetView workbookViewId="0"/>
  </sheetViews>
  <sheetFormatPr defaultRowHeight="12.75"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D1EC6-7047-429A-A21F-60D9CAABCC67}">
  <dimension ref="A1:I17"/>
  <sheetViews>
    <sheetView workbookViewId="0">
      <selection activeCell="G20" sqref="G20"/>
    </sheetView>
  </sheetViews>
  <sheetFormatPr defaultRowHeight="12.75" x14ac:dyDescent="0.2"/>
  <cols>
    <col min="1" max="1" width="13.28515625" bestFit="1" customWidth="1"/>
    <col min="2" max="4" width="9.140625" customWidth="1"/>
    <col min="5" max="5" width="11.28515625" customWidth="1"/>
    <col min="6" max="6" width="9.140625" customWidth="1"/>
    <col min="7" max="7" width="4.5703125" bestFit="1" customWidth="1"/>
    <col min="8" max="8" width="9.140625" customWidth="1"/>
  </cols>
  <sheetData>
    <row r="1" spans="1:9" x14ac:dyDescent="0.2">
      <c r="A1" s="9"/>
    </row>
    <row r="2" spans="1:9" x14ac:dyDescent="0.2">
      <c r="D2" s="18"/>
      <c r="E2" s="18"/>
      <c r="F2" s="13"/>
    </row>
    <row r="3" spans="1:9" x14ac:dyDescent="0.2">
      <c r="A3" s="10" t="s">
        <v>72</v>
      </c>
      <c r="B3">
        <v>10</v>
      </c>
    </row>
    <row r="7" spans="1:9" x14ac:dyDescent="0.2">
      <c r="A7" s="13" t="s">
        <v>67</v>
      </c>
      <c r="B7">
        <v>100</v>
      </c>
      <c r="D7" s="9"/>
      <c r="F7" s="9"/>
      <c r="G7" s="12"/>
      <c r="H7" s="9"/>
    </row>
    <row r="8" spans="1:9" x14ac:dyDescent="0.2">
      <c r="A8" s="13" t="s">
        <v>68</v>
      </c>
      <c r="B8">
        <v>2</v>
      </c>
    </row>
    <row r="9" spans="1:9" x14ac:dyDescent="0.2">
      <c r="A9" s="13"/>
      <c r="H9" s="9"/>
    </row>
    <row r="10" spans="1:9" x14ac:dyDescent="0.2">
      <c r="A10" s="13"/>
    </row>
    <row r="11" spans="1:9" x14ac:dyDescent="0.2">
      <c r="A11" s="13" t="s">
        <v>63</v>
      </c>
      <c r="B11">
        <f>ROUND(A12+A14*B7+A16*B8,2)</f>
        <v>7.09</v>
      </c>
    </row>
    <row r="12" spans="1:9" x14ac:dyDescent="0.2">
      <c r="A12">
        <v>-0.86870146678170856</v>
      </c>
      <c r="H12" s="10"/>
    </row>
    <row r="13" spans="1:9" x14ac:dyDescent="0.2">
      <c r="A13" s="9" t="s">
        <v>65</v>
      </c>
      <c r="G13" s="9"/>
      <c r="I13" s="9"/>
    </row>
    <row r="14" spans="1:9" x14ac:dyDescent="0.2">
      <c r="A14">
        <v>6.1134598792062123E-2</v>
      </c>
    </row>
    <row r="15" spans="1:9" x14ac:dyDescent="0.2">
      <c r="A15" s="9" t="s">
        <v>66</v>
      </c>
    </row>
    <row r="16" spans="1:9" x14ac:dyDescent="0.2">
      <c r="A16" s="12">
        <v>0.92342536669542719</v>
      </c>
    </row>
    <row r="17" spans="1:1" x14ac:dyDescent="0.2">
      <c r="A17" s="9" t="s">
        <v>64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1DBA-4699-4243-A2D2-66E84D3590F8}">
  <dimension ref="A1:I17"/>
  <sheetViews>
    <sheetView workbookViewId="0">
      <selection activeCell="J16" sqref="J16"/>
    </sheetView>
  </sheetViews>
  <sheetFormatPr defaultRowHeight="12.75" x14ac:dyDescent="0.2"/>
  <cols>
    <col min="1" max="1" width="13.28515625" bestFit="1" customWidth="1"/>
    <col min="2" max="4" width="9.140625" customWidth="1"/>
    <col min="5" max="5" width="11.28515625" customWidth="1"/>
    <col min="6" max="6" width="9.140625" customWidth="1"/>
    <col min="7" max="7" width="4.5703125" bestFit="1" customWidth="1"/>
    <col min="8" max="8" width="9.140625" customWidth="1"/>
  </cols>
  <sheetData>
    <row r="1" spans="1:9" x14ac:dyDescent="0.2">
      <c r="A1" s="9"/>
    </row>
    <row r="2" spans="1:9" x14ac:dyDescent="0.2">
      <c r="D2" s="18"/>
      <c r="E2" s="18"/>
      <c r="F2" s="13"/>
    </row>
    <row r="3" spans="1:9" x14ac:dyDescent="0.2">
      <c r="A3" s="10" t="s">
        <v>72</v>
      </c>
      <c r="B3">
        <v>10</v>
      </c>
    </row>
    <row r="7" spans="1:9" x14ac:dyDescent="0.2">
      <c r="A7" s="13" t="s">
        <v>67</v>
      </c>
      <c r="B7">
        <v>100</v>
      </c>
      <c r="D7" s="9"/>
      <c r="F7" s="9"/>
      <c r="G7" s="12"/>
      <c r="H7" s="9"/>
    </row>
    <row r="8" spans="1:9" x14ac:dyDescent="0.2">
      <c r="A8" s="13" t="s">
        <v>68</v>
      </c>
      <c r="B8">
        <v>2</v>
      </c>
    </row>
    <row r="9" spans="1:9" x14ac:dyDescent="0.2">
      <c r="A9" s="13"/>
      <c r="H9" s="9"/>
    </row>
    <row r="10" spans="1:9" x14ac:dyDescent="0.2">
      <c r="A10" s="13"/>
    </row>
    <row r="11" spans="1:9" x14ac:dyDescent="0.2">
      <c r="A11" s="13" t="s">
        <v>63</v>
      </c>
      <c r="B11">
        <f>ROUND(A12+A14*B7+A16*B8,2)</f>
        <v>7.09</v>
      </c>
    </row>
    <row r="12" spans="1:9" x14ac:dyDescent="0.2">
      <c r="A12">
        <v>-0.86870146678170856</v>
      </c>
      <c r="H12" s="10"/>
    </row>
    <row r="13" spans="1:9" x14ac:dyDescent="0.2">
      <c r="A13" s="9" t="s">
        <v>65</v>
      </c>
      <c r="G13" s="9"/>
      <c r="I13" s="9"/>
    </row>
    <row r="14" spans="1:9" x14ac:dyDescent="0.2">
      <c r="A14">
        <v>6.1134598792062123E-2</v>
      </c>
    </row>
    <row r="15" spans="1:9" x14ac:dyDescent="0.2">
      <c r="A15" s="9" t="s">
        <v>66</v>
      </c>
    </row>
    <row r="16" spans="1:9" x14ac:dyDescent="0.2">
      <c r="A16" s="12">
        <v>0.92342536669542719</v>
      </c>
    </row>
    <row r="17" spans="1:1" x14ac:dyDescent="0.2">
      <c r="A17" s="9" t="s">
        <v>64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B2A1-51FB-446E-9C2C-AAA15BD48A69}">
  <dimension ref="A1:L23"/>
  <sheetViews>
    <sheetView workbookViewId="0">
      <selection activeCell="J5" sqref="J5"/>
    </sheetView>
  </sheetViews>
  <sheetFormatPr defaultRowHeight="12.75" x14ac:dyDescent="0.2"/>
  <cols>
    <col min="2" max="2" width="12" customWidth="1"/>
    <col min="3" max="3" width="17.7109375" customWidth="1"/>
    <col min="4" max="4" width="14.85546875" customWidth="1"/>
    <col min="5" max="5" width="19.7109375" customWidth="1"/>
    <col min="7" max="7" width="11.140625" customWidth="1"/>
  </cols>
  <sheetData>
    <row r="1" spans="1:12" ht="27.75" customHeight="1" x14ac:dyDescent="0.2"/>
    <row r="2" spans="1:12" ht="35.25" customHeight="1" x14ac:dyDescent="0.2">
      <c r="A2" s="1" t="s">
        <v>0</v>
      </c>
      <c r="B2" s="1" t="s">
        <v>1</v>
      </c>
      <c r="C2" s="1" t="s">
        <v>2</v>
      </c>
      <c r="D2" s="7" t="s">
        <v>49</v>
      </c>
      <c r="E2" s="1" t="s">
        <v>41</v>
      </c>
      <c r="F2" s="7" t="s">
        <v>42</v>
      </c>
      <c r="G2" s="7" t="s">
        <v>44</v>
      </c>
      <c r="H2" s="7" t="s">
        <v>47</v>
      </c>
    </row>
    <row r="3" spans="1:12" ht="13.5" thickBot="1" x14ac:dyDescent="0.25">
      <c r="A3" s="1">
        <v>1</v>
      </c>
      <c r="B3" s="1">
        <v>100</v>
      </c>
      <c r="C3" s="1">
        <v>4</v>
      </c>
      <c r="D3" s="1">
        <v>9.3000000000000007</v>
      </c>
      <c r="E3" s="8">
        <f>$J$5+$J$6*B3+$J$7*C3</f>
        <v>8.9384598792062135</v>
      </c>
      <c r="F3">
        <f>(D3-$D$15)^2</f>
        <v>6.7600000000000025</v>
      </c>
      <c r="G3">
        <f>(E3-$D$15)^2</f>
        <v>5.0107026308158957</v>
      </c>
      <c r="H3">
        <f>(D3-E3)^2</f>
        <v>0.13071125894358621</v>
      </c>
    </row>
    <row r="4" spans="1:12" x14ac:dyDescent="0.2">
      <c r="A4" s="1">
        <v>2</v>
      </c>
      <c r="B4" s="1">
        <v>50</v>
      </c>
      <c r="C4" s="1">
        <v>3</v>
      </c>
      <c r="D4" s="1">
        <v>4.8</v>
      </c>
      <c r="E4" s="8">
        <f t="shared" ref="E4:E12" si="0">$J$5+$J$6*B4+$J$7*C4</f>
        <v>4.9583045729076787</v>
      </c>
      <c r="F4">
        <f t="shared" ref="F4:F11" si="1">(D4-$D$15)^2</f>
        <v>3.6100000000000012</v>
      </c>
      <c r="G4">
        <f t="shared" ref="G4:G12" si="2">(E4-$D$15)^2</f>
        <v>3.033502960754304</v>
      </c>
      <c r="H4">
        <f t="shared" ref="H4:H12" si="3">(D4-E4)^2</f>
        <v>2.5060337803482609E-2</v>
      </c>
      <c r="J4" s="3" t="s">
        <v>22</v>
      </c>
      <c r="L4" t="s">
        <v>52</v>
      </c>
    </row>
    <row r="5" spans="1:12" x14ac:dyDescent="0.2">
      <c r="A5" s="1">
        <v>3</v>
      </c>
      <c r="B5" s="1">
        <v>100</v>
      </c>
      <c r="C5" s="1">
        <v>4</v>
      </c>
      <c r="D5" s="1">
        <v>8.9</v>
      </c>
      <c r="E5" s="8">
        <f t="shared" si="0"/>
        <v>8.9384598792062135</v>
      </c>
      <c r="F5">
        <f t="shared" si="1"/>
        <v>4.8400000000000007</v>
      </c>
      <c r="G5">
        <f t="shared" si="2"/>
        <v>5.0107026308158957</v>
      </c>
      <c r="H5">
        <f t="shared" si="3"/>
        <v>1.4791623085565096E-3</v>
      </c>
      <c r="J5">
        <v>-0.86870146678170856</v>
      </c>
      <c r="L5">
        <f>G15/2</f>
        <v>10.800278257118212</v>
      </c>
    </row>
    <row r="6" spans="1:12" x14ac:dyDescent="0.2">
      <c r="A6" s="1">
        <v>4</v>
      </c>
      <c r="B6" s="1">
        <v>100</v>
      </c>
      <c r="C6" s="1">
        <v>2</v>
      </c>
      <c r="D6" s="1">
        <v>6.5</v>
      </c>
      <c r="E6" s="8">
        <f t="shared" si="0"/>
        <v>7.0916091458153589</v>
      </c>
      <c r="F6">
        <f t="shared" si="1"/>
        <v>4.000000000000007E-2</v>
      </c>
      <c r="G6">
        <f t="shared" si="2"/>
        <v>0.15335772308623494</v>
      </c>
      <c r="H6">
        <f t="shared" si="3"/>
        <v>0.35000138141237863</v>
      </c>
      <c r="J6">
        <v>6.1134598792062123E-2</v>
      </c>
    </row>
    <row r="7" spans="1:12" ht="13.5" thickBot="1" x14ac:dyDescent="0.25">
      <c r="A7" s="1">
        <v>5</v>
      </c>
      <c r="B7" s="1">
        <v>50</v>
      </c>
      <c r="C7" s="1">
        <v>2</v>
      </c>
      <c r="D7" s="1">
        <v>4.2</v>
      </c>
      <c r="E7" s="8">
        <f t="shared" si="0"/>
        <v>4.0348792062122518</v>
      </c>
      <c r="F7">
        <f t="shared" si="1"/>
        <v>6.25</v>
      </c>
      <c r="G7">
        <f t="shared" si="2"/>
        <v>7.1028688454798381</v>
      </c>
      <c r="H7">
        <f t="shared" si="3"/>
        <v>2.7264876541096116E-2</v>
      </c>
      <c r="J7" s="2">
        <v>0.92342536669542719</v>
      </c>
      <c r="L7" t="s">
        <v>53</v>
      </c>
    </row>
    <row r="8" spans="1:12" x14ac:dyDescent="0.2">
      <c r="A8" s="1">
        <v>6</v>
      </c>
      <c r="B8" s="1">
        <v>80</v>
      </c>
      <c r="C8" s="1">
        <v>2</v>
      </c>
      <c r="D8" s="1">
        <v>6.2</v>
      </c>
      <c r="E8" s="8">
        <f t="shared" si="0"/>
        <v>5.8689171699741154</v>
      </c>
      <c r="F8">
        <f t="shared" si="1"/>
        <v>0.25</v>
      </c>
      <c r="G8">
        <f t="shared" si="2"/>
        <v>0.6906986703638337</v>
      </c>
      <c r="H8">
        <f t="shared" si="3"/>
        <v>0.10961584033794892</v>
      </c>
      <c r="L8">
        <f>H15/(10-2-1)</f>
        <v>0.32849192653765613</v>
      </c>
    </row>
    <row r="9" spans="1:12" x14ac:dyDescent="0.2">
      <c r="A9" s="1">
        <v>7</v>
      </c>
      <c r="B9" s="1">
        <v>75</v>
      </c>
      <c r="C9" s="1">
        <v>3</v>
      </c>
      <c r="D9" s="1">
        <v>7.4</v>
      </c>
      <c r="E9" s="8">
        <f t="shared" si="0"/>
        <v>6.4866695427092314</v>
      </c>
      <c r="F9">
        <f t="shared" si="1"/>
        <v>0.49000000000000027</v>
      </c>
      <c r="G9">
        <f t="shared" si="2"/>
        <v>4.5509884007888544E-2</v>
      </c>
      <c r="H9">
        <f t="shared" si="3"/>
        <v>0.83417252421496524</v>
      </c>
    </row>
    <row r="10" spans="1:12" x14ac:dyDescent="0.2">
      <c r="A10" s="1">
        <v>8</v>
      </c>
      <c r="B10" s="1">
        <v>65</v>
      </c>
      <c r="C10" s="1">
        <v>4</v>
      </c>
      <c r="D10" s="1">
        <v>6</v>
      </c>
      <c r="E10" s="8">
        <f t="shared" si="0"/>
        <v>6.7987489214840382</v>
      </c>
      <c r="F10">
        <f t="shared" si="1"/>
        <v>0.49000000000000027</v>
      </c>
      <c r="G10">
        <f t="shared" si="2"/>
        <v>9.7513494942607064E-3</v>
      </c>
      <c r="H10">
        <f t="shared" si="3"/>
        <v>0.6379998395719142</v>
      </c>
      <c r="L10" t="s">
        <v>54</v>
      </c>
    </row>
    <row r="11" spans="1:12" x14ac:dyDescent="0.2">
      <c r="A11" s="1">
        <v>9</v>
      </c>
      <c r="B11" s="1">
        <v>90</v>
      </c>
      <c r="C11" s="1">
        <v>3</v>
      </c>
      <c r="D11" s="1">
        <v>7.6</v>
      </c>
      <c r="E11" s="8">
        <f t="shared" si="0"/>
        <v>7.403688524590164</v>
      </c>
      <c r="F11">
        <f t="shared" si="1"/>
        <v>0.80999999999999905</v>
      </c>
      <c r="G11">
        <f t="shared" si="2"/>
        <v>0.49517753963988165</v>
      </c>
      <c r="H11">
        <f t="shared" si="3"/>
        <v>3.8538195377586494E-2</v>
      </c>
      <c r="L11">
        <f>L5/L8</f>
        <v>32.878367425812947</v>
      </c>
    </row>
    <row r="12" spans="1:12" x14ac:dyDescent="0.2">
      <c r="A12" s="1">
        <v>10</v>
      </c>
      <c r="B12" s="1">
        <v>90</v>
      </c>
      <c r="C12" s="1">
        <v>2</v>
      </c>
      <c r="D12" s="1">
        <v>6.1</v>
      </c>
      <c r="E12" s="8">
        <f t="shared" si="0"/>
        <v>6.4802631578947372</v>
      </c>
      <c r="F12">
        <f>(D12-$D$15)^2</f>
        <v>0.36000000000000065</v>
      </c>
      <c r="G12">
        <f t="shared" si="2"/>
        <v>4.8284279778393287E-2</v>
      </c>
      <c r="H12">
        <f t="shared" si="3"/>
        <v>0.14460006925207808</v>
      </c>
    </row>
    <row r="14" spans="1:12" x14ac:dyDescent="0.2">
      <c r="D14" t="s">
        <v>43</v>
      </c>
      <c r="F14" t="s">
        <v>46</v>
      </c>
      <c r="G14" t="s">
        <v>45</v>
      </c>
      <c r="H14" t="s">
        <v>48</v>
      </c>
    </row>
    <row r="15" spans="1:12" x14ac:dyDescent="0.2">
      <c r="D15">
        <f>AVERAGE(D3:D12)</f>
        <v>6.7</v>
      </c>
      <c r="F15">
        <f>SUM(F3:F12)</f>
        <v>23.900000000000009</v>
      </c>
      <c r="G15">
        <f>SUM(G3:G12)</f>
        <v>21.600556514236423</v>
      </c>
      <c r="H15">
        <f>SUM(H3:H12)</f>
        <v>2.299443485763593</v>
      </c>
    </row>
    <row r="20" spans="2:6" x14ac:dyDescent="0.2">
      <c r="B20" t="s">
        <v>55</v>
      </c>
      <c r="E20" t="s">
        <v>50</v>
      </c>
      <c r="F20">
        <f>G15/F15</f>
        <v>0.90378897549106341</v>
      </c>
    </row>
    <row r="21" spans="2:6" x14ac:dyDescent="0.2">
      <c r="B21">
        <f>CORREL(B3:B12,C3:C12)</f>
        <v>0.16203391141302828</v>
      </c>
    </row>
    <row r="23" spans="2:6" x14ac:dyDescent="0.2">
      <c r="E23" t="s">
        <v>51</v>
      </c>
      <c r="F23">
        <f>1-(1-F20)*((10-1)/(10-2-1))</f>
        <v>0.876300111345653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663A-E2B3-4260-A378-6BDD9F8DFBF7}">
  <dimension ref="A1:S15"/>
  <sheetViews>
    <sheetView zoomScale="118" zoomScaleNormal="118" workbookViewId="0">
      <selection activeCell="A14" sqref="A14:B15"/>
    </sheetView>
  </sheetViews>
  <sheetFormatPr defaultRowHeight="12.75" x14ac:dyDescent="0.2"/>
  <cols>
    <col min="1" max="1" width="12.7109375" bestFit="1" customWidth="1"/>
    <col min="4" max="4" width="11.42578125" bestFit="1" customWidth="1"/>
    <col min="7" max="7" width="20.28515625" bestFit="1" customWidth="1"/>
    <col min="13" max="13" width="13.7109375" bestFit="1" customWidth="1"/>
    <col min="18" max="18" width="17.140625" bestFit="1" customWidth="1"/>
  </cols>
  <sheetData>
    <row r="1" spans="1:19" x14ac:dyDescent="0.2">
      <c r="B1" s="35" t="s">
        <v>1</v>
      </c>
      <c r="C1" s="35" t="s">
        <v>2</v>
      </c>
      <c r="D1" s="36" t="s">
        <v>3</v>
      </c>
      <c r="E1" s="10"/>
      <c r="F1" s="10"/>
      <c r="G1" s="13" t="s">
        <v>82</v>
      </c>
      <c r="L1" s="9" t="s">
        <v>78</v>
      </c>
      <c r="Q1" s="10" t="s">
        <v>69</v>
      </c>
      <c r="R1" s="10" t="s">
        <v>83</v>
      </c>
    </row>
    <row r="2" spans="1:19" x14ac:dyDescent="0.2">
      <c r="A2">
        <v>1</v>
      </c>
      <c r="B2" s="1">
        <v>100</v>
      </c>
      <c r="C2" s="1">
        <v>4</v>
      </c>
      <c r="D2" s="34">
        <v>9.3000000000000007</v>
      </c>
      <c r="G2" cm="1">
        <f t="array" ref="G2">MMULT(MMULT(A2:C2, $L$2:$N$4), TRANSPOSE(A2:C2))</f>
        <v>0.35170405522001724</v>
      </c>
      <c r="H2" cm="1">
        <f t="array" ref="H2:J4">MMULT(TRANSPOSE(A2:C11), A2:C11)</f>
        <v>10</v>
      </c>
      <c r="I2">
        <v>800</v>
      </c>
      <c r="J2">
        <v>29</v>
      </c>
      <c r="L2" cm="1">
        <f t="array" ref="L2:N4">MINVERSE(H2:J4)</f>
        <v>2.7563632441760131</v>
      </c>
      <c r="M2">
        <v>-2.0685936151855051E-2</v>
      </c>
      <c r="N2">
        <v>-0.34534081104400305</v>
      </c>
      <c r="Q2">
        <v>0.36154012079378717</v>
      </c>
      <c r="R2">
        <f>(Q2^2/($N$9+1)*$N$10)*((G2/(1-G2)^2))</f>
        <v>1.1976976816346994E-2</v>
      </c>
      <c r="S2">
        <f>(Q2^2 / (N9 * N10)) * (G2 / (1 - G2)^2)</f>
        <v>0.16649035047056657</v>
      </c>
    </row>
    <row r="3" spans="1:19" x14ac:dyDescent="0.2">
      <c r="A3">
        <v>1</v>
      </c>
      <c r="B3" s="1">
        <v>50</v>
      </c>
      <c r="C3" s="1">
        <v>3</v>
      </c>
      <c r="D3" s="34">
        <v>4.8</v>
      </c>
      <c r="G3" cm="1">
        <f t="array" ref="G3">MMULT(MMULT(A3:C3, $L$2:$N$4), TRANSPOSE(A3:C3))</f>
        <v>0.3758628127696293</v>
      </c>
      <c r="H3">
        <v>800</v>
      </c>
      <c r="I3">
        <v>67450</v>
      </c>
      <c r="J3">
        <v>2345</v>
      </c>
      <c r="L3">
        <v>-2.0685936151855048E-2</v>
      </c>
      <c r="M3">
        <v>2.9767040552200171E-4</v>
      </c>
      <c r="N3">
        <v>-1.0785159620362379E-3</v>
      </c>
      <c r="Q3">
        <v>-0.15830457290767885</v>
      </c>
      <c r="R3">
        <f t="shared" ref="R3:R11" si="0">(Q3^2/($N$9+1)*$N$10)*((G3/(1-G3)^2))</f>
        <v>2.6476441045946084E-3</v>
      </c>
    </row>
    <row r="4" spans="1:19" x14ac:dyDescent="0.2">
      <c r="A4">
        <v>1</v>
      </c>
      <c r="B4" s="1">
        <v>100</v>
      </c>
      <c r="C4" s="1">
        <v>4</v>
      </c>
      <c r="D4" s="34">
        <v>8.9</v>
      </c>
      <c r="G4" cm="1">
        <f t="array" ref="G4">MMULT(MMULT(A4:C4, $L$2:$N$4), TRANSPOSE(A4:C4))</f>
        <v>0.35170405522001724</v>
      </c>
      <c r="H4">
        <v>29</v>
      </c>
      <c r="I4">
        <v>2345</v>
      </c>
      <c r="J4">
        <v>91</v>
      </c>
      <c r="L4">
        <v>-0.34534081104400316</v>
      </c>
      <c r="M4">
        <v>-1.0785159620362369E-3</v>
      </c>
      <c r="N4">
        <v>0.14883520276100073</v>
      </c>
      <c r="Q4">
        <v>-3.8459879206213188E-2</v>
      </c>
      <c r="R4">
        <f t="shared" si="0"/>
        <v>1.3553455777548306E-4</v>
      </c>
    </row>
    <row r="5" spans="1:19" x14ac:dyDescent="0.2">
      <c r="A5">
        <v>1</v>
      </c>
      <c r="B5" s="1">
        <v>100</v>
      </c>
      <c r="C5" s="1">
        <v>2</v>
      </c>
      <c r="D5" s="34">
        <v>6.5</v>
      </c>
      <c r="G5" cm="1">
        <f t="array" ref="G5">MMULT(MMULT(A5:C5, $L$2:$N$4), TRANSPOSE(A5:C5))</f>
        <v>0.37845125107851585</v>
      </c>
      <c r="Q5">
        <v>-0.59160914581535895</v>
      </c>
      <c r="R5">
        <f t="shared" si="0"/>
        <v>3.754332698583198E-2</v>
      </c>
    </row>
    <row r="6" spans="1:19" x14ac:dyDescent="0.2">
      <c r="A6">
        <v>1</v>
      </c>
      <c r="B6" s="1">
        <v>50</v>
      </c>
      <c r="C6" s="1">
        <v>2</v>
      </c>
      <c r="D6" s="34">
        <v>4.2</v>
      </c>
      <c r="G6" cm="1">
        <f t="array" ref="G6">MMULT(MMULT(A6:C6, $L$2:$N$4), TRANSPOSE(A6:C6))</f>
        <v>0.43022001725625536</v>
      </c>
      <c r="Q6">
        <v>0.16512079378774835</v>
      </c>
      <c r="R6">
        <f t="shared" si="0"/>
        <v>3.9562453678940439E-3</v>
      </c>
    </row>
    <row r="7" spans="1:19" x14ac:dyDescent="0.2">
      <c r="A7">
        <v>1</v>
      </c>
      <c r="B7" s="1">
        <v>80</v>
      </c>
      <c r="C7" s="1">
        <v>2</v>
      </c>
      <c r="D7" s="34">
        <v>6.2</v>
      </c>
      <c r="G7" cm="1">
        <f t="array" ref="G7">MMULT(MMULT(A7:C7, $L$2:$N$4), TRANSPOSE(A7:C7))</f>
        <v>0.22055651423641076</v>
      </c>
      <c r="Q7">
        <v>0.33108283002588479</v>
      </c>
      <c r="R7">
        <f t="shared" si="0"/>
        <v>4.3573995975702108E-3</v>
      </c>
    </row>
    <row r="8" spans="1:19" x14ac:dyDescent="0.2">
      <c r="A8">
        <v>1</v>
      </c>
      <c r="B8" s="1">
        <v>75</v>
      </c>
      <c r="C8" s="1">
        <v>3</v>
      </c>
      <c r="D8" s="34">
        <v>7.4</v>
      </c>
      <c r="G8" cm="1">
        <f t="array" ref="G8">MMULT(MMULT(A8:C8, $L$2:$N$4), TRANSPOSE(A8:C8))</f>
        <v>0.11000862812769646</v>
      </c>
      <c r="Q8">
        <v>0.913330457290769</v>
      </c>
      <c r="R8">
        <f t="shared" si="0"/>
        <v>1.2685701342839821E-2</v>
      </c>
    </row>
    <row r="9" spans="1:19" x14ac:dyDescent="0.2">
      <c r="A9">
        <v>1</v>
      </c>
      <c r="B9" s="1">
        <v>65</v>
      </c>
      <c r="C9" s="1">
        <v>4</v>
      </c>
      <c r="D9" s="34">
        <v>6</v>
      </c>
      <c r="G9" cm="1">
        <f t="array" ref="G9">MMULT(MMULT(A9:C9, $L$2:$N$4), TRANSPOSE(A9:C9))</f>
        <v>0.38265746333045725</v>
      </c>
      <c r="M9" s="10" t="s">
        <v>79</v>
      </c>
      <c r="N9">
        <f>COUNTA(B1:C1)</f>
        <v>2</v>
      </c>
      <c r="Q9">
        <v>-0.7987489214840382</v>
      </c>
      <c r="R9">
        <f t="shared" si="0"/>
        <v>7.0142590142457439E-2</v>
      </c>
    </row>
    <row r="10" spans="1:19" x14ac:dyDescent="0.2">
      <c r="A10">
        <v>1</v>
      </c>
      <c r="B10" s="1">
        <v>90</v>
      </c>
      <c r="C10" s="1">
        <v>3</v>
      </c>
      <c r="D10" s="34">
        <v>7.6</v>
      </c>
      <c r="G10" cm="1">
        <f t="array" ref="G10">MMULT(MMULT(A10:C10, $L$2:$N$4), TRANSPOSE(A10:C10))</f>
        <v>0.12909836065573782</v>
      </c>
      <c r="M10" s="10" t="s">
        <v>53</v>
      </c>
      <c r="N10">
        <v>0.32849192653765602</v>
      </c>
      <c r="Q10">
        <v>0.19631147540983562</v>
      </c>
      <c r="R10">
        <f t="shared" si="0"/>
        <v>7.1825280546882885E-4</v>
      </c>
    </row>
    <row r="11" spans="1:19" ht="13.5" thickBot="1" x14ac:dyDescent="0.25">
      <c r="A11">
        <v>1</v>
      </c>
      <c r="B11" s="1">
        <v>90</v>
      </c>
      <c r="C11" s="1">
        <v>2</v>
      </c>
      <c r="D11" s="34">
        <v>6.1</v>
      </c>
      <c r="G11" cm="1">
        <f t="array" ref="G11">MMULT(MMULT(A11:C11, $L$2:$N$4), TRANSPOSE(A11:C11))</f>
        <v>0.26973684210526294</v>
      </c>
      <c r="M11" s="9" t="s">
        <v>84</v>
      </c>
      <c r="N11">
        <v>2.2994434857635899</v>
      </c>
      <c r="Q11" s="2">
        <v>-0.38026315789473752</v>
      </c>
      <c r="R11">
        <f t="shared" si="0"/>
        <v>8.0085415575633732E-3</v>
      </c>
    </row>
    <row r="12" spans="1:19" x14ac:dyDescent="0.2">
      <c r="M12" s="9" t="s">
        <v>85</v>
      </c>
      <c r="N12">
        <f>N11/(B14-B15)</f>
        <v>0.28743043572044874</v>
      </c>
    </row>
    <row r="14" spans="1:19" x14ac:dyDescent="0.2">
      <c r="A14" s="33" t="s">
        <v>72</v>
      </c>
      <c r="B14">
        <f>COUNT(B2:B11)</f>
        <v>10</v>
      </c>
      <c r="F14" s="9" t="s">
        <v>80</v>
      </c>
    </row>
    <row r="15" spans="1:19" x14ac:dyDescent="0.2">
      <c r="A15" s="33" t="s">
        <v>79</v>
      </c>
      <c r="B15">
        <f>COUNTA(B1:C1)</f>
        <v>2</v>
      </c>
      <c r="F15" s="9" t="s">
        <v>81</v>
      </c>
      <c r="G15">
        <f>3*(B15+1)/B14</f>
        <v>0.9</v>
      </c>
    </row>
  </sheetData>
  <pageMargins left="0.7" right="0.7" top="0.75" bottom="0.75" header="0.3" footer="0.3"/>
  <ignoredErrors>
    <ignoredError sqref="G2:G6 G7:G11" formulaRange="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9A26-CB01-416D-9D03-380E29C4DF61}">
  <dimension ref="A1:T35"/>
  <sheetViews>
    <sheetView topLeftCell="A6" workbookViewId="0">
      <selection activeCell="G19" sqref="G19"/>
    </sheetView>
  </sheetViews>
  <sheetFormatPr defaultRowHeight="12.75" x14ac:dyDescent="0.2"/>
  <cols>
    <col min="1" max="1" width="10.7109375" bestFit="1" customWidth="1"/>
    <col min="5" max="5" width="4.7109375" customWidth="1"/>
    <col min="6" max="6" width="4.42578125" customWidth="1"/>
    <col min="7" max="7" width="10.7109375" bestFit="1" customWidth="1"/>
  </cols>
  <sheetData>
    <row r="1" spans="1:20" ht="63" x14ac:dyDescent="0.25">
      <c r="A1" s="19" t="s">
        <v>76</v>
      </c>
      <c r="B1" s="20" t="s">
        <v>73</v>
      </c>
      <c r="C1" s="20" t="s">
        <v>74</v>
      </c>
      <c r="D1" s="21" t="s">
        <v>75</v>
      </c>
      <c r="G1" s="19" t="s">
        <v>76</v>
      </c>
      <c r="H1" s="20" t="s">
        <v>73</v>
      </c>
      <c r="I1" s="20" t="s">
        <v>74</v>
      </c>
      <c r="J1" s="21" t="s">
        <v>75</v>
      </c>
      <c r="L1" t="s">
        <v>6</v>
      </c>
    </row>
    <row r="2" spans="1:20" ht="16.5" thickBot="1" x14ac:dyDescent="0.3">
      <c r="A2" s="22">
        <v>1</v>
      </c>
      <c r="B2" s="23">
        <v>2</v>
      </c>
      <c r="C2" s="24" t="str">
        <f>IF(I2=1,"electrical","mechanical")</f>
        <v>electrical</v>
      </c>
      <c r="D2" s="25">
        <v>2.9</v>
      </c>
      <c r="G2" s="22">
        <v>1</v>
      </c>
      <c r="H2" s="23">
        <v>2</v>
      </c>
      <c r="I2" s="24">
        <v>1</v>
      </c>
      <c r="J2" s="25">
        <v>2.9</v>
      </c>
    </row>
    <row r="3" spans="1:20" ht="15.75" x14ac:dyDescent="0.25">
      <c r="A3" s="22">
        <v>2</v>
      </c>
      <c r="B3" s="23">
        <v>6</v>
      </c>
      <c r="C3" s="24" t="str">
        <f t="shared" ref="C3:C11" si="0">IF(I3=1,"electrical","mechanical")</f>
        <v>mechanical</v>
      </c>
      <c r="D3" s="25">
        <v>3</v>
      </c>
      <c r="G3" s="22">
        <v>2</v>
      </c>
      <c r="H3" s="23">
        <v>6</v>
      </c>
      <c r="I3" s="24">
        <v>0</v>
      </c>
      <c r="J3" s="25">
        <v>3</v>
      </c>
      <c r="L3" s="17" t="s">
        <v>7</v>
      </c>
      <c r="M3" s="17"/>
    </row>
    <row r="4" spans="1:20" ht="15.75" x14ac:dyDescent="0.25">
      <c r="A4" s="22">
        <v>3</v>
      </c>
      <c r="B4" s="23">
        <v>8</v>
      </c>
      <c r="C4" s="24" t="str">
        <f t="shared" si="0"/>
        <v>electrical</v>
      </c>
      <c r="D4" s="25">
        <v>4.8</v>
      </c>
      <c r="G4" s="22">
        <v>3</v>
      </c>
      <c r="H4" s="23">
        <v>8</v>
      </c>
      <c r="I4" s="24">
        <v>1</v>
      </c>
      <c r="J4" s="25">
        <v>4.8</v>
      </c>
      <c r="L4" s="14" t="s">
        <v>8</v>
      </c>
      <c r="M4" s="14">
        <v>0.92692750376369792</v>
      </c>
    </row>
    <row r="5" spans="1:20" ht="15.75" x14ac:dyDescent="0.25">
      <c r="A5" s="22">
        <v>4</v>
      </c>
      <c r="B5" s="23">
        <v>3</v>
      </c>
      <c r="C5" s="24" t="str">
        <f t="shared" si="0"/>
        <v>mechanical</v>
      </c>
      <c r="D5" s="25">
        <v>1.8</v>
      </c>
      <c r="G5" s="22">
        <v>4</v>
      </c>
      <c r="H5" s="23">
        <v>3</v>
      </c>
      <c r="I5" s="24">
        <v>0</v>
      </c>
      <c r="J5" s="25">
        <v>1.8</v>
      </c>
      <c r="L5" s="14" t="s">
        <v>9</v>
      </c>
      <c r="M5" s="14">
        <v>0.85919459723360014</v>
      </c>
    </row>
    <row r="6" spans="1:20" ht="15.75" x14ac:dyDescent="0.25">
      <c r="A6" s="22">
        <v>5</v>
      </c>
      <c r="B6" s="23">
        <v>2</v>
      </c>
      <c r="C6" s="24" t="str">
        <f t="shared" si="0"/>
        <v>electrical</v>
      </c>
      <c r="D6" s="25">
        <v>2.9</v>
      </c>
      <c r="G6" s="22">
        <v>5</v>
      </c>
      <c r="H6" s="23">
        <v>2</v>
      </c>
      <c r="I6" s="24">
        <v>1</v>
      </c>
      <c r="J6" s="25">
        <v>2.9</v>
      </c>
      <c r="L6" s="14" t="s">
        <v>10</v>
      </c>
      <c r="M6" s="14">
        <v>0.81896448215748585</v>
      </c>
    </row>
    <row r="7" spans="1:20" ht="15.75" x14ac:dyDescent="0.25">
      <c r="A7" s="22">
        <v>6</v>
      </c>
      <c r="B7" s="23">
        <v>7</v>
      </c>
      <c r="C7" s="24" t="str">
        <f t="shared" si="0"/>
        <v>electrical</v>
      </c>
      <c r="D7" s="25">
        <v>4.9000000000000004</v>
      </c>
      <c r="G7" s="22">
        <v>6</v>
      </c>
      <c r="H7" s="23">
        <v>7</v>
      </c>
      <c r="I7" s="24">
        <v>1</v>
      </c>
      <c r="J7" s="25">
        <v>4.9000000000000004</v>
      </c>
      <c r="L7" s="14" t="s">
        <v>11</v>
      </c>
      <c r="M7" s="14">
        <v>0.45904830112819978</v>
      </c>
    </row>
    <row r="8" spans="1:20" ht="16.5" thickBot="1" x14ac:dyDescent="0.3">
      <c r="A8" s="22">
        <v>7</v>
      </c>
      <c r="B8" s="23">
        <v>9</v>
      </c>
      <c r="C8" s="24" t="str">
        <f t="shared" si="0"/>
        <v>mechanical</v>
      </c>
      <c r="D8" s="25">
        <v>4.2</v>
      </c>
      <c r="G8" s="22">
        <v>7</v>
      </c>
      <c r="H8" s="23">
        <v>9</v>
      </c>
      <c r="I8" s="24">
        <v>0</v>
      </c>
      <c r="J8" s="25">
        <v>4.2</v>
      </c>
      <c r="L8" s="15" t="s">
        <v>12</v>
      </c>
      <c r="M8" s="15">
        <v>10</v>
      </c>
    </row>
    <row r="9" spans="1:20" ht="15.75" x14ac:dyDescent="0.25">
      <c r="A9" s="22">
        <v>8</v>
      </c>
      <c r="B9" s="23">
        <v>8</v>
      </c>
      <c r="C9" s="24" t="str">
        <f t="shared" si="0"/>
        <v>mechanical</v>
      </c>
      <c r="D9" s="25">
        <v>4.8</v>
      </c>
      <c r="G9" s="22">
        <v>8</v>
      </c>
      <c r="H9" s="23">
        <v>8</v>
      </c>
      <c r="I9" s="24">
        <v>0</v>
      </c>
      <c r="J9" s="25">
        <v>4.8</v>
      </c>
    </row>
    <row r="10" spans="1:20" ht="16.5" thickBot="1" x14ac:dyDescent="0.3">
      <c r="A10" s="22">
        <v>9</v>
      </c>
      <c r="B10" s="23">
        <v>4</v>
      </c>
      <c r="C10" s="24" t="str">
        <f t="shared" si="0"/>
        <v>electrical</v>
      </c>
      <c r="D10" s="25">
        <v>4.4000000000000004</v>
      </c>
      <c r="G10" s="22">
        <v>9</v>
      </c>
      <c r="H10" s="23">
        <v>4</v>
      </c>
      <c r="I10" s="24">
        <v>1</v>
      </c>
      <c r="J10" s="25">
        <v>4.4000000000000004</v>
      </c>
      <c r="L10" t="s">
        <v>13</v>
      </c>
    </row>
    <row r="11" spans="1:20" ht="15.75" x14ac:dyDescent="0.25">
      <c r="A11" s="26">
        <v>10</v>
      </c>
      <c r="B11" s="27">
        <v>6</v>
      </c>
      <c r="C11" s="24" t="str">
        <f t="shared" si="0"/>
        <v>electrical</v>
      </c>
      <c r="D11" s="29">
        <v>4.5</v>
      </c>
      <c r="G11" s="26">
        <v>10</v>
      </c>
      <c r="H11" s="27">
        <v>6</v>
      </c>
      <c r="I11" s="28">
        <v>1</v>
      </c>
      <c r="J11" s="29">
        <v>4.5</v>
      </c>
      <c r="L11" s="16"/>
      <c r="M11" s="16" t="s">
        <v>17</v>
      </c>
      <c r="N11" s="16" t="s">
        <v>18</v>
      </c>
      <c r="O11" s="16" t="s">
        <v>19</v>
      </c>
      <c r="P11" s="16" t="s">
        <v>20</v>
      </c>
      <c r="Q11" s="16" t="s">
        <v>21</v>
      </c>
    </row>
    <row r="12" spans="1:20" x14ac:dyDescent="0.2">
      <c r="L12" s="14" t="s">
        <v>14</v>
      </c>
      <c r="M12" s="14">
        <v>2</v>
      </c>
      <c r="N12" s="14">
        <v>9.0009226006191945</v>
      </c>
      <c r="O12" s="14">
        <v>4.5004613003095972</v>
      </c>
      <c r="P12" s="14">
        <v>21.357000734599644</v>
      </c>
      <c r="Q12" s="14">
        <v>1.0475327683124587E-3</v>
      </c>
    </row>
    <row r="13" spans="1:20" x14ac:dyDescent="0.2">
      <c r="L13" s="14" t="s">
        <v>69</v>
      </c>
      <c r="M13" s="14">
        <v>7</v>
      </c>
      <c r="N13" s="14">
        <v>1.4750773993808048</v>
      </c>
      <c r="O13" s="14">
        <v>0.2107253427686864</v>
      </c>
      <c r="P13" s="14"/>
      <c r="Q13" s="14"/>
    </row>
    <row r="14" spans="1:20" ht="13.5" thickBot="1" x14ac:dyDescent="0.25">
      <c r="L14" s="15" t="s">
        <v>15</v>
      </c>
      <c r="M14" s="15">
        <v>9</v>
      </c>
      <c r="N14" s="15">
        <v>10.475999999999999</v>
      </c>
      <c r="O14" s="15"/>
      <c r="P14" s="15"/>
      <c r="Q14" s="15"/>
    </row>
    <row r="15" spans="1:20" ht="13.5" thickBot="1" x14ac:dyDescent="0.25"/>
    <row r="16" spans="1:20" x14ac:dyDescent="0.2">
      <c r="L16" s="16"/>
      <c r="M16" s="16" t="s">
        <v>22</v>
      </c>
      <c r="N16" s="16" t="s">
        <v>11</v>
      </c>
      <c r="O16" s="16" t="s">
        <v>23</v>
      </c>
      <c r="P16" s="16" t="s">
        <v>24</v>
      </c>
      <c r="Q16" s="16" t="s">
        <v>25</v>
      </c>
      <c r="R16" s="16" t="s">
        <v>26</v>
      </c>
      <c r="S16" s="16" t="s">
        <v>70</v>
      </c>
      <c r="T16" s="16" t="s">
        <v>71</v>
      </c>
    </row>
    <row r="17" spans="12:20" x14ac:dyDescent="0.2">
      <c r="L17" s="14" t="s">
        <v>16</v>
      </c>
      <c r="M17" s="14">
        <v>0.93049535603715117</v>
      </c>
      <c r="N17" s="14">
        <v>0.46697414033464429</v>
      </c>
      <c r="O17" s="14">
        <v>1.9926057476551851</v>
      </c>
      <c r="P17" s="14">
        <v>8.6558043114434491E-2</v>
      </c>
      <c r="Q17" s="14">
        <v>-0.17372302106484128</v>
      </c>
      <c r="R17" s="14">
        <v>2.0347137331391436</v>
      </c>
      <c r="S17" s="14">
        <v>-0.17372302106484128</v>
      </c>
      <c r="T17" s="14">
        <v>2.0347137331391436</v>
      </c>
    </row>
    <row r="18" spans="12:20" ht="51" x14ac:dyDescent="0.2">
      <c r="L18" s="30" t="s">
        <v>73</v>
      </c>
      <c r="M18" s="14">
        <v>0.38761609907120753</v>
      </c>
      <c r="N18" s="14">
        <v>6.2565187221408552E-2</v>
      </c>
      <c r="O18" s="14">
        <v>6.1953958149201078</v>
      </c>
      <c r="P18" s="14">
        <v>4.4725526186836681E-4</v>
      </c>
      <c r="Q18" s="14">
        <v>0.23967294006202186</v>
      </c>
      <c r="R18" s="14">
        <v>0.53555925808039317</v>
      </c>
      <c r="S18" s="14">
        <v>0.23967294006202186</v>
      </c>
      <c r="T18" s="14">
        <v>0.53555925808039317</v>
      </c>
    </row>
    <row r="19" spans="12:20" ht="26.25" thickBot="1" x14ac:dyDescent="0.25">
      <c r="L19" s="31" t="s">
        <v>74</v>
      </c>
      <c r="M19" s="15">
        <v>1.2626934984520126</v>
      </c>
      <c r="N19" s="15">
        <v>0.31412667326057808</v>
      </c>
      <c r="O19" s="15">
        <v>4.0196952565201878</v>
      </c>
      <c r="P19" s="15">
        <v>5.0615648970958639E-3</v>
      </c>
      <c r="Q19" s="15">
        <v>0.51990194878788687</v>
      </c>
      <c r="R19" s="15">
        <v>2.0054850481161384</v>
      </c>
      <c r="S19" s="15">
        <v>0.51990194878788687</v>
      </c>
      <c r="T19" s="15">
        <v>2.0054850481161384</v>
      </c>
    </row>
    <row r="23" spans="12:20" x14ac:dyDescent="0.2">
      <c r="L23" t="s">
        <v>29</v>
      </c>
      <c r="Q23" t="s">
        <v>34</v>
      </c>
    </row>
    <row r="24" spans="12:20" ht="13.5" thickBot="1" x14ac:dyDescent="0.25"/>
    <row r="25" spans="12:20" ht="51" x14ac:dyDescent="0.2">
      <c r="L25" s="16" t="s">
        <v>30</v>
      </c>
      <c r="M25" s="32" t="s">
        <v>77</v>
      </c>
      <c r="N25" s="16" t="s">
        <v>32</v>
      </c>
      <c r="O25" s="16" t="s">
        <v>33</v>
      </c>
      <c r="Q25" s="16" t="s">
        <v>35</v>
      </c>
      <c r="R25" s="32" t="s">
        <v>75</v>
      </c>
    </row>
    <row r="26" spans="12:20" x14ac:dyDescent="0.2">
      <c r="L26" s="14">
        <v>1</v>
      </c>
      <c r="M26" s="14">
        <v>2.9684210526315788</v>
      </c>
      <c r="N26" s="14">
        <v>-6.8421052631578938E-2</v>
      </c>
      <c r="O26" s="14">
        <v>-0.16900657536738684</v>
      </c>
      <c r="Q26" s="14">
        <v>5</v>
      </c>
      <c r="R26" s="14">
        <v>1.8</v>
      </c>
    </row>
    <row r="27" spans="12:20" x14ac:dyDescent="0.2">
      <c r="L27" s="14">
        <v>2</v>
      </c>
      <c r="M27" s="14">
        <v>3.2561919504643964</v>
      </c>
      <c r="N27" s="14">
        <v>-0.25619195046439636</v>
      </c>
      <c r="O27" s="14">
        <v>-0.63281873808376776</v>
      </c>
      <c r="Q27" s="14">
        <v>15</v>
      </c>
      <c r="R27" s="14">
        <v>2.9</v>
      </c>
    </row>
    <row r="28" spans="12:20" x14ac:dyDescent="0.2">
      <c r="L28" s="14">
        <v>3</v>
      </c>
      <c r="M28" s="14">
        <v>5.2941176470588243</v>
      </c>
      <c r="N28" s="14">
        <v>-0.49411764705882444</v>
      </c>
      <c r="O28" s="14">
        <v>-1.220518073693891</v>
      </c>
      <c r="Q28" s="14">
        <v>25</v>
      </c>
      <c r="R28" s="14">
        <v>2.9</v>
      </c>
    </row>
    <row r="29" spans="12:20" x14ac:dyDescent="0.2">
      <c r="L29" s="14">
        <v>4</v>
      </c>
      <c r="M29" s="14">
        <v>2.0933436532507734</v>
      </c>
      <c r="N29" s="14">
        <v>-0.29334365325077338</v>
      </c>
      <c r="O29" s="14">
        <v>-0.72458701430135164</v>
      </c>
      <c r="Q29" s="14">
        <v>35</v>
      </c>
      <c r="R29" s="14">
        <v>3</v>
      </c>
    </row>
    <row r="30" spans="12:20" x14ac:dyDescent="0.2">
      <c r="L30" s="14">
        <v>5</v>
      </c>
      <c r="M30" s="14">
        <v>2.9684210526315788</v>
      </c>
      <c r="N30" s="14">
        <v>-6.8421052631578938E-2</v>
      </c>
      <c r="O30" s="14">
        <v>-0.16900657536738684</v>
      </c>
      <c r="Q30" s="14">
        <v>45</v>
      </c>
      <c r="R30" s="14">
        <v>4.2</v>
      </c>
    </row>
    <row r="31" spans="12:20" x14ac:dyDescent="0.2">
      <c r="L31" s="14">
        <v>6</v>
      </c>
      <c r="M31" s="14">
        <v>4.9065015479876166</v>
      </c>
      <c r="N31" s="14">
        <v>-6.501547987616263E-3</v>
      </c>
      <c r="O31" s="14">
        <v>-1.6059448338077889E-2</v>
      </c>
      <c r="Q31" s="14">
        <v>55</v>
      </c>
      <c r="R31" s="14">
        <v>4.4000000000000004</v>
      </c>
    </row>
    <row r="32" spans="12:20" x14ac:dyDescent="0.2">
      <c r="L32" s="14">
        <v>7</v>
      </c>
      <c r="M32" s="14">
        <v>4.4190402476780193</v>
      </c>
      <c r="N32" s="14">
        <v>-0.21904024767801911</v>
      </c>
      <c r="O32" s="14">
        <v>-0.54105046186618322</v>
      </c>
      <c r="Q32" s="14">
        <v>65</v>
      </c>
      <c r="R32" s="14">
        <v>4.5</v>
      </c>
    </row>
    <row r="33" spans="12:18" x14ac:dyDescent="0.2">
      <c r="L33" s="14">
        <v>8</v>
      </c>
      <c r="M33" s="14">
        <v>4.0314241486068116</v>
      </c>
      <c r="N33" s="14">
        <v>0.76857585139318818</v>
      </c>
      <c r="O33" s="14">
        <v>1.8984562142513011</v>
      </c>
      <c r="Q33" s="14">
        <v>75</v>
      </c>
      <c r="R33" s="14">
        <v>4.8</v>
      </c>
    </row>
    <row r="34" spans="12:18" x14ac:dyDescent="0.2">
      <c r="L34" s="14">
        <v>9</v>
      </c>
      <c r="M34" s="14">
        <v>3.7436532507739937</v>
      </c>
      <c r="N34" s="14">
        <v>0.65634674922600666</v>
      </c>
      <c r="O34" s="14">
        <v>1.6212395465106806</v>
      </c>
      <c r="Q34" s="14">
        <v>85</v>
      </c>
      <c r="R34" s="14">
        <v>4.8</v>
      </c>
    </row>
    <row r="35" spans="12:18" ht="13.5" thickBot="1" x14ac:dyDescent="0.25">
      <c r="L35" s="15">
        <v>10</v>
      </c>
      <c r="M35" s="15">
        <v>4.518885448916409</v>
      </c>
      <c r="N35" s="15">
        <v>-1.8885448916408976E-2</v>
      </c>
      <c r="O35" s="15">
        <v>-4.6648873743940118E-2</v>
      </c>
      <c r="Q35" s="15">
        <v>95</v>
      </c>
      <c r="R35" s="15">
        <v>4.9000000000000004</v>
      </c>
    </row>
  </sheetData>
  <sortState xmlns:xlrd2="http://schemas.microsoft.com/office/spreadsheetml/2017/richdata2" ref="R26:R35">
    <sortCondition ref="R26"/>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64CF-CF0B-4889-98D7-69F36F02B879}">
  <dimension ref="A1"/>
  <sheetViews>
    <sheetView workbookViewId="0">
      <selection activeCell="L12" sqref="L12"/>
    </sheetView>
  </sheetViews>
  <sheetFormatPr defaultRowHeight="12.7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D5AB-ABCA-42C5-AF74-491BC10F9B26}">
  <dimension ref="A4:E16"/>
  <sheetViews>
    <sheetView topLeftCell="A8" workbookViewId="0">
      <selection activeCell="F2" sqref="F2"/>
    </sheetView>
  </sheetViews>
  <sheetFormatPr defaultRowHeight="12.75" x14ac:dyDescent="0.2"/>
  <cols>
    <col min="4" max="4" width="20.28515625" bestFit="1" customWidth="1"/>
  </cols>
  <sheetData>
    <row r="4" spans="1:5" x14ac:dyDescent="0.2">
      <c r="D4" t="s">
        <v>86</v>
      </c>
      <c r="E4">
        <v>8.0289999999999999</v>
      </c>
    </row>
    <row r="5" spans="1:5" x14ac:dyDescent="0.2">
      <c r="D5" t="s">
        <v>87</v>
      </c>
      <c r="E5">
        <v>2.2989999999999999</v>
      </c>
    </row>
    <row r="6" spans="1:5" ht="25.5" x14ac:dyDescent="0.2">
      <c r="D6" s="37" t="s">
        <v>88</v>
      </c>
      <c r="E6">
        <v>1</v>
      </c>
    </row>
    <row r="7" spans="1:5" x14ac:dyDescent="0.2">
      <c r="D7" t="s">
        <v>89</v>
      </c>
      <c r="E7">
        <v>7</v>
      </c>
    </row>
    <row r="8" spans="1:5" x14ac:dyDescent="0.2">
      <c r="A8" t="s">
        <v>72</v>
      </c>
      <c r="B8">
        <v>10</v>
      </c>
    </row>
    <row r="9" spans="1:5" x14ac:dyDescent="0.2">
      <c r="D9" t="s">
        <v>90</v>
      </c>
      <c r="E9">
        <f>(E4-E5)/E6</f>
        <v>5.73</v>
      </c>
    </row>
    <row r="10" spans="1:5" ht="38.25" x14ac:dyDescent="0.2">
      <c r="D10" s="37" t="s">
        <v>91</v>
      </c>
      <c r="E10">
        <v>0.32840000000000003</v>
      </c>
    </row>
    <row r="12" spans="1:5" x14ac:dyDescent="0.2">
      <c r="D12" t="s">
        <v>92</v>
      </c>
      <c r="E12">
        <f>E9/E10</f>
        <v>17.448233861144946</v>
      </c>
    </row>
    <row r="14" spans="1:5" x14ac:dyDescent="0.2">
      <c r="D14" t="s">
        <v>93</v>
      </c>
      <c r="E14">
        <f>_xlfn.F.DIST.RT(E12,1,7)</f>
        <v>4.1521843900806359E-3</v>
      </c>
    </row>
    <row r="16" spans="1:5" ht="25.5" x14ac:dyDescent="0.2">
      <c r="D16" s="37" t="s">
        <v>94</v>
      </c>
      <c r="E16">
        <f>_xlfn.F.INV.RT(0.05,1,7)</f>
        <v>5.591447851220738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thisfile</vt:lpstr>
      <vt:lpstr>Sheet2</vt:lpstr>
      <vt:lpstr>Sheet2 (2)</vt:lpstr>
      <vt:lpstr>Simple Linear Regression</vt:lpstr>
      <vt:lpstr>Multiple Regression</vt:lpstr>
      <vt:lpstr>Manually matrix math (optional)</vt:lpstr>
      <vt:lpstr>constant is zero</vt:lpstr>
      <vt:lpstr>column of ones</vt:lpstr>
      <vt:lpstr>Sheet3</vt:lpstr>
      <vt:lpstr>Conf. Interv. 4 mean y for all</vt:lpstr>
      <vt:lpstr>Pred. Inter 4 y for specific</vt:lpstr>
      <vt:lpstr>Manually Calculating MSR, SST..</vt:lpstr>
      <vt:lpstr>Leverage and Cooks Distance</vt:lpstr>
      <vt:lpstr>15.7 Categorical Independent </vt:lpstr>
      <vt:lpstr>15.9 has its own excel file</vt:lpstr>
      <vt:lpstr>Ch 16.2 Plus 1 indep.  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Alvarez</cp:lastModifiedBy>
  <dcterms:modified xsi:type="dcterms:W3CDTF">2026-03-26T04:54:48Z</dcterms:modified>
</cp:coreProperties>
</file>