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16692\Documents\194 a fall 2021\(5) R files\"/>
    </mc:Choice>
  </mc:AlternateContent>
  <xr:revisionPtr revIDLastSave="0" documentId="13_ncr:1_{1E017E51-5530-4ADF-850F-45C6758F21E0}" xr6:coauthVersionLast="47" xr6:coauthVersionMax="47" xr10:uidLastSave="{00000000-0000-0000-0000-000000000000}"/>
  <bookViews>
    <workbookView xWindow="-120" yWindow="-120" windowWidth="20730" windowHeight="11040" activeTab="5" xr2:uid="{00000000-000D-0000-FFFF-FFFF00000000}"/>
  </bookViews>
  <sheets>
    <sheet name="Data" sheetId="1" r:id="rId1"/>
    <sheet name="Data (2)" sheetId="3" r:id="rId2"/>
    <sheet name="Ignore values, just need to max" sheetId="4" r:id="rId3"/>
    <sheet name="Coefficients" sheetId="5" r:id="rId4"/>
    <sheet name="Plot" sheetId="8" r:id="rId5"/>
    <sheet name="Prediction TABLE" sheetId="2" r:id="rId6"/>
    <sheet name="Significane Test" sheetId="9" r:id="rId7"/>
  </sheets>
  <definedNames>
    <definedName name="_xlnm._FilterDatabase" localSheetId="4" hidden="1">Plot!$D$1:$D$101</definedName>
    <definedName name="solver_adj" localSheetId="3" hidden="1">Coefficients!$A$3:$C$3</definedName>
    <definedName name="solver_cvg" localSheetId="3" hidden="1">0.0001</definedName>
    <definedName name="solver_drv" localSheetId="3" hidden="1">1</definedName>
    <definedName name="solver_eng" localSheetId="3" hidden="1">1</definedName>
    <definedName name="solver_eng" localSheetId="2" hidden="1">1</definedName>
    <definedName name="solver_est" localSheetId="3" hidden="1">1</definedName>
    <definedName name="solver_itr" localSheetId="3" hidden="1">2147483647</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2</definedName>
    <definedName name="solver_neg" localSheetId="2" hidden="1">1</definedName>
    <definedName name="solver_nod" localSheetId="3" hidden="1">2147483647</definedName>
    <definedName name="solver_num" localSheetId="3" hidden="1">0</definedName>
    <definedName name="solver_num" localSheetId="2" hidden="1">0</definedName>
    <definedName name="solver_nwt" localSheetId="3" hidden="1">1</definedName>
    <definedName name="solver_opt" localSheetId="3" hidden="1">Coefficients!$H$2</definedName>
    <definedName name="solver_opt" localSheetId="2" hidden="1">'Ignore values, just need to max'!$H$6</definedName>
    <definedName name="solver_pre" localSheetId="3" hidden="1">0.000001</definedName>
    <definedName name="solver_rbv" localSheetId="3" hidden="1">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1</definedName>
    <definedName name="solver_typ" localSheetId="2" hidden="1">1</definedName>
    <definedName name="solver_val" localSheetId="3" hidden="1">0</definedName>
    <definedName name="solver_val" localSheetId="2" hidden="1">0</definedName>
    <definedName name="solver_ver" localSheetId="3" hidden="1">3</definedName>
    <definedName name="solver_ver" localSheetId="2" hidden="1">3</definedName>
  </definedNames>
  <calcPr calcId="191029"/>
  <pivotCaches>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9" i="5" l="1" a="1"/>
  <c r="L9" i="5" s="1"/>
  <c r="F5" i="4"/>
  <c r="I8" i="9"/>
  <c r="D2" i="8"/>
  <c r="D7" i="8"/>
  <c r="E8" i="8"/>
  <c r="M9" i="5" a="1"/>
  <c r="M9" i="5" s="1"/>
  <c r="I5" i="5"/>
  <c r="I12" i="9"/>
  <c r="H3" i="9"/>
  <c r="C3" i="9"/>
  <c r="G3" i="9"/>
  <c r="G5" i="5"/>
  <c r="F5" i="5"/>
  <c r="R2" i="5"/>
  <c r="Q3" i="5"/>
  <c r="Q2" i="5"/>
  <c r="E7" i="2"/>
  <c r="I10" i="9"/>
  <c r="I3" i="9"/>
  <c r="E9" i="9"/>
  <c r="F3" i="9"/>
  <c r="Q8" i="5" a="1"/>
  <c r="Q8" i="5" s="1"/>
  <c r="S8" i="5" s="1"/>
  <c r="S9" i="5"/>
  <c r="E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E5" i="4"/>
  <c r="R9" i="5" a="1"/>
  <c r="R9" i="5" s="1"/>
  <c r="R8" i="5" a="1"/>
  <c r="R8" i="5" s="1"/>
  <c r="Q9" i="5" a="1"/>
  <c r="Q9" i="5" s="1"/>
  <c r="E14" i="8" l="1"/>
  <c r="E18" i="8"/>
  <c r="E19" i="8"/>
  <c r="E21" i="8"/>
  <c r="E23" i="8"/>
  <c r="E26" i="8"/>
  <c r="E31" i="8"/>
  <c r="E34" i="8"/>
  <c r="E35" i="8"/>
  <c r="E39" i="8"/>
  <c r="E41" i="8"/>
  <c r="E45" i="8"/>
  <c r="E49" i="8"/>
  <c r="E51" i="8"/>
  <c r="E53" i="8"/>
  <c r="E60" i="8"/>
  <c r="E67" i="8"/>
  <c r="E68" i="8"/>
  <c r="E69" i="8"/>
  <c r="E74" i="8"/>
  <c r="E76" i="8"/>
  <c r="E78" i="8"/>
  <c r="E79" i="8"/>
  <c r="E80" i="8"/>
  <c r="E82" i="8"/>
  <c r="E86" i="8"/>
  <c r="E88" i="8"/>
  <c r="E89" i="8"/>
  <c r="E90" i="8"/>
  <c r="E91" i="8"/>
  <c r="E92" i="8"/>
  <c r="E93" i="8"/>
  <c r="E94" i="8"/>
  <c r="E95" i="8"/>
  <c r="E96" i="8"/>
  <c r="E98" i="8"/>
  <c r="E99" i="8"/>
  <c r="E100" i="8"/>
  <c r="E101" i="8"/>
  <c r="D3" i="8"/>
  <c r="D4" i="8"/>
  <c r="D5" i="8"/>
  <c r="D6" i="8"/>
  <c r="D9" i="8"/>
  <c r="D10" i="8"/>
  <c r="D11" i="8"/>
  <c r="D12" i="8"/>
  <c r="D13" i="8"/>
  <c r="D15" i="8"/>
  <c r="D16" i="8"/>
  <c r="D17" i="8"/>
  <c r="D20" i="8"/>
  <c r="D22" i="8"/>
  <c r="D24" i="8"/>
  <c r="D25" i="8"/>
  <c r="D27" i="8"/>
  <c r="D28" i="8"/>
  <c r="D29" i="8"/>
  <c r="D30" i="8"/>
  <c r="D32" i="8"/>
  <c r="D33" i="8"/>
  <c r="D36" i="8"/>
  <c r="D37" i="8"/>
  <c r="D38" i="8"/>
  <c r="D40" i="8"/>
  <c r="D42" i="8"/>
  <c r="D43" i="8"/>
  <c r="D44" i="8"/>
  <c r="D46" i="8"/>
  <c r="D47" i="8"/>
  <c r="D48" i="8"/>
  <c r="D50" i="8"/>
  <c r="D52" i="8"/>
  <c r="D54" i="8"/>
  <c r="D55" i="8"/>
  <c r="D56" i="8"/>
  <c r="D57" i="8"/>
  <c r="D58" i="8"/>
  <c r="D59" i="8"/>
  <c r="D61" i="8"/>
  <c r="D62" i="8"/>
  <c r="D63" i="8"/>
  <c r="D64" i="8"/>
  <c r="D65" i="8"/>
  <c r="D66" i="8"/>
  <c r="D70" i="8"/>
  <c r="D71" i="8"/>
  <c r="D72" i="8"/>
  <c r="D73" i="8"/>
  <c r="D75" i="8"/>
  <c r="D77" i="8"/>
  <c r="D81" i="8"/>
  <c r="D83" i="8"/>
  <c r="D84" i="8"/>
  <c r="D85" i="8"/>
  <c r="D87" i="8"/>
  <c r="D97" i="8"/>
  <c r="H6" i="5"/>
  <c r="G5" i="4"/>
  <c r="J6" i="5"/>
  <c r="J7" i="5"/>
  <c r="J10" i="5" s="1"/>
  <c r="J13" i="5" s="1"/>
  <c r="J16" i="5" s="1"/>
  <c r="J19" i="5" s="1"/>
  <c r="J22" i="5" s="1"/>
  <c r="J25" i="5" s="1"/>
  <c r="J28" i="5" s="1"/>
  <c r="J31" i="5" s="1"/>
  <c r="J34" i="5" s="1"/>
  <c r="J37" i="5" s="1"/>
  <c r="J40" i="5" s="1"/>
  <c r="J43" i="5" s="1"/>
  <c r="J46" i="5" s="1"/>
  <c r="J49" i="5" s="1"/>
  <c r="J52" i="5" s="1"/>
  <c r="J55" i="5" s="1"/>
  <c r="J58" i="5" s="1"/>
  <c r="J61" i="5" s="1"/>
  <c r="J64" i="5" s="1"/>
  <c r="J67" i="5" s="1"/>
  <c r="J70" i="5" s="1"/>
  <c r="J73" i="5" s="1"/>
  <c r="J76" i="5" s="1"/>
  <c r="J79" i="5" s="1"/>
  <c r="J82" i="5" s="1"/>
  <c r="J85" i="5" s="1"/>
  <c r="J88" i="5" s="1"/>
  <c r="J91" i="5" s="1"/>
  <c r="J94" i="5" s="1"/>
  <c r="J97" i="5" s="1"/>
  <c r="J100" i="5" s="1"/>
  <c r="J103" i="5" s="1"/>
  <c r="J8" i="5"/>
  <c r="J11" i="5" s="1"/>
  <c r="J14" i="5" s="1"/>
  <c r="J17" i="5" s="1"/>
  <c r="J20" i="5" s="1"/>
  <c r="J23" i="5" s="1"/>
  <c r="J26" i="5" s="1"/>
  <c r="J29" i="5" s="1"/>
  <c r="J32" i="5" s="1"/>
  <c r="J35" i="5" s="1"/>
  <c r="J38" i="5" s="1"/>
  <c r="J41" i="5" s="1"/>
  <c r="J44" i="5" s="1"/>
  <c r="J47" i="5" s="1"/>
  <c r="J50" i="5" s="1"/>
  <c r="J53" i="5" s="1"/>
  <c r="J56" i="5" s="1"/>
  <c r="J59" i="5" s="1"/>
  <c r="J62" i="5" s="1"/>
  <c r="J65" i="5" s="1"/>
  <c r="J68" i="5" s="1"/>
  <c r="J71" i="5" s="1"/>
  <c r="J74" i="5" s="1"/>
  <c r="J77" i="5" s="1"/>
  <c r="J80" i="5" s="1"/>
  <c r="J83" i="5" s="1"/>
  <c r="J86" i="5" s="1"/>
  <c r="J89" i="5" s="1"/>
  <c r="J92" i="5" s="1"/>
  <c r="J95" i="5" s="1"/>
  <c r="J98" i="5" s="1"/>
  <c r="J101" i="5" s="1"/>
  <c r="J104" i="5" s="1"/>
  <c r="D18" i="2"/>
  <c r="E18" i="2" s="1"/>
  <c r="E17" i="2"/>
  <c r="D17" i="2"/>
  <c r="E16" i="2"/>
  <c r="D16" i="2"/>
  <c r="D15" i="2"/>
  <c r="E15" i="2" s="1"/>
  <c r="D14" i="2"/>
  <c r="E14" i="2" s="1"/>
  <c r="D13" i="2"/>
  <c r="E13" i="2" s="1"/>
  <c r="E12" i="2"/>
  <c r="D12" i="2"/>
  <c r="E11" i="2"/>
  <c r="D11" i="2"/>
  <c r="D10" i="2"/>
  <c r="E10" i="2" s="1"/>
  <c r="D9" i="2"/>
  <c r="E9" i="2" s="1"/>
  <c r="D8" i="2"/>
  <c r="E8" i="2" s="1"/>
  <c r="D7" i="2"/>
  <c r="E6" i="5"/>
  <c r="F6" i="5" s="1"/>
  <c r="E6" i="4"/>
  <c r="E7" i="4"/>
  <c r="E8" i="4"/>
  <c r="E9" i="4"/>
  <c r="E10" i="4"/>
  <c r="E11" i="4"/>
  <c r="F11" i="4" s="1"/>
  <c r="G11" i="4" s="1"/>
  <c r="H11" i="4" s="1"/>
  <c r="E12" i="4"/>
  <c r="E13" i="4"/>
  <c r="E14" i="4"/>
  <c r="E15" i="4"/>
  <c r="E16" i="4"/>
  <c r="E17" i="4"/>
  <c r="E18" i="4"/>
  <c r="E19" i="4"/>
  <c r="F19" i="4" s="1"/>
  <c r="G19" i="4" s="1"/>
  <c r="H19" i="4" s="1"/>
  <c r="E20" i="4"/>
  <c r="E21" i="4"/>
  <c r="E22" i="4"/>
  <c r="E23" i="4"/>
  <c r="E24" i="4"/>
  <c r="E25" i="4"/>
  <c r="E26" i="4"/>
  <c r="E27" i="4"/>
  <c r="F27" i="4" s="1"/>
  <c r="G27" i="4" s="1"/>
  <c r="H27" i="4" s="1"/>
  <c r="E28" i="4"/>
  <c r="E29" i="4"/>
  <c r="E30" i="4"/>
  <c r="E31" i="4"/>
  <c r="E32" i="4"/>
  <c r="E33" i="4"/>
  <c r="E34" i="4"/>
  <c r="E35" i="4"/>
  <c r="F35" i="4" s="1"/>
  <c r="G35" i="4" s="1"/>
  <c r="H35" i="4" s="1"/>
  <c r="E36" i="4"/>
  <c r="E37" i="4"/>
  <c r="E38" i="4"/>
  <c r="E39" i="4"/>
  <c r="E40" i="4"/>
  <c r="E41" i="4"/>
  <c r="E42" i="4"/>
  <c r="E43" i="4"/>
  <c r="F43" i="4" s="1"/>
  <c r="G43" i="4" s="1"/>
  <c r="H43" i="4" s="1"/>
  <c r="E44" i="4"/>
  <c r="E45" i="4"/>
  <c r="E46" i="4"/>
  <c r="E47" i="4"/>
  <c r="E48" i="4"/>
  <c r="E49" i="4"/>
  <c r="E50" i="4"/>
  <c r="E51" i="4"/>
  <c r="F51" i="4" s="1"/>
  <c r="G51" i="4" s="1"/>
  <c r="H51" i="4" s="1"/>
  <c r="E52" i="4"/>
  <c r="E53" i="4"/>
  <c r="E54" i="4"/>
  <c r="E55" i="4"/>
  <c r="E56" i="4"/>
  <c r="E57" i="4"/>
  <c r="E58" i="4"/>
  <c r="E59" i="4"/>
  <c r="F59" i="4" s="1"/>
  <c r="G59" i="4" s="1"/>
  <c r="H59" i="4" s="1"/>
  <c r="E60" i="4"/>
  <c r="E61" i="4"/>
  <c r="E62" i="4"/>
  <c r="E63" i="4"/>
  <c r="E64" i="4"/>
  <c r="E65" i="4"/>
  <c r="E66" i="4"/>
  <c r="E67" i="4"/>
  <c r="F67" i="4" s="1"/>
  <c r="G67" i="4" s="1"/>
  <c r="H67" i="4" s="1"/>
  <c r="E68" i="4"/>
  <c r="E69" i="4"/>
  <c r="F69" i="4" s="1"/>
  <c r="G69" i="4" s="1"/>
  <c r="H69" i="4" s="1"/>
  <c r="E70" i="4"/>
  <c r="E71" i="4"/>
  <c r="E72" i="4"/>
  <c r="E73" i="4"/>
  <c r="E74" i="4"/>
  <c r="E75" i="4"/>
  <c r="F75" i="4" s="1"/>
  <c r="G75" i="4" s="1"/>
  <c r="H75" i="4" s="1"/>
  <c r="E76" i="4"/>
  <c r="E77" i="4"/>
  <c r="F77" i="4" s="1"/>
  <c r="G77" i="4" s="1"/>
  <c r="H77" i="4" s="1"/>
  <c r="E78" i="4"/>
  <c r="E79" i="4"/>
  <c r="E80" i="4"/>
  <c r="E81" i="4"/>
  <c r="E82" i="4"/>
  <c r="E83" i="4"/>
  <c r="F83" i="4" s="1"/>
  <c r="G83" i="4" s="1"/>
  <c r="H83" i="4" s="1"/>
  <c r="E84" i="4"/>
  <c r="E85" i="4"/>
  <c r="F85" i="4" s="1"/>
  <c r="G85" i="4" s="1"/>
  <c r="H85" i="4" s="1"/>
  <c r="E86" i="4"/>
  <c r="E87" i="4"/>
  <c r="E88" i="4"/>
  <c r="E89" i="4"/>
  <c r="E90" i="4"/>
  <c r="E91" i="4"/>
  <c r="F91" i="4" s="1"/>
  <c r="G91" i="4" s="1"/>
  <c r="H91" i="4" s="1"/>
  <c r="E92" i="4"/>
  <c r="E93" i="4"/>
  <c r="F93" i="4" s="1"/>
  <c r="G93" i="4" s="1"/>
  <c r="H93" i="4" s="1"/>
  <c r="E94" i="4"/>
  <c r="E95" i="4"/>
  <c r="E96" i="4"/>
  <c r="E97" i="4"/>
  <c r="E98" i="4"/>
  <c r="E99" i="4"/>
  <c r="F99" i="4" s="1"/>
  <c r="G99" i="4" s="1"/>
  <c r="H99" i="4" s="1"/>
  <c r="E100" i="4"/>
  <c r="E101" i="4"/>
  <c r="F101" i="4" s="1"/>
  <c r="G101" i="4" s="1"/>
  <c r="H101" i="4" s="1"/>
  <c r="E102" i="4"/>
  <c r="E103" i="4"/>
  <c r="E104" i="4"/>
  <c r="E104" i="5"/>
  <c r="F104" i="5" s="1"/>
  <c r="G104" i="5" s="1"/>
  <c r="H104" i="5" s="1"/>
  <c r="E103" i="5"/>
  <c r="F103" i="5" s="1"/>
  <c r="G103" i="5" s="1"/>
  <c r="H103" i="5" s="1"/>
  <c r="E102" i="5"/>
  <c r="F102" i="5" s="1"/>
  <c r="G102" i="5" s="1"/>
  <c r="H102" i="5" s="1"/>
  <c r="E101" i="5"/>
  <c r="F101" i="5" s="1"/>
  <c r="G101" i="5" s="1"/>
  <c r="H101" i="5" s="1"/>
  <c r="E100" i="5"/>
  <c r="F100" i="5" s="1"/>
  <c r="G100" i="5" s="1"/>
  <c r="H100" i="5" s="1"/>
  <c r="E99" i="5"/>
  <c r="F99" i="5" s="1"/>
  <c r="G99" i="5" s="1"/>
  <c r="H99" i="5" s="1"/>
  <c r="E98" i="5"/>
  <c r="F98" i="5" s="1"/>
  <c r="G98" i="5" s="1"/>
  <c r="H98" i="5" s="1"/>
  <c r="E97" i="5"/>
  <c r="F97" i="5" s="1"/>
  <c r="G97" i="5" s="1"/>
  <c r="H97" i="5" s="1"/>
  <c r="E96" i="5"/>
  <c r="F96" i="5" s="1"/>
  <c r="G96" i="5" s="1"/>
  <c r="H96" i="5" s="1"/>
  <c r="E95" i="5"/>
  <c r="F95" i="5" s="1"/>
  <c r="G95" i="5" s="1"/>
  <c r="H95" i="5" s="1"/>
  <c r="E94" i="5"/>
  <c r="F94" i="5" s="1"/>
  <c r="G94" i="5" s="1"/>
  <c r="H94" i="5" s="1"/>
  <c r="E93" i="5"/>
  <c r="F93" i="5" s="1"/>
  <c r="G93" i="5" s="1"/>
  <c r="H93" i="5" s="1"/>
  <c r="E92" i="5"/>
  <c r="F92" i="5" s="1"/>
  <c r="G92" i="5" s="1"/>
  <c r="H92" i="5" s="1"/>
  <c r="E91" i="5"/>
  <c r="F91" i="5" s="1"/>
  <c r="G91" i="5" s="1"/>
  <c r="H91" i="5" s="1"/>
  <c r="E90" i="5"/>
  <c r="F90" i="5" s="1"/>
  <c r="G90" i="5" s="1"/>
  <c r="H90" i="5" s="1"/>
  <c r="E89" i="5"/>
  <c r="F89" i="5" s="1"/>
  <c r="G89" i="5" s="1"/>
  <c r="H89" i="5" s="1"/>
  <c r="E88" i="5"/>
  <c r="F88" i="5" s="1"/>
  <c r="G88" i="5" s="1"/>
  <c r="H88" i="5" s="1"/>
  <c r="E87" i="5"/>
  <c r="F87" i="5" s="1"/>
  <c r="G87" i="5" s="1"/>
  <c r="H87" i="5" s="1"/>
  <c r="E86" i="5"/>
  <c r="F86" i="5" s="1"/>
  <c r="G86" i="5" s="1"/>
  <c r="H86" i="5" s="1"/>
  <c r="E85" i="5"/>
  <c r="F85" i="5" s="1"/>
  <c r="G85" i="5" s="1"/>
  <c r="H85" i="5" s="1"/>
  <c r="E84" i="5"/>
  <c r="F84" i="5" s="1"/>
  <c r="G84" i="5" s="1"/>
  <c r="H84" i="5" s="1"/>
  <c r="E83" i="5"/>
  <c r="F83" i="5" s="1"/>
  <c r="G83" i="5" s="1"/>
  <c r="H83" i="5" s="1"/>
  <c r="E82" i="5"/>
  <c r="F82" i="5" s="1"/>
  <c r="G82" i="5" s="1"/>
  <c r="H82" i="5" s="1"/>
  <c r="E81" i="5"/>
  <c r="F81" i="5" s="1"/>
  <c r="G81" i="5" s="1"/>
  <c r="H81" i="5" s="1"/>
  <c r="E80" i="5"/>
  <c r="F80" i="5" s="1"/>
  <c r="G80" i="5" s="1"/>
  <c r="H80" i="5" s="1"/>
  <c r="E79" i="5"/>
  <c r="F79" i="5" s="1"/>
  <c r="G79" i="5" s="1"/>
  <c r="H79" i="5" s="1"/>
  <c r="E78" i="5"/>
  <c r="F78" i="5" s="1"/>
  <c r="G78" i="5" s="1"/>
  <c r="H78" i="5" s="1"/>
  <c r="E77" i="5"/>
  <c r="F77" i="5" s="1"/>
  <c r="G77" i="5" s="1"/>
  <c r="H77" i="5" s="1"/>
  <c r="E76" i="5"/>
  <c r="F76" i="5" s="1"/>
  <c r="G76" i="5" s="1"/>
  <c r="H76" i="5" s="1"/>
  <c r="E75" i="5"/>
  <c r="F75" i="5" s="1"/>
  <c r="G75" i="5" s="1"/>
  <c r="H75" i="5" s="1"/>
  <c r="E74" i="5"/>
  <c r="F74" i="5" s="1"/>
  <c r="G74" i="5" s="1"/>
  <c r="H74" i="5" s="1"/>
  <c r="E73" i="5"/>
  <c r="F73" i="5" s="1"/>
  <c r="G73" i="5" s="1"/>
  <c r="H73" i="5" s="1"/>
  <c r="E72" i="5"/>
  <c r="F72" i="5" s="1"/>
  <c r="G72" i="5" s="1"/>
  <c r="H72" i="5" s="1"/>
  <c r="E71" i="5"/>
  <c r="F71" i="5" s="1"/>
  <c r="G71" i="5" s="1"/>
  <c r="H71" i="5" s="1"/>
  <c r="E70" i="5"/>
  <c r="F70" i="5" s="1"/>
  <c r="G70" i="5" s="1"/>
  <c r="H70" i="5" s="1"/>
  <c r="E69" i="5"/>
  <c r="F69" i="5" s="1"/>
  <c r="G69" i="5" s="1"/>
  <c r="H69" i="5" s="1"/>
  <c r="E68" i="5"/>
  <c r="F68" i="5" s="1"/>
  <c r="G68" i="5" s="1"/>
  <c r="H68" i="5" s="1"/>
  <c r="E67" i="5"/>
  <c r="F67" i="5" s="1"/>
  <c r="G67" i="5" s="1"/>
  <c r="H67" i="5" s="1"/>
  <c r="E66" i="5"/>
  <c r="F66" i="5" s="1"/>
  <c r="G66" i="5" s="1"/>
  <c r="H66" i="5" s="1"/>
  <c r="E65" i="5"/>
  <c r="F65" i="5" s="1"/>
  <c r="G65" i="5" s="1"/>
  <c r="H65" i="5" s="1"/>
  <c r="E64" i="5"/>
  <c r="F64" i="5" s="1"/>
  <c r="G64" i="5" s="1"/>
  <c r="H64" i="5" s="1"/>
  <c r="E63" i="5"/>
  <c r="F63" i="5" s="1"/>
  <c r="G63" i="5" s="1"/>
  <c r="H63" i="5" s="1"/>
  <c r="E62" i="5"/>
  <c r="F62" i="5" s="1"/>
  <c r="G62" i="5" s="1"/>
  <c r="H62" i="5" s="1"/>
  <c r="E61" i="5"/>
  <c r="F61" i="5" s="1"/>
  <c r="G61" i="5" s="1"/>
  <c r="H61" i="5" s="1"/>
  <c r="E60" i="5"/>
  <c r="F60" i="5" s="1"/>
  <c r="G60" i="5" s="1"/>
  <c r="H60" i="5" s="1"/>
  <c r="E59" i="5"/>
  <c r="F59" i="5" s="1"/>
  <c r="G59" i="5" s="1"/>
  <c r="H59" i="5" s="1"/>
  <c r="E58" i="5"/>
  <c r="F58" i="5" s="1"/>
  <c r="G58" i="5" s="1"/>
  <c r="H58" i="5" s="1"/>
  <c r="E57" i="5"/>
  <c r="F57" i="5" s="1"/>
  <c r="G57" i="5" s="1"/>
  <c r="H57" i="5" s="1"/>
  <c r="E56" i="5"/>
  <c r="F56" i="5" s="1"/>
  <c r="G56" i="5" s="1"/>
  <c r="H56" i="5" s="1"/>
  <c r="E55" i="5"/>
  <c r="F55" i="5" s="1"/>
  <c r="G55" i="5" s="1"/>
  <c r="H55" i="5" s="1"/>
  <c r="E54" i="5"/>
  <c r="F54" i="5" s="1"/>
  <c r="G54" i="5" s="1"/>
  <c r="H54" i="5" s="1"/>
  <c r="E53" i="5"/>
  <c r="F53" i="5" s="1"/>
  <c r="G53" i="5" s="1"/>
  <c r="H53" i="5" s="1"/>
  <c r="E52" i="5"/>
  <c r="F52" i="5" s="1"/>
  <c r="G52" i="5" s="1"/>
  <c r="H52" i="5" s="1"/>
  <c r="E51" i="5"/>
  <c r="F51" i="5" s="1"/>
  <c r="G51" i="5" s="1"/>
  <c r="H51" i="5" s="1"/>
  <c r="E50" i="5"/>
  <c r="F50" i="5" s="1"/>
  <c r="G50" i="5" s="1"/>
  <c r="H50" i="5" s="1"/>
  <c r="E49" i="5"/>
  <c r="F49" i="5" s="1"/>
  <c r="G49" i="5" s="1"/>
  <c r="H49" i="5" s="1"/>
  <c r="E48" i="5"/>
  <c r="F48" i="5" s="1"/>
  <c r="G48" i="5" s="1"/>
  <c r="H48" i="5" s="1"/>
  <c r="E47" i="5"/>
  <c r="F47" i="5" s="1"/>
  <c r="G47" i="5" s="1"/>
  <c r="H47" i="5" s="1"/>
  <c r="E46" i="5"/>
  <c r="F46" i="5" s="1"/>
  <c r="G46" i="5" s="1"/>
  <c r="H46" i="5" s="1"/>
  <c r="E45" i="5"/>
  <c r="F45" i="5" s="1"/>
  <c r="G45" i="5" s="1"/>
  <c r="H45" i="5" s="1"/>
  <c r="E44" i="5"/>
  <c r="F44" i="5" s="1"/>
  <c r="G44" i="5" s="1"/>
  <c r="H44" i="5" s="1"/>
  <c r="E43" i="5"/>
  <c r="F43" i="5" s="1"/>
  <c r="G43" i="5" s="1"/>
  <c r="H43" i="5" s="1"/>
  <c r="E42" i="5"/>
  <c r="F42" i="5" s="1"/>
  <c r="G42" i="5" s="1"/>
  <c r="H42" i="5" s="1"/>
  <c r="E41" i="5"/>
  <c r="F41" i="5" s="1"/>
  <c r="G41" i="5" s="1"/>
  <c r="H41" i="5" s="1"/>
  <c r="E40" i="5"/>
  <c r="F40" i="5" s="1"/>
  <c r="G40" i="5" s="1"/>
  <c r="H40" i="5" s="1"/>
  <c r="E39" i="5"/>
  <c r="F39" i="5" s="1"/>
  <c r="G39" i="5" s="1"/>
  <c r="H39" i="5" s="1"/>
  <c r="E38" i="5"/>
  <c r="F38" i="5" s="1"/>
  <c r="G38" i="5" s="1"/>
  <c r="H38" i="5" s="1"/>
  <c r="E37" i="5"/>
  <c r="F37" i="5" s="1"/>
  <c r="G37" i="5" s="1"/>
  <c r="H37" i="5" s="1"/>
  <c r="E36" i="5"/>
  <c r="F36" i="5" s="1"/>
  <c r="G36" i="5" s="1"/>
  <c r="H36" i="5" s="1"/>
  <c r="E35" i="5"/>
  <c r="F35" i="5" s="1"/>
  <c r="G35" i="5" s="1"/>
  <c r="H35" i="5" s="1"/>
  <c r="E34" i="5"/>
  <c r="F34" i="5" s="1"/>
  <c r="G34" i="5" s="1"/>
  <c r="H34" i="5" s="1"/>
  <c r="E33" i="5"/>
  <c r="F33" i="5" s="1"/>
  <c r="G33" i="5" s="1"/>
  <c r="H33" i="5" s="1"/>
  <c r="E32" i="5"/>
  <c r="F32" i="5" s="1"/>
  <c r="G32" i="5" s="1"/>
  <c r="H32" i="5" s="1"/>
  <c r="E31" i="5"/>
  <c r="F31" i="5" s="1"/>
  <c r="G31" i="5" s="1"/>
  <c r="H31" i="5" s="1"/>
  <c r="E30" i="5"/>
  <c r="F30" i="5" s="1"/>
  <c r="G30" i="5" s="1"/>
  <c r="H30" i="5" s="1"/>
  <c r="E29" i="5"/>
  <c r="F29" i="5" s="1"/>
  <c r="G29" i="5" s="1"/>
  <c r="H29" i="5" s="1"/>
  <c r="E28" i="5"/>
  <c r="F28" i="5" s="1"/>
  <c r="G28" i="5" s="1"/>
  <c r="H28" i="5" s="1"/>
  <c r="E27" i="5"/>
  <c r="F27" i="5" s="1"/>
  <c r="G27" i="5" s="1"/>
  <c r="H27" i="5" s="1"/>
  <c r="E26" i="5"/>
  <c r="F26" i="5" s="1"/>
  <c r="G26" i="5" s="1"/>
  <c r="H26" i="5" s="1"/>
  <c r="E25" i="5"/>
  <c r="F25" i="5" s="1"/>
  <c r="G25" i="5" s="1"/>
  <c r="H25" i="5" s="1"/>
  <c r="E24" i="5"/>
  <c r="F24" i="5" s="1"/>
  <c r="G24" i="5" s="1"/>
  <c r="H24" i="5" s="1"/>
  <c r="E23" i="5"/>
  <c r="F23" i="5" s="1"/>
  <c r="G23" i="5" s="1"/>
  <c r="H23" i="5" s="1"/>
  <c r="E22" i="5"/>
  <c r="F22" i="5" s="1"/>
  <c r="G22" i="5" s="1"/>
  <c r="H22" i="5" s="1"/>
  <c r="E21" i="5"/>
  <c r="F21" i="5" s="1"/>
  <c r="G21" i="5" s="1"/>
  <c r="H21" i="5" s="1"/>
  <c r="E20" i="5"/>
  <c r="F20" i="5" s="1"/>
  <c r="G20" i="5" s="1"/>
  <c r="H20" i="5" s="1"/>
  <c r="E19" i="5"/>
  <c r="F19" i="5" s="1"/>
  <c r="G19" i="5" s="1"/>
  <c r="H19" i="5" s="1"/>
  <c r="E18" i="5"/>
  <c r="F18" i="5" s="1"/>
  <c r="G18" i="5" s="1"/>
  <c r="H18" i="5" s="1"/>
  <c r="E17" i="5"/>
  <c r="F17" i="5" s="1"/>
  <c r="G17" i="5" s="1"/>
  <c r="H17" i="5" s="1"/>
  <c r="E16" i="5"/>
  <c r="F16" i="5" s="1"/>
  <c r="G16" i="5" s="1"/>
  <c r="H16" i="5" s="1"/>
  <c r="E15" i="5"/>
  <c r="F15" i="5" s="1"/>
  <c r="G15" i="5" s="1"/>
  <c r="H15" i="5" s="1"/>
  <c r="E14" i="5"/>
  <c r="F14" i="5" s="1"/>
  <c r="G14" i="5" s="1"/>
  <c r="H14" i="5" s="1"/>
  <c r="E13" i="5"/>
  <c r="F13" i="5" s="1"/>
  <c r="G13" i="5" s="1"/>
  <c r="H13" i="5" s="1"/>
  <c r="E12" i="5"/>
  <c r="F12" i="5" s="1"/>
  <c r="G12" i="5" s="1"/>
  <c r="H12" i="5" s="1"/>
  <c r="E11" i="5"/>
  <c r="F11" i="5" s="1"/>
  <c r="G11" i="5" s="1"/>
  <c r="H11" i="5" s="1"/>
  <c r="E10" i="5"/>
  <c r="F10" i="5" s="1"/>
  <c r="G10" i="5" s="1"/>
  <c r="H10" i="5" s="1"/>
  <c r="E9" i="5"/>
  <c r="F9" i="5" s="1"/>
  <c r="G9" i="5" s="1"/>
  <c r="H9" i="5" s="1"/>
  <c r="E8" i="5"/>
  <c r="F8" i="5" s="1"/>
  <c r="G8" i="5" s="1"/>
  <c r="H8" i="5" s="1"/>
  <c r="E7" i="5"/>
  <c r="F7" i="5" s="1"/>
  <c r="G7" i="5" s="1"/>
  <c r="H7" i="5" s="1"/>
  <c r="G8" i="4"/>
  <c r="H8" i="4" s="1"/>
  <c r="G10" i="4"/>
  <c r="H10" i="4" s="1"/>
  <c r="G12" i="4"/>
  <c r="H12" i="4" s="1"/>
  <c r="G16" i="4"/>
  <c r="H16" i="4" s="1"/>
  <c r="G18" i="4"/>
  <c r="H18" i="4" s="1"/>
  <c r="G20" i="4"/>
  <c r="H20" i="4" s="1"/>
  <c r="G24" i="4"/>
  <c r="H24" i="4" s="1"/>
  <c r="G26" i="4"/>
  <c r="H26" i="4" s="1"/>
  <c r="G28" i="4"/>
  <c r="H28" i="4" s="1"/>
  <c r="G32" i="4"/>
  <c r="H32" i="4" s="1"/>
  <c r="G34" i="4"/>
  <c r="H34" i="4" s="1"/>
  <c r="G36" i="4"/>
  <c r="H36" i="4" s="1"/>
  <c r="G40" i="4"/>
  <c r="H40" i="4" s="1"/>
  <c r="G42" i="4"/>
  <c r="H42" i="4" s="1"/>
  <c r="G44" i="4"/>
  <c r="H44" i="4" s="1"/>
  <c r="G48" i="4"/>
  <c r="H48" i="4" s="1"/>
  <c r="G50" i="4"/>
  <c r="H50" i="4" s="1"/>
  <c r="G52" i="4"/>
  <c r="H52" i="4" s="1"/>
  <c r="G56" i="4"/>
  <c r="H56" i="4" s="1"/>
  <c r="G58" i="4"/>
  <c r="H58" i="4" s="1"/>
  <c r="G60" i="4"/>
  <c r="H60" i="4" s="1"/>
  <c r="G64" i="4"/>
  <c r="H64" i="4" s="1"/>
  <c r="G66" i="4"/>
  <c r="H66" i="4" s="1"/>
  <c r="G68" i="4"/>
  <c r="H68" i="4" s="1"/>
  <c r="G72" i="4"/>
  <c r="H72" i="4" s="1"/>
  <c r="G74" i="4"/>
  <c r="H74" i="4" s="1"/>
  <c r="G76" i="4"/>
  <c r="H76" i="4" s="1"/>
  <c r="G80" i="4"/>
  <c r="H80" i="4" s="1"/>
  <c r="G82" i="4"/>
  <c r="H82" i="4" s="1"/>
  <c r="G84" i="4"/>
  <c r="H84" i="4" s="1"/>
  <c r="G88" i="4"/>
  <c r="H88" i="4" s="1"/>
  <c r="G90" i="4"/>
  <c r="H90" i="4" s="1"/>
  <c r="G92" i="4"/>
  <c r="H92" i="4" s="1"/>
  <c r="G96" i="4"/>
  <c r="H96" i="4" s="1"/>
  <c r="G98" i="4"/>
  <c r="H98" i="4" s="1"/>
  <c r="G100" i="4"/>
  <c r="H100" i="4" s="1"/>
  <c r="G104" i="4"/>
  <c r="H104" i="4" s="1"/>
  <c r="F6" i="4"/>
  <c r="G6" i="4" s="1"/>
  <c r="H6" i="4" s="1"/>
  <c r="F7" i="4"/>
  <c r="G7" i="4" s="1"/>
  <c r="H7" i="4" s="1"/>
  <c r="F8" i="4"/>
  <c r="F9" i="4"/>
  <c r="G9" i="4" s="1"/>
  <c r="H9" i="4" s="1"/>
  <c r="F10" i="4"/>
  <c r="F12" i="4"/>
  <c r="F13" i="4"/>
  <c r="G13" i="4" s="1"/>
  <c r="H13" i="4" s="1"/>
  <c r="F14" i="4"/>
  <c r="G14" i="4" s="1"/>
  <c r="H14" i="4" s="1"/>
  <c r="F15" i="4"/>
  <c r="G15" i="4" s="1"/>
  <c r="H15" i="4" s="1"/>
  <c r="F16" i="4"/>
  <c r="F17" i="4"/>
  <c r="G17" i="4" s="1"/>
  <c r="H17" i="4" s="1"/>
  <c r="F18" i="4"/>
  <c r="F20" i="4"/>
  <c r="F21" i="4"/>
  <c r="G21" i="4" s="1"/>
  <c r="H21" i="4" s="1"/>
  <c r="F22" i="4"/>
  <c r="G22" i="4" s="1"/>
  <c r="H22" i="4" s="1"/>
  <c r="F23" i="4"/>
  <c r="G23" i="4" s="1"/>
  <c r="H23" i="4" s="1"/>
  <c r="F24" i="4"/>
  <c r="F25" i="4"/>
  <c r="G25" i="4" s="1"/>
  <c r="H25" i="4" s="1"/>
  <c r="F26" i="4"/>
  <c r="F28" i="4"/>
  <c r="F29" i="4"/>
  <c r="G29" i="4" s="1"/>
  <c r="H29" i="4" s="1"/>
  <c r="F30" i="4"/>
  <c r="G30" i="4" s="1"/>
  <c r="H30" i="4" s="1"/>
  <c r="F31" i="4"/>
  <c r="G31" i="4" s="1"/>
  <c r="H31" i="4" s="1"/>
  <c r="F32" i="4"/>
  <c r="F33" i="4"/>
  <c r="G33" i="4" s="1"/>
  <c r="H33" i="4" s="1"/>
  <c r="F34" i="4"/>
  <c r="F36" i="4"/>
  <c r="F37" i="4"/>
  <c r="G37" i="4" s="1"/>
  <c r="H37" i="4" s="1"/>
  <c r="F38" i="4"/>
  <c r="G38" i="4" s="1"/>
  <c r="H38" i="4" s="1"/>
  <c r="F39" i="4"/>
  <c r="G39" i="4" s="1"/>
  <c r="H39" i="4" s="1"/>
  <c r="F40" i="4"/>
  <c r="F41" i="4"/>
  <c r="G41" i="4" s="1"/>
  <c r="H41" i="4" s="1"/>
  <c r="F42" i="4"/>
  <c r="F44" i="4"/>
  <c r="F45" i="4"/>
  <c r="G45" i="4" s="1"/>
  <c r="H45" i="4" s="1"/>
  <c r="F46" i="4"/>
  <c r="G46" i="4" s="1"/>
  <c r="H46" i="4" s="1"/>
  <c r="F47" i="4"/>
  <c r="G47" i="4" s="1"/>
  <c r="H47" i="4" s="1"/>
  <c r="F48" i="4"/>
  <c r="F49" i="4"/>
  <c r="G49" i="4" s="1"/>
  <c r="H49" i="4" s="1"/>
  <c r="F50" i="4"/>
  <c r="F52" i="4"/>
  <c r="F53" i="4"/>
  <c r="G53" i="4" s="1"/>
  <c r="H53" i="4" s="1"/>
  <c r="F54" i="4"/>
  <c r="G54" i="4" s="1"/>
  <c r="H54" i="4" s="1"/>
  <c r="F55" i="4"/>
  <c r="G55" i="4" s="1"/>
  <c r="H55" i="4" s="1"/>
  <c r="F56" i="4"/>
  <c r="F57" i="4"/>
  <c r="G57" i="4" s="1"/>
  <c r="H57" i="4" s="1"/>
  <c r="F58" i="4"/>
  <c r="F60" i="4"/>
  <c r="F61" i="4"/>
  <c r="G61" i="4" s="1"/>
  <c r="H61" i="4" s="1"/>
  <c r="F62" i="4"/>
  <c r="G62" i="4" s="1"/>
  <c r="H62" i="4" s="1"/>
  <c r="F63" i="4"/>
  <c r="G63" i="4" s="1"/>
  <c r="H63" i="4" s="1"/>
  <c r="F64" i="4"/>
  <c r="F65" i="4"/>
  <c r="G65" i="4" s="1"/>
  <c r="H65" i="4" s="1"/>
  <c r="F66" i="4"/>
  <c r="F68" i="4"/>
  <c r="F70" i="4"/>
  <c r="G70" i="4" s="1"/>
  <c r="H70" i="4" s="1"/>
  <c r="F71" i="4"/>
  <c r="G71" i="4" s="1"/>
  <c r="H71" i="4" s="1"/>
  <c r="F72" i="4"/>
  <c r="F73" i="4"/>
  <c r="G73" i="4" s="1"/>
  <c r="H73" i="4" s="1"/>
  <c r="F74" i="4"/>
  <c r="F76" i="4"/>
  <c r="F78" i="4"/>
  <c r="G78" i="4" s="1"/>
  <c r="H78" i="4" s="1"/>
  <c r="F79" i="4"/>
  <c r="G79" i="4" s="1"/>
  <c r="H79" i="4" s="1"/>
  <c r="F80" i="4"/>
  <c r="F81" i="4"/>
  <c r="G81" i="4" s="1"/>
  <c r="H81" i="4" s="1"/>
  <c r="F82" i="4"/>
  <c r="F84" i="4"/>
  <c r="F86" i="4"/>
  <c r="G86" i="4" s="1"/>
  <c r="H86" i="4" s="1"/>
  <c r="F87" i="4"/>
  <c r="G87" i="4" s="1"/>
  <c r="H87" i="4" s="1"/>
  <c r="F88" i="4"/>
  <c r="F89" i="4"/>
  <c r="G89" i="4" s="1"/>
  <c r="H89" i="4" s="1"/>
  <c r="F90" i="4"/>
  <c r="F92" i="4"/>
  <c r="F94" i="4"/>
  <c r="G94" i="4" s="1"/>
  <c r="H94" i="4" s="1"/>
  <c r="F95" i="4"/>
  <c r="G95" i="4" s="1"/>
  <c r="H95" i="4" s="1"/>
  <c r="F96" i="4"/>
  <c r="F97" i="4"/>
  <c r="G97" i="4" s="1"/>
  <c r="H97" i="4" s="1"/>
  <c r="F98" i="4"/>
  <c r="F100" i="4"/>
  <c r="F102" i="4"/>
  <c r="G102" i="4" s="1"/>
  <c r="H102" i="4" s="1"/>
  <c r="F103" i="4"/>
  <c r="G103" i="4" s="1"/>
  <c r="H103" i="4" s="1"/>
  <c r="F104" i="4"/>
  <c r="J5" i="5" l="1"/>
  <c r="J9" i="5"/>
  <c r="J12" i="5" s="1"/>
  <c r="J15" i="5" s="1"/>
  <c r="J18" i="5" s="1"/>
  <c r="J21" i="5" s="1"/>
  <c r="J24" i="5" s="1"/>
  <c r="J27" i="5" s="1"/>
  <c r="J30" i="5" s="1"/>
  <c r="J33" i="5" s="1"/>
  <c r="J36" i="5" s="1"/>
  <c r="J39" i="5" s="1"/>
  <c r="J42" i="5" s="1"/>
  <c r="J45" i="5" s="1"/>
  <c r="J48" i="5" s="1"/>
  <c r="J51" i="5" s="1"/>
  <c r="J54" i="5" s="1"/>
  <c r="J57" i="5" s="1"/>
  <c r="J60" i="5" s="1"/>
  <c r="J63" i="5" s="1"/>
  <c r="J66" i="5" s="1"/>
  <c r="J69" i="5" s="1"/>
  <c r="J72" i="5" s="1"/>
  <c r="J75" i="5" s="1"/>
  <c r="J78" i="5" s="1"/>
  <c r="J81" i="5" s="1"/>
  <c r="J84" i="5" s="1"/>
  <c r="J87" i="5" s="1"/>
  <c r="J90" i="5" s="1"/>
  <c r="J93" i="5" s="1"/>
  <c r="J96" i="5" s="1"/>
  <c r="J99" i="5" s="1"/>
  <c r="J102" i="5" s="1"/>
  <c r="G6" i="5"/>
  <c r="H5" i="4"/>
  <c r="H2" i="4" s="1"/>
  <c r="P5" i="5" l="1"/>
  <c r="O5" i="5"/>
  <c r="M8" i="5" a="1"/>
  <c r="M8" i="5" s="1"/>
  <c r="L8" i="5" a="1"/>
  <c r="L8" i="5" s="1"/>
  <c r="H5" i="5"/>
  <c r="H2" i="5" s="1"/>
  <c r="M2" i="5"/>
  <c r="M1" i="5"/>
  <c r="N2"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<sst xmlns="http://schemas.openxmlformats.org/spreadsheetml/2006/main" count="125" uniqueCount="81">
  <si>
    <t>Customer</t>
  </si>
  <si>
    <t>Spending</t>
  </si>
  <si>
    <t>Card</t>
  </si>
  <si>
    <t>Coupon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</si>
  <si>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</si>
  <si>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</si>
  <si>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</si>
  <si>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</si>
  <si>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</si>
  <si>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</si>
  <si>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</si>
  <si>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</si>
  <si>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</si>
  <si>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</si>
  <si>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</si>
  <si>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</si>
  <si>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</si>
  <si>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</si>
  <si>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</si>
  <si>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</si>
  <si>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</si>
  <si>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</si>
  <si>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</si>
  <si>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</si>
  <si>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</si>
  <si>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</si>
  <si>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</si>
  <si>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</si>
  <si>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 xml:space="preserve">Spending </t>
  </si>
  <si>
    <t>score</t>
  </si>
  <si>
    <t>probability of using coupon</t>
  </si>
  <si>
    <t>Likelihood of observed value given xs</t>
  </si>
  <si>
    <t>log likelihood</t>
  </si>
  <si>
    <t>1k</t>
  </si>
  <si>
    <t>2k</t>
  </si>
  <si>
    <t>3k</t>
  </si>
  <si>
    <t>4k</t>
  </si>
  <si>
    <t>1k no card</t>
  </si>
  <si>
    <t>2k no card</t>
  </si>
  <si>
    <t>3k no card</t>
  </si>
  <si>
    <t>4k no card</t>
  </si>
  <si>
    <t>5k</t>
  </si>
  <si>
    <t>5k no card</t>
  </si>
  <si>
    <t>Thousands</t>
  </si>
  <si>
    <t>Score</t>
  </si>
  <si>
    <t>Probability</t>
  </si>
  <si>
    <t>Probablilty</t>
  </si>
  <si>
    <t>No Card</t>
  </si>
  <si>
    <t>Prediction 1 if &gt;= 0.5</t>
  </si>
  <si>
    <t>Correct or Wrong</t>
  </si>
  <si>
    <t># Correct</t>
  </si>
  <si>
    <t>#Sample Size</t>
  </si>
  <si>
    <t xml:space="preserve">log likelihood of data given squiggle </t>
  </si>
  <si>
    <t>actual 0</t>
  </si>
  <si>
    <t>actual 1</t>
  </si>
  <si>
    <t>Predicted 0</t>
  </si>
  <si>
    <t>Predicted 1</t>
  </si>
  <si>
    <t>Rank</t>
  </si>
  <si>
    <t>ln  function</t>
  </si>
  <si>
    <t>vs log function</t>
  </si>
  <si>
    <t xml:space="preserve"> </t>
  </si>
  <si>
    <t>Count</t>
  </si>
  <si>
    <t xml:space="preserve">No Coupon </t>
  </si>
  <si>
    <t>ll bad fit</t>
  </si>
  <si>
    <t>sum</t>
  </si>
  <si>
    <t>step 1</t>
  </si>
  <si>
    <t># observed response 1/ # observed response 0</t>
  </si>
  <si>
    <t>step 2</t>
  </si>
  <si>
    <t>Sum</t>
  </si>
  <si>
    <t>Step 3</t>
  </si>
  <si>
    <t>Pseudo R Squared</t>
  </si>
  <si>
    <t>G Test Stat</t>
  </si>
  <si>
    <t>p value</t>
  </si>
  <si>
    <t>Thousands Spent</t>
  </si>
  <si>
    <t xml:space="preserve">Odds Ratio </t>
  </si>
  <si>
    <t>x1</t>
  </si>
  <si>
    <t>x2</t>
  </si>
  <si>
    <t>Per one unit increase</t>
  </si>
  <si>
    <t>Per c unit increases</t>
  </si>
  <si>
    <t>c</t>
  </si>
  <si>
    <t>criteria of greater than probability for predition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</si>
</sst>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0000"/>
    <numFmt numFmtId="167" formatCode="0.000000"/>
  </numFmts>
  <fonts count="9" x14ac:knownFonts="1">
    <font>
      <sz val="11"/>
      <color theme="1"/>
      <name val="Calibri"/>
      <family val="2"/>
      <scheme val="minor"/>
    </font>
    <font>
      <b/>
      <sz val="12"/>
      <name val="Times New Roman"/>
      <family val="1"/>
    </font>
    <font>
      <sz val="12"/>
      <name val="Times New Roman"/>
      <family val="1"/>
    </font>
    <font>
      <b/>
      <sz val="11"/>
      <color theme="1"/>
      <name val="Calibri"/>
      <family val="2"/>
      <scheme val="minor"/>
    </font>
    <font>
      <i/>
      <sz val="11"/>
      <color theme="1"/>
      <name val="Calibri"/>
      <family val="2"/>
      <scheme val="minor"/>
    </font>
    <font>
      <sz val="11"/>
      <color rgb="FFFFFFFF"/>
      <name val="Courier New"/>
      <family val="3"/>
    </font>
    <font>
      <sz val="11"/>
      <name val="Calibri"/>
      <family val="2"/>
    </font>
    <font>
      <sz val="11"/>
      <color rgb="FFFF0000"/>
      <name val="Calibri"/>
      <family val="2"/>
      <scheme val="minor"/>
    </font>
    <font>
      <sz val="11"/>
      <color rgb="FFFFC000"/>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330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7">
    <xf numFmtId="0" fontId="0" fillId="0" borderId="0" xfId="0"/>
    <xf numFmtId="0" fontId="1" fillId="0" borderId="0" xfId="0" applyFont="1" applyAlignment="1">
      <alignment horizontal="center"/>
    </xf>
    <xf numFmtId="1" fontId="2" fillId="0" borderId="0" xfId="0" applyNumberFormat="1" applyFont="1" applyAlignment="1">
      <alignment horizontal="center"/>
    </xf>
    <xf numFmtId="164" fontId="2" fillId="0" borderId="0" xfId="0" applyNumberFormat="1" applyFont="1" applyAlignment="1">
      <alignment horizontal="center"/>
    </xf>
    <xf numFmtId="0" fontId="2" fillId="0" borderId="0" xfId="0" applyFont="1" applyAlignment="1">
      <alignment horizontal="center"/>
    </xf>
    <xf numFmtId="0" fontId="0" fillId="0" borderId="1" xfId="0" applyBorder="1"/>
    <xf numFmtId="0" fontId="4" fillId="0" borderId="2" xfId="0" applyFont="1" applyBorder="1" applyAlignment="1">
      <alignment horizontal="center"/>
    </xf>
    <xf numFmtId="0" fontId="4" fillId="0" borderId="2" xfId="0" applyFont="1" applyBorder="1" applyAlignment="1">
      <alignment horizontal="centerContinuous"/>
    </xf>
    <xf numFmtId="0" fontId="4" fillId="0" borderId="0" xfId="0" applyFont="1" applyAlignment="1">
      <alignment horizontal="center"/>
    </xf>
    <xf numFmtId="0" fontId="1" fillId="0" borderId="0" xfId="0" applyFont="1" applyAlignment="1">
      <alignment horizontal="center" wrapText="1"/>
    </xf>
    <xf numFmtId="0" fontId="3" fillId="0" borderId="0" xfId="0" applyFont="1"/>
    <xf numFmtId="0" fontId="0" fillId="0" borderId="0" xfId="0" pivotButton="1"/>
    <xf numFmtId="0" fontId="0" fillId="0" borderId="0" xfId="0" applyAlignment="1">
      <alignment horizontal="left"/>
    </xf>
    <xf numFmtId="0" fontId="0" fillId="0" borderId="0" xfId="0" applyAlignment="1">
      <alignment wrapText="1"/>
    </xf>
    <xf numFmtId="166" fontId="0" fillId="0" borderId="0" xfId="0" applyNumberFormat="1"/>
    <xf numFmtId="0" fontId="5" fillId="0" borderId="0" xfId="0" applyFont="1"/>
    <xf numFmtId="0" fontId="0" fillId="2" borderId="0" xfId="0" applyFill="1"/>
    <xf numFmtId="0" fontId="0" fillId="0" borderId="0" xfId="0" applyFill="1"/>
    <xf numFmtId="0" fontId="4" fillId="2" borderId="2" xfId="0" applyFont="1" applyFill="1" applyBorder="1" applyAlignment="1">
      <alignment horizontal="center"/>
    </xf>
    <xf numFmtId="0" fontId="4" fillId="2" borderId="0" xfId="0" applyFont="1" applyFill="1" applyAlignment="1">
      <alignment horizontal="center"/>
    </xf>
    <xf numFmtId="0" fontId="0" fillId="2" borderId="1" xfId="0" applyFill="1" applyBorder="1"/>
    <xf numFmtId="0" fontId="1" fillId="2" borderId="0" xfId="0" applyFont="1" applyFill="1" applyAlignment="1">
      <alignment horizontal="center"/>
    </xf>
    <xf numFmtId="0" fontId="1" fillId="2" borderId="0" xfId="0" applyFont="1" applyFill="1" applyAlignment="1">
      <alignment horizontal="center" wrapText="1"/>
    </xf>
    <xf numFmtId="1" fontId="2" fillId="2" borderId="0" xfId="0" applyNumberFormat="1" applyFont="1" applyFill="1" applyAlignment="1">
      <alignment horizontal="center"/>
    </xf>
    <xf numFmtId="164" fontId="2" fillId="2" borderId="0" xfId="0" applyNumberFormat="1" applyFont="1" applyFill="1" applyAlignment="1">
      <alignment horizontal="center"/>
    </xf>
    <xf numFmtId="0" fontId="2" fillId="2" borderId="0" xfId="0" applyFont="1" applyFill="1" applyAlignment="1">
      <alignment horizontal="center"/>
    </xf>
    <xf numFmtId="0" fontId="0" fillId="3" borderId="0" xfId="0" applyFill="1"/>
    <xf numFmtId="0" fontId="3" fillId="0" borderId="0" xfId="0" applyFont="1" applyAlignment="1">
      <alignment wrapText="1"/>
    </xf>
    <xf numFmtId="0" fontId="0" fillId="0" borderId="0" xfId="0" applyNumberFormat="1"/>
    <xf numFmtId="167" fontId="0" fillId="0" borderId="0" xfId="0" applyNumberFormat="1"/>
    <xf numFmtId="0" fontId="0" fillId="0" borderId="0" xfId="0" applyAlignment="1">
      <alignment horizontal="center"/>
    </xf>
    <xf numFmtId="165" fontId="0" fillId="0" borderId="0" xfId="0" applyNumberFormat="1" applyAlignment="1">
      <alignment horizontal="center"/>
    </xf>
    <xf numFmtId="0" fontId="0" fillId="0" borderId="0" xfId="0" applyAlignment="1"/>
    <xf numFmtId="0" fontId="6" fillId="4" borderId="0" xfId="0" applyFont="1" applyFill="1"/>
    <xf numFmtId="0" fontId="0" fillId="4" borderId="0" xfId="0" applyFill="1"/>
    <xf numFmtId="0" fontId="8" fillId="0" borderId="0" xfId="0" applyNumberFormat="1" applyFont="1"/>
    <xf numFmtId="0" fontId="7" fillId="0" borderId="0" xfId="0" applyNumberFormat="1" applyFont="1"/>
  </cellXfs>
  <cellStyles count="1">
    <cellStyle name="Normal" xfId="0" builtinId="0"/>
  </cellStyles>
  <dxfs count="2">
    <dxf>
      <font>
        <color rgb="FFFF0000"/>
      </font>
    </dxf>
    <dxf>
      <font>
        <color rgb="FFFFC000"/>
      </font>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Spending vs</a:t>
            </a:r>
            <a:r>
              <a:rPr lang="en-US" baseline="0"/>
              <a:t> </a:t>
            </a:r>
            <a:r>
              <a:rPr lang="en-US"/>
              <a:t>log likelihood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Coefficients!$H$4</c:f>
              <c:strCache>
                <c:ptCount val="1"/>
                <c:pt idx="0">
                  <c:v>log likelihood</c:v>
                </c:pt>
              </c:strCache>
            </c:strRef>
          </c:tx>
          <c:spPr>
            <a:ln w="19050" cap="rnd">
              <a:noFill/>
              <a:round/>
            </a:ln>
            <a:effectLst/>
          </c:spPr>
          <c:marker>
            <c:symbol val="circle"/>
            <c:size val="5"/>
            <c:spPr>
              <a:solidFill>
                <a:schemeClr val="accent1"/>
              </a:solidFill>
              <a:ln w="9525">
                <a:solidFill>
                  <a:schemeClr val="accent1"/>
                </a:solidFill>
              </a:ln>
              <a:effectLst/>
            </c:spPr>
          </c:marker>
          <c:xVal>
            <c:numRef>
              <c:f>Coefficients!$B$5:$B$104</c:f>
              <c:numCache>
                <c:formatCode>0.000</c:formatCode>
                <c:ptCount val="100"/>
                <c:pt idx="0">
                  <c:v>2.2909999999999999</c:v>
                </c:pt>
                <c:pt idx="1">
                  <c:v>3.2149999999999999</c:v>
                </c:pt>
                <c:pt idx="2">
                  <c:v>2.1349999999999998</c:v>
                </c:pt>
                <c:pt idx="3">
                  <c:v>3.9239999999999999</c:v>
                </c:pt>
                <c:pt idx="4">
                  <c:v>2.528</c:v>
                </c:pt>
                <c:pt idx="5">
                  <c:v>2.4729999999999999</c:v>
                </c:pt>
                <c:pt idx="6">
                  <c:v>2.3839999999999999</c:v>
                </c:pt>
                <c:pt idx="7">
                  <c:v>7.0759999999999996</c:v>
                </c:pt>
                <c:pt idx="8">
                  <c:v>1.1819999999999999</c:v>
                </c:pt>
                <c:pt idx="9">
                  <c:v>3.3450000000000002</c:v>
                </c:pt>
                <c:pt idx="10">
                  <c:v>2.14</c:v>
                </c:pt>
                <c:pt idx="11">
                  <c:v>3.2549999999999999</c:v>
                </c:pt>
                <c:pt idx="12">
                  <c:v>1.512</c:v>
                </c:pt>
                <c:pt idx="13">
                  <c:v>2.1480000000000001</c:v>
                </c:pt>
                <c:pt idx="14">
                  <c:v>6.7370000000000001</c:v>
                </c:pt>
                <c:pt idx="15">
                  <c:v>6.4859999999999998</c:v>
                </c:pt>
                <c:pt idx="16">
                  <c:v>1.3069999999999999</c:v>
                </c:pt>
                <c:pt idx="17">
                  <c:v>3.47</c:v>
                </c:pt>
                <c:pt idx="18">
                  <c:v>2.9359999999999999</c:v>
                </c:pt>
                <c:pt idx="19">
                  <c:v>6.4039999999999999</c:v>
                </c:pt>
                <c:pt idx="20">
                  <c:v>2.2290000000000001</c:v>
                </c:pt>
                <c:pt idx="21">
                  <c:v>2.9329999999999998</c:v>
                </c:pt>
                <c:pt idx="22">
                  <c:v>2.1179999999999999</c:v>
                </c:pt>
                <c:pt idx="23">
                  <c:v>2.0499999999999998</c:v>
                </c:pt>
                <c:pt idx="24">
                  <c:v>4.9980000000000002</c:v>
                </c:pt>
                <c:pt idx="25">
                  <c:v>1.3939999999999999</c:v>
                </c:pt>
                <c:pt idx="26">
                  <c:v>3.9929999999999999</c:v>
                </c:pt>
                <c:pt idx="27">
                  <c:v>2.0590000000000002</c:v>
                </c:pt>
                <c:pt idx="28">
                  <c:v>1.677</c:v>
                </c:pt>
                <c:pt idx="29">
                  <c:v>2.2290000000000001</c:v>
                </c:pt>
                <c:pt idx="30">
                  <c:v>1.1379999999999999</c:v>
                </c:pt>
                <c:pt idx="31">
                  <c:v>2.9329999999999998</c:v>
                </c:pt>
                <c:pt idx="32">
                  <c:v>5.3650000000000002</c:v>
                </c:pt>
                <c:pt idx="33">
                  <c:v>5.3650000000000002</c:v>
                </c:pt>
                <c:pt idx="34">
                  <c:v>6.1790000000000003</c:v>
                </c:pt>
                <c:pt idx="35">
                  <c:v>1.98</c:v>
                </c:pt>
                <c:pt idx="36">
                  <c:v>1.0580000000000001</c:v>
                </c:pt>
                <c:pt idx="37">
                  <c:v>6.851</c:v>
                </c:pt>
                <c:pt idx="38">
                  <c:v>1.1240000000000001</c:v>
                </c:pt>
                <c:pt idx="39">
                  <c:v>1.911</c:v>
                </c:pt>
                <c:pt idx="40">
                  <c:v>3.2530000000000001</c:v>
                </c:pt>
                <c:pt idx="41">
                  <c:v>1.839</c:v>
                </c:pt>
                <c:pt idx="42">
                  <c:v>1.657</c:v>
                </c:pt>
                <c:pt idx="43">
                  <c:v>1.075</c:v>
                </c:pt>
                <c:pt idx="44">
                  <c:v>3.5659999999999998</c:v>
                </c:pt>
                <c:pt idx="45">
                  <c:v>2.1179999999999999</c:v>
                </c:pt>
                <c:pt idx="46">
                  <c:v>1.554</c:v>
                </c:pt>
                <c:pt idx="47">
                  <c:v>4.6310000000000002</c:v>
                </c:pt>
                <c:pt idx="48">
                  <c:v>4.3449999999999998</c:v>
                </c:pt>
                <c:pt idx="49">
                  <c:v>4.0039999999999996</c:v>
                </c:pt>
                <c:pt idx="50">
                  <c:v>1.0680000000000001</c:v>
                </c:pt>
                <c:pt idx="51">
                  <c:v>2.4209999999999998</c:v>
                </c:pt>
                <c:pt idx="52">
                  <c:v>4.4139999999999997</c:v>
                </c:pt>
                <c:pt idx="53">
                  <c:v>3.3860000000000001</c:v>
                </c:pt>
                <c:pt idx="54">
                  <c:v>1.677</c:v>
                </c:pt>
                <c:pt idx="55">
                  <c:v>2.0499999999999998</c:v>
                </c:pt>
                <c:pt idx="56">
                  <c:v>2.323</c:v>
                </c:pt>
                <c:pt idx="57">
                  <c:v>5.5010000000000003</c:v>
                </c:pt>
                <c:pt idx="58">
                  <c:v>3.3450000000000002</c:v>
                </c:pt>
                <c:pt idx="59">
                  <c:v>3.3180000000000001</c:v>
                </c:pt>
                <c:pt idx="60">
                  <c:v>4.7210000000000001</c:v>
                </c:pt>
                <c:pt idx="61">
                  <c:v>1.6619999999999999</c:v>
                </c:pt>
                <c:pt idx="62">
                  <c:v>2.9359999999999999</c:v>
                </c:pt>
                <c:pt idx="63">
                  <c:v>2.0489999999999999</c:v>
                </c:pt>
                <c:pt idx="64">
                  <c:v>2.3130000000000002</c:v>
                </c:pt>
                <c:pt idx="65">
                  <c:v>6.851</c:v>
                </c:pt>
                <c:pt idx="66">
                  <c:v>2.2909999999999999</c:v>
                </c:pt>
                <c:pt idx="67">
                  <c:v>3.47</c:v>
                </c:pt>
                <c:pt idx="68">
                  <c:v>3.2530000000000001</c:v>
                </c:pt>
                <c:pt idx="69">
                  <c:v>2.0590000000000002</c:v>
                </c:pt>
                <c:pt idx="70">
                  <c:v>2.6779999999999999</c:v>
                </c:pt>
                <c:pt idx="71">
                  <c:v>2.323</c:v>
                </c:pt>
                <c:pt idx="72">
                  <c:v>1.8779999999999999</c:v>
                </c:pt>
                <c:pt idx="73">
                  <c:v>2.6779999999999999</c:v>
                </c:pt>
                <c:pt idx="74">
                  <c:v>6.1790000000000003</c:v>
                </c:pt>
                <c:pt idx="75">
                  <c:v>3.411</c:v>
                </c:pt>
                <c:pt idx="76">
                  <c:v>5.9909999999999997</c:v>
                </c:pt>
                <c:pt idx="77">
                  <c:v>7.0759999999999996</c:v>
                </c:pt>
                <c:pt idx="78">
                  <c:v>3.2549999999999999</c:v>
                </c:pt>
                <c:pt idx="79">
                  <c:v>2.1480000000000001</c:v>
                </c:pt>
                <c:pt idx="80">
                  <c:v>5.5010000000000003</c:v>
                </c:pt>
                <c:pt idx="81">
                  <c:v>5.9909999999999997</c:v>
                </c:pt>
                <c:pt idx="82">
                  <c:v>2.3719999999999999</c:v>
                </c:pt>
                <c:pt idx="83">
                  <c:v>3.9950000000000001</c:v>
                </c:pt>
                <c:pt idx="84">
                  <c:v>2.1349999999999998</c:v>
                </c:pt>
                <c:pt idx="85">
                  <c:v>6.7370000000000001</c:v>
                </c:pt>
                <c:pt idx="86">
                  <c:v>6.4859999999999998</c:v>
                </c:pt>
                <c:pt idx="87">
                  <c:v>2.4289999999999998</c:v>
                </c:pt>
                <c:pt idx="88">
                  <c:v>4.7009999999999996</c:v>
                </c:pt>
                <c:pt idx="89">
                  <c:v>6.4039999999999999</c:v>
                </c:pt>
                <c:pt idx="90">
                  <c:v>1.1299999999999999</c:v>
                </c:pt>
                <c:pt idx="91">
                  <c:v>1.911</c:v>
                </c:pt>
                <c:pt idx="92">
                  <c:v>4.9589999999999996</c:v>
                </c:pt>
                <c:pt idx="93">
                  <c:v>6.0730000000000004</c:v>
                </c:pt>
                <c:pt idx="94">
                  <c:v>1.403</c:v>
                </c:pt>
                <c:pt idx="95">
                  <c:v>3.3180000000000001</c:v>
                </c:pt>
                <c:pt idx="96">
                  <c:v>2.4209999999999998</c:v>
                </c:pt>
                <c:pt idx="97">
                  <c:v>6.0730000000000004</c:v>
                </c:pt>
                <c:pt idx="98">
                  <c:v>2.63</c:v>
                </c:pt>
                <c:pt idx="99">
                  <c:v>3.411</c:v>
                </c:pt>
              </c:numCache>
            </c:numRef>
          </c:xVal>
          <c:yVal>
            <c:numRef>
              <c:f>Coefficients!$H$5:$H$104</c:f>
              <c:numCache>
                <c:formatCode>General</c:formatCode>
                <c:ptCount val="100"/>
                <c:pt idx="0">
                  <c:v>-0.56943462271662104</c:v>
                </c:pt>
                <c:pt idx="1">
                  <c:v>-0.71884779758565032</c:v>
                </c:pt>
                <c:pt idx="2">
                  <c:v>-0.5466439163853376</c:v>
                </c:pt>
                <c:pt idx="3">
                  <c:v>-0.3693134784723634</c:v>
                </c:pt>
                <c:pt idx="4">
                  <c:v>-0.60539566661973609</c:v>
                </c:pt>
                <c:pt idx="5">
                  <c:v>-1.5421859622171976</c:v>
                </c:pt>
                <c:pt idx="6">
                  <c:v>-0.23426080576639069</c:v>
                </c:pt>
                <c:pt idx="7">
                  <c:v>-0.83784378579385099</c:v>
                </c:pt>
                <c:pt idx="8">
                  <c:v>-1.0659863605225934</c:v>
                </c:pt>
                <c:pt idx="9">
                  <c:v>-0.31229834969433057</c:v>
                </c:pt>
                <c:pt idx="10">
                  <c:v>-0.54736361675392287</c:v>
                </c:pt>
                <c:pt idx="11">
                  <c:v>-1.3384774252192448</c:v>
                </c:pt>
                <c:pt idx="12">
                  <c:v>-0.17895394940654763</c:v>
                </c:pt>
                <c:pt idx="13">
                  <c:v>-1.6304825758239805</c:v>
                </c:pt>
                <c:pt idx="14">
                  <c:v>-0.77378833848442219</c:v>
                </c:pt>
                <c:pt idx="15">
                  <c:v>-0.72850588434992414</c:v>
                </c:pt>
                <c:pt idx="16">
                  <c:v>-0.16780883977450858</c:v>
                </c:pt>
                <c:pt idx="17">
                  <c:v>-0.76445944394864329</c:v>
                </c:pt>
                <c:pt idx="18">
                  <c:v>-0.27669159080321676</c:v>
                </c:pt>
                <c:pt idx="19">
                  <c:v>-0.67261482870454858</c:v>
                </c:pt>
                <c:pt idx="20">
                  <c:v>-0.22343084082050674</c:v>
                </c:pt>
                <c:pt idx="21">
                  <c:v>-0.27644395073066463</c:v>
                </c:pt>
                <c:pt idx="22">
                  <c:v>-0.21595195644775986</c:v>
                </c:pt>
                <c:pt idx="23">
                  <c:v>-0.21148180274141778</c:v>
                </c:pt>
                <c:pt idx="24">
                  <c:v>-0.93645694619140674</c:v>
                </c:pt>
                <c:pt idx="25">
                  <c:v>-0.17245865019437578</c:v>
                </c:pt>
                <c:pt idx="26">
                  <c:v>-0.54734385190961388</c:v>
                </c:pt>
                <c:pt idx="27">
                  <c:v>-1.6550064518313112</c:v>
                </c:pt>
                <c:pt idx="28">
                  <c:v>-0.18841107381462169</c:v>
                </c:pt>
                <c:pt idx="29">
                  <c:v>-1.6082895790508576</c:v>
                </c:pt>
                <c:pt idx="30">
                  <c:v>-0.15910413199090245</c:v>
                </c:pt>
                <c:pt idx="31">
                  <c:v>-0.67061405769555027</c:v>
                </c:pt>
                <c:pt idx="32">
                  <c:v>-0.3756853397679375</c:v>
                </c:pt>
                <c:pt idx="33">
                  <c:v>-0.54864492123902942</c:v>
                </c:pt>
                <c:pt idx="34">
                  <c:v>-0.67561647147466719</c:v>
                </c:pt>
                <c:pt idx="35">
                  <c:v>-0.52468503887804074</c:v>
                </c:pt>
                <c:pt idx="36">
                  <c:v>-0.40779832390954396</c:v>
                </c:pt>
                <c:pt idx="37">
                  <c:v>-0.24251900481050481</c:v>
                </c:pt>
                <c:pt idx="38">
                  <c:v>-0.15840202465838354</c:v>
                </c:pt>
                <c:pt idx="39">
                  <c:v>-0.20260205558183267</c:v>
                </c:pt>
                <c:pt idx="40">
                  <c:v>-0.30396387369136491</c:v>
                </c:pt>
                <c:pt idx="41">
                  <c:v>-0.19813589668324588</c:v>
                </c:pt>
                <c:pt idx="42">
                  <c:v>-0.48109394993589671</c:v>
                </c:pt>
                <c:pt idx="43">
                  <c:v>-0.15596711105967412</c:v>
                </c:pt>
                <c:pt idx="44">
                  <c:v>-0.33311693986682328</c:v>
                </c:pt>
                <c:pt idx="45">
                  <c:v>-0.21595195644775986</c:v>
                </c:pt>
                <c:pt idx="46">
                  <c:v>-0.46780121383524581</c:v>
                </c:pt>
                <c:pt idx="47">
                  <c:v>-0.45030769517081398</c:v>
                </c:pt>
                <c:pt idx="48">
                  <c:v>-0.4984044181571306</c:v>
                </c:pt>
                <c:pt idx="49">
                  <c:v>-0.54576149299743615</c:v>
                </c:pt>
                <c:pt idx="50">
                  <c:v>-1.0916911228808406</c:v>
                </c:pt>
                <c:pt idx="51">
                  <c:v>-0.23691398878335346</c:v>
                </c:pt>
                <c:pt idx="52">
                  <c:v>-0.42405896056623321</c:v>
                </c:pt>
                <c:pt idx="53">
                  <c:v>-0.64004744395258351</c:v>
                </c:pt>
                <c:pt idx="54">
                  <c:v>-0.48370887534435197</c:v>
                </c:pt>
                <c:pt idx="55">
                  <c:v>-0.881772973052392</c:v>
                </c:pt>
                <c:pt idx="56">
                  <c:v>-0.82818284071392168</c:v>
                </c:pt>
                <c:pt idx="57">
                  <c:v>-0.56852880781213333</c:v>
                </c:pt>
                <c:pt idx="58">
                  <c:v>-1.3158850108400475</c:v>
                </c:pt>
                <c:pt idx="59">
                  <c:v>-0.65109708339501127</c:v>
                </c:pt>
                <c:pt idx="60">
                  <c:v>-0.99505315524674209</c:v>
                </c:pt>
                <c:pt idx="61">
                  <c:v>-1.7661024604912563</c:v>
                </c:pt>
                <c:pt idx="62">
                  <c:v>-0.67111497294470845</c:v>
                </c:pt>
                <c:pt idx="63">
                  <c:v>-0.21141668938380004</c:v>
                </c:pt>
                <c:pt idx="64">
                  <c:v>-1.58540417582543</c:v>
                </c:pt>
                <c:pt idx="65">
                  <c:v>-0.794958904502578</c:v>
                </c:pt>
                <c:pt idx="66">
                  <c:v>-0.22770814124795885</c:v>
                </c:pt>
                <c:pt idx="67">
                  <c:v>-0.62658359508309214</c:v>
                </c:pt>
                <c:pt idx="68">
                  <c:v>-0.30396387369136491</c:v>
                </c:pt>
                <c:pt idx="69">
                  <c:v>-0.21206863375831905</c:v>
                </c:pt>
                <c:pt idx="70">
                  <c:v>-0.76169903970346242</c:v>
                </c:pt>
                <c:pt idx="71">
                  <c:v>-0.57419572146470965</c:v>
                </c:pt>
                <c:pt idx="72">
                  <c:v>-0.51060464293305574</c:v>
                </c:pt>
                <c:pt idx="73">
                  <c:v>-0.76169903970346242</c:v>
                </c:pt>
                <c:pt idx="74">
                  <c:v>-0.29660641210670846</c:v>
                </c:pt>
                <c:pt idx="75">
                  <c:v>-0.6360189055427804</c:v>
                </c:pt>
                <c:pt idx="76">
                  <c:v>-0.74418819237993372</c:v>
                </c:pt>
                <c:pt idx="77">
                  <c:v>-0.22645704112865694</c:v>
                </c:pt>
                <c:pt idx="78">
                  <c:v>-0.66145443207157373</c:v>
                </c:pt>
                <c:pt idx="79">
                  <c:v>-0.54851661739462365</c:v>
                </c:pt>
                <c:pt idx="80">
                  <c:v>-0.36136472706178652</c:v>
                </c:pt>
                <c:pt idx="81">
                  <c:v>-0.31348916425334239</c:v>
                </c:pt>
                <c:pt idx="82">
                  <c:v>-0.58154315064698969</c:v>
                </c:pt>
                <c:pt idx="83">
                  <c:v>-0.86429360728728111</c:v>
                </c:pt>
                <c:pt idx="84">
                  <c:v>-1.6340556987506594</c:v>
                </c:pt>
                <c:pt idx="85">
                  <c:v>-0.2510354227678574</c:v>
                </c:pt>
                <c:pt idx="86">
                  <c:v>-0.27071793431300212</c:v>
                </c:pt>
                <c:pt idx="87">
                  <c:v>-0.59017709144508124</c:v>
                </c:pt>
                <c:pt idx="88">
                  <c:v>-0.45241403831310056</c:v>
                </c:pt>
                <c:pt idx="89">
                  <c:v>-1.4176858959664285</c:v>
                </c:pt>
                <c:pt idx="90">
                  <c:v>-0.41610350815932978</c:v>
                </c:pt>
                <c:pt idx="91">
                  <c:v>-0.9098715576882187</c:v>
                </c:pt>
                <c:pt idx="92">
                  <c:v>-0.4212295889069293</c:v>
                </c:pt>
                <c:pt idx="93">
                  <c:v>-0.30602706439068539</c:v>
                </c:pt>
                <c:pt idx="94">
                  <c:v>-0.44883687535441402</c:v>
                </c:pt>
                <c:pt idx="95">
                  <c:v>-0.3098323850740653</c:v>
                </c:pt>
                <c:pt idx="96">
                  <c:v>-0.58895966296250524</c:v>
                </c:pt>
                <c:pt idx="97">
                  <c:v>-0.65799352826697888</c:v>
                </c:pt>
                <c:pt idx="98">
                  <c:v>-0.62137201127132069</c:v>
                </c:pt>
                <c:pt idx="99">
                  <c:v>-1.299435031729463</c:v>
                </c:pt>
              </c:numCache>
            </c:numRef>
          </c:yVal>
          <c:smooth val="0"/>
          <c:extLst>
            <c:ext xmlns:c16="http://schemas.microsoft.com/office/drawing/2014/chart" uri="{C3380CC4-5D6E-409C-BE32-E72D297353CC}">
              <c16:uniqueId val="{00000000-B2D1-4EAA-9B61-5A1E0DC85801}"/>
            </c:ext>
          </c:extLst>
        </c:ser>
        <c:dLbls>
          <c:showLegendKey val="0"/>
          <c:showVal val="0"/>
          <c:showCatName val="0"/>
          <c:showSerName val="0"/>
          <c:showPercent val="0"/>
          <c:showBubbleSize val="0"/>
        </c:dLbls>
        <c:axId val="419418415"/>
        <c:axId val="139423535"/>
      </c:scatterChart>
      <c:valAx>
        <c:axId val="41941841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23535"/>
        <c:crosses val="autoZero"/>
        <c:crossBetween val="midCat"/>
      </c:valAx>
      <c:valAx>
        <c:axId val="13942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4184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Spending</a:t>
            </a:r>
            <a:r>
              <a:rPr lang="en-US" baseline="0"/>
              <a:t> vs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Coefficients!$E$4</c:f>
              <c:strCache>
                <c:ptCount val="1"/>
                <c:pt idx="0">
                  <c:v>score</c:v>
                </c:pt>
              </c:strCache>
            </c:strRef>
          </c:tx>
          <c:spPr>
            <a:ln w="25400" cap="rnd">
              <a:noFill/>
              <a:round/>
            </a:ln>
            <a:effectLst/>
          </c:spPr>
          <c:marker>
            <c:symbol val="circle"/>
            <c:size val="5"/>
            <c:spPr>
              <a:solidFill>
                <a:schemeClr val="accent1"/>
              </a:solidFill>
              <a:ln w="9525">
                <a:solidFill>
                  <a:schemeClr val="accent1"/>
                </a:solidFill>
              </a:ln>
              <a:effectLst/>
            </c:spPr>
          </c:marker>
          <c:xVal>
            <c:numRef>
              <c:f>Coefficients!$B$5:$B$104</c:f>
              <c:numCache>
                <c:formatCode>0.000</c:formatCode>
                <c:ptCount val="100"/>
                <c:pt idx="0">
                  <c:v>2.2909999999999999</c:v>
                </c:pt>
                <c:pt idx="1">
                  <c:v>3.2149999999999999</c:v>
                </c:pt>
                <c:pt idx="2">
                  <c:v>2.1349999999999998</c:v>
                </c:pt>
                <c:pt idx="3">
                  <c:v>3.9239999999999999</c:v>
                </c:pt>
                <c:pt idx="4">
                  <c:v>2.528</c:v>
                </c:pt>
                <c:pt idx="5">
                  <c:v>2.4729999999999999</c:v>
                </c:pt>
                <c:pt idx="6">
                  <c:v>2.3839999999999999</c:v>
                </c:pt>
                <c:pt idx="7">
                  <c:v>7.0759999999999996</c:v>
                </c:pt>
                <c:pt idx="8">
                  <c:v>1.1819999999999999</c:v>
                </c:pt>
                <c:pt idx="9">
                  <c:v>3.3450000000000002</c:v>
                </c:pt>
                <c:pt idx="10">
                  <c:v>2.14</c:v>
                </c:pt>
                <c:pt idx="11">
                  <c:v>3.2549999999999999</c:v>
                </c:pt>
                <c:pt idx="12">
                  <c:v>1.512</c:v>
                </c:pt>
                <c:pt idx="13">
                  <c:v>2.1480000000000001</c:v>
                </c:pt>
                <c:pt idx="14">
                  <c:v>6.7370000000000001</c:v>
                </c:pt>
                <c:pt idx="15">
                  <c:v>6.4859999999999998</c:v>
                </c:pt>
                <c:pt idx="16">
                  <c:v>1.3069999999999999</c:v>
                </c:pt>
                <c:pt idx="17">
                  <c:v>3.47</c:v>
                </c:pt>
                <c:pt idx="18">
                  <c:v>2.9359999999999999</c:v>
                </c:pt>
                <c:pt idx="19">
                  <c:v>6.4039999999999999</c:v>
                </c:pt>
                <c:pt idx="20">
                  <c:v>2.2290000000000001</c:v>
                </c:pt>
                <c:pt idx="21">
                  <c:v>2.9329999999999998</c:v>
                </c:pt>
                <c:pt idx="22">
                  <c:v>2.1179999999999999</c:v>
                </c:pt>
                <c:pt idx="23">
                  <c:v>2.0499999999999998</c:v>
                </c:pt>
                <c:pt idx="24">
                  <c:v>4.9980000000000002</c:v>
                </c:pt>
                <c:pt idx="25">
                  <c:v>1.3939999999999999</c:v>
                </c:pt>
                <c:pt idx="26">
                  <c:v>3.9929999999999999</c:v>
                </c:pt>
                <c:pt idx="27">
                  <c:v>2.0590000000000002</c:v>
                </c:pt>
                <c:pt idx="28">
                  <c:v>1.677</c:v>
                </c:pt>
                <c:pt idx="29">
                  <c:v>2.2290000000000001</c:v>
                </c:pt>
                <c:pt idx="30">
                  <c:v>1.1379999999999999</c:v>
                </c:pt>
                <c:pt idx="31">
                  <c:v>2.9329999999999998</c:v>
                </c:pt>
                <c:pt idx="32">
                  <c:v>5.3650000000000002</c:v>
                </c:pt>
                <c:pt idx="33">
                  <c:v>5.3650000000000002</c:v>
                </c:pt>
                <c:pt idx="34">
                  <c:v>6.1790000000000003</c:v>
                </c:pt>
                <c:pt idx="35">
                  <c:v>1.98</c:v>
                </c:pt>
                <c:pt idx="36">
                  <c:v>1.0580000000000001</c:v>
                </c:pt>
                <c:pt idx="37">
                  <c:v>6.851</c:v>
                </c:pt>
                <c:pt idx="38">
                  <c:v>1.1240000000000001</c:v>
                </c:pt>
                <c:pt idx="39">
                  <c:v>1.911</c:v>
                </c:pt>
                <c:pt idx="40">
                  <c:v>3.2530000000000001</c:v>
                </c:pt>
                <c:pt idx="41">
                  <c:v>1.839</c:v>
                </c:pt>
                <c:pt idx="42">
                  <c:v>1.657</c:v>
                </c:pt>
                <c:pt idx="43">
                  <c:v>1.075</c:v>
                </c:pt>
                <c:pt idx="44">
                  <c:v>3.5659999999999998</c:v>
                </c:pt>
                <c:pt idx="45">
                  <c:v>2.1179999999999999</c:v>
                </c:pt>
                <c:pt idx="46">
                  <c:v>1.554</c:v>
                </c:pt>
                <c:pt idx="47">
                  <c:v>4.6310000000000002</c:v>
                </c:pt>
                <c:pt idx="48">
                  <c:v>4.3449999999999998</c:v>
                </c:pt>
                <c:pt idx="49">
                  <c:v>4.0039999999999996</c:v>
                </c:pt>
                <c:pt idx="50">
                  <c:v>1.0680000000000001</c:v>
                </c:pt>
                <c:pt idx="51">
                  <c:v>2.4209999999999998</c:v>
                </c:pt>
                <c:pt idx="52">
                  <c:v>4.4139999999999997</c:v>
                </c:pt>
                <c:pt idx="53">
                  <c:v>3.3860000000000001</c:v>
                </c:pt>
                <c:pt idx="54">
                  <c:v>1.677</c:v>
                </c:pt>
                <c:pt idx="55">
                  <c:v>2.0499999999999998</c:v>
                </c:pt>
                <c:pt idx="56">
                  <c:v>2.323</c:v>
                </c:pt>
                <c:pt idx="57">
                  <c:v>5.5010000000000003</c:v>
                </c:pt>
                <c:pt idx="58">
                  <c:v>3.3450000000000002</c:v>
                </c:pt>
                <c:pt idx="59">
                  <c:v>3.3180000000000001</c:v>
                </c:pt>
                <c:pt idx="60">
                  <c:v>4.7210000000000001</c:v>
                </c:pt>
                <c:pt idx="61">
                  <c:v>1.6619999999999999</c:v>
                </c:pt>
                <c:pt idx="62">
                  <c:v>2.9359999999999999</c:v>
                </c:pt>
                <c:pt idx="63">
                  <c:v>2.0489999999999999</c:v>
                </c:pt>
                <c:pt idx="64">
                  <c:v>2.3130000000000002</c:v>
                </c:pt>
                <c:pt idx="65">
                  <c:v>6.851</c:v>
                </c:pt>
                <c:pt idx="66">
                  <c:v>2.2909999999999999</c:v>
                </c:pt>
                <c:pt idx="67">
                  <c:v>3.47</c:v>
                </c:pt>
                <c:pt idx="68">
                  <c:v>3.2530000000000001</c:v>
                </c:pt>
                <c:pt idx="69">
                  <c:v>2.0590000000000002</c:v>
                </c:pt>
                <c:pt idx="70">
                  <c:v>2.6779999999999999</c:v>
                </c:pt>
                <c:pt idx="71">
                  <c:v>2.323</c:v>
                </c:pt>
                <c:pt idx="72">
                  <c:v>1.8779999999999999</c:v>
                </c:pt>
                <c:pt idx="73">
                  <c:v>2.6779999999999999</c:v>
                </c:pt>
                <c:pt idx="74">
                  <c:v>6.1790000000000003</c:v>
                </c:pt>
                <c:pt idx="75">
                  <c:v>3.411</c:v>
                </c:pt>
                <c:pt idx="76">
                  <c:v>5.9909999999999997</c:v>
                </c:pt>
                <c:pt idx="77">
                  <c:v>7.0759999999999996</c:v>
                </c:pt>
                <c:pt idx="78">
                  <c:v>3.2549999999999999</c:v>
                </c:pt>
                <c:pt idx="79">
                  <c:v>2.1480000000000001</c:v>
                </c:pt>
                <c:pt idx="80">
                  <c:v>5.5010000000000003</c:v>
                </c:pt>
                <c:pt idx="81">
                  <c:v>5.9909999999999997</c:v>
                </c:pt>
                <c:pt idx="82">
                  <c:v>2.3719999999999999</c:v>
                </c:pt>
                <c:pt idx="83">
                  <c:v>3.9950000000000001</c:v>
                </c:pt>
                <c:pt idx="84">
                  <c:v>2.1349999999999998</c:v>
                </c:pt>
                <c:pt idx="85">
                  <c:v>6.7370000000000001</c:v>
                </c:pt>
                <c:pt idx="86">
                  <c:v>6.4859999999999998</c:v>
                </c:pt>
                <c:pt idx="87">
                  <c:v>2.4289999999999998</c:v>
                </c:pt>
                <c:pt idx="88">
                  <c:v>4.7009999999999996</c:v>
                </c:pt>
                <c:pt idx="89">
                  <c:v>6.4039999999999999</c:v>
                </c:pt>
                <c:pt idx="90">
                  <c:v>1.1299999999999999</c:v>
                </c:pt>
                <c:pt idx="91">
                  <c:v>1.911</c:v>
                </c:pt>
                <c:pt idx="92">
                  <c:v>4.9589999999999996</c:v>
                </c:pt>
                <c:pt idx="93">
                  <c:v>6.0730000000000004</c:v>
                </c:pt>
                <c:pt idx="94">
                  <c:v>1.403</c:v>
                </c:pt>
                <c:pt idx="95">
                  <c:v>3.3180000000000001</c:v>
                </c:pt>
                <c:pt idx="96">
                  <c:v>2.4209999999999998</c:v>
                </c:pt>
                <c:pt idx="97">
                  <c:v>6.0730000000000004</c:v>
                </c:pt>
                <c:pt idx="98">
                  <c:v>2.63</c:v>
                </c:pt>
                <c:pt idx="99">
                  <c:v>3.411</c:v>
                </c:pt>
              </c:numCache>
            </c:numRef>
          </c:xVal>
          <c:yVal>
            <c:numRef>
              <c:f>Coefficients!$E$5:$E$104</c:f>
              <c:numCache>
                <c:formatCode>General</c:formatCode>
                <c:ptCount val="100"/>
                <c:pt idx="0" formatCode="0.00000">
                  <c:v>-0.26491965192547395</c:v>
                </c:pt>
                <c:pt idx="1">
                  <c:v>5.0757229101588752E-2</c:v>
                </c:pt>
                <c:pt idx="2">
                  <c:v>-0.31821574872225078</c:v>
                </c:pt>
                <c:pt idx="3">
                  <c:v>-0.80577614803460307</c:v>
                </c:pt>
                <c:pt idx="4">
                  <c:v>-0.18395058179190915</c:v>
                </c:pt>
                <c:pt idx="5">
                  <c:v>-1.301498176573854</c:v>
                </c:pt>
                <c:pt idx="6">
                  <c:v>-1.3319042830797074</c:v>
                </c:pt>
                <c:pt idx="7">
                  <c:v>0.27107832057719516</c:v>
                </c:pt>
                <c:pt idx="8">
                  <c:v>-0.64380023748717585</c:v>
                </c:pt>
                <c:pt idx="9">
                  <c:v>-1.0035866611457169</c:v>
                </c:pt>
                <c:pt idx="10">
                  <c:v>-0.31650754049158492</c:v>
                </c:pt>
                <c:pt idx="11">
                  <c:v>-1.0343344092977036</c:v>
                </c:pt>
                <c:pt idx="12">
                  <c:v>-1.6298157985078445</c:v>
                </c:pt>
                <c:pt idx="13">
                  <c:v>-1.412531711567139</c:v>
                </c:pt>
                <c:pt idx="14">
                  <c:v>0.15526180253804567</c:v>
                </c:pt>
                <c:pt idx="15">
                  <c:v>6.9509749358616091E-2</c:v>
                </c:pt>
                <c:pt idx="16">
                  <c:v>-1.6998523359651474</c:v>
                </c:pt>
                <c:pt idx="17">
                  <c:v>0.13787584886555093</c:v>
                </c:pt>
                <c:pt idx="18">
                  <c:v>-1.1433180944141894</c:v>
                </c:pt>
                <c:pt idx="19">
                  <c:v>4.1495134375694853E-2</c:v>
                </c:pt>
                <c:pt idx="20">
                  <c:v>-1.384858738230351</c:v>
                </c:pt>
                <c:pt idx="21">
                  <c:v>-1.1443430193525892</c:v>
                </c:pt>
                <c:pt idx="22">
                  <c:v>-1.4227809609511346</c:v>
                </c:pt>
                <c:pt idx="23">
                  <c:v>-1.4460125928881911</c:v>
                </c:pt>
                <c:pt idx="24">
                  <c:v>-0.43885302008756244</c:v>
                </c:pt>
                <c:pt idx="25">
                  <c:v>-1.6701295127515603</c:v>
                </c:pt>
                <c:pt idx="26">
                  <c:v>0.31655442979320636</c:v>
                </c:pt>
                <c:pt idx="27">
                  <c:v>-1.4429378180729924</c:v>
                </c:pt>
                <c:pt idx="28">
                  <c:v>-1.573444926895869</c:v>
                </c:pt>
                <c:pt idx="29">
                  <c:v>-1.384858738230351</c:v>
                </c:pt>
                <c:pt idx="30">
                  <c:v>-1.7575897741616555</c:v>
                </c:pt>
                <c:pt idx="31">
                  <c:v>-4.5585715107969271E-2</c:v>
                </c:pt>
                <c:pt idx="32">
                  <c:v>0.78528676828793564</c:v>
                </c:pt>
                <c:pt idx="33">
                  <c:v>-0.31347053595668384</c:v>
                </c:pt>
                <c:pt idx="34">
                  <c:v>-3.5374236004271253E-2</c:v>
                </c:pt>
                <c:pt idx="35">
                  <c:v>-0.37117020387289434</c:v>
                </c:pt>
                <c:pt idx="36">
                  <c:v>-0.68616380160769053</c:v>
                </c:pt>
                <c:pt idx="37">
                  <c:v>1.2929662544418483</c:v>
                </c:pt>
                <c:pt idx="38">
                  <c:v>-1.7623727572075201</c:v>
                </c:pt>
                <c:pt idx="39">
                  <c:v>-1.4935007817007038</c:v>
                </c:pt>
                <c:pt idx="40">
                  <c:v>-1.0350176925899699</c:v>
                </c:pt>
                <c:pt idx="41">
                  <c:v>-1.5180989802222933</c:v>
                </c:pt>
                <c:pt idx="42">
                  <c:v>-0.48152045557391299</c:v>
                </c:pt>
                <c:pt idx="43">
                  <c:v>-1.7791131978680461</c:v>
                </c:pt>
                <c:pt idx="44">
                  <c:v>-0.9280838573502832</c:v>
                </c:pt>
                <c:pt idx="45">
                  <c:v>-1.4227809609511346</c:v>
                </c:pt>
                <c:pt idx="46">
                  <c:v>-0.51670954512563094</c:v>
                </c:pt>
                <c:pt idx="47">
                  <c:v>-0.56423550421844126</c:v>
                </c:pt>
                <c:pt idx="48">
                  <c:v>0.43681228923208737</c:v>
                </c:pt>
                <c:pt idx="49">
                  <c:v>0.32031248790067135</c:v>
                </c:pt>
                <c:pt idx="50">
                  <c:v>-0.6827473851463588</c:v>
                </c:pt>
                <c:pt idx="51">
                  <c:v>-1.3192635421727796</c:v>
                </c:pt>
                <c:pt idx="52">
                  <c:v>-0.63837174142934261</c:v>
                </c:pt>
                <c:pt idx="53">
                  <c:v>0.10917795059036361</c:v>
                </c:pt>
                <c:pt idx="54">
                  <c:v>-0.47468762265124931</c:v>
                </c:pt>
                <c:pt idx="55">
                  <c:v>-0.34725528864357136</c:v>
                </c:pt>
                <c:pt idx="56">
                  <c:v>-0.25398711924921202</c:v>
                </c:pt>
                <c:pt idx="57">
                  <c:v>-0.26700727208257069</c:v>
                </c:pt>
                <c:pt idx="58">
                  <c:v>-1.0035866611457169</c:v>
                </c:pt>
                <c:pt idx="59">
                  <c:v>8.5946318653306708E-2</c:v>
                </c:pt>
                <c:pt idx="60">
                  <c:v>-0.53348775606645482</c:v>
                </c:pt>
                <c:pt idx="61">
                  <c:v>-1.5785695515878668</c:v>
                </c:pt>
                <c:pt idx="62">
                  <c:v>-4.4560790169569486E-2</c:v>
                </c:pt>
                <c:pt idx="63">
                  <c:v>-1.4463542345343243</c:v>
                </c:pt>
                <c:pt idx="64">
                  <c:v>-1.3561608399551635</c:v>
                </c:pt>
                <c:pt idx="65">
                  <c:v>0.19420895019722861</c:v>
                </c:pt>
                <c:pt idx="66">
                  <c:v>-1.3636769561700937</c:v>
                </c:pt>
                <c:pt idx="67">
                  <c:v>0.13787584886555093</c:v>
                </c:pt>
                <c:pt idx="68">
                  <c:v>-1.0350176925899699</c:v>
                </c:pt>
                <c:pt idx="69">
                  <c:v>-1.4429378180729924</c:v>
                </c:pt>
                <c:pt idx="70">
                  <c:v>-0.13270433487193145</c:v>
                </c:pt>
                <c:pt idx="71">
                  <c:v>-0.25398711924921202</c:v>
                </c:pt>
                <c:pt idx="72">
                  <c:v>-0.40601765177847926</c:v>
                </c:pt>
                <c:pt idx="73">
                  <c:v>-0.13270433487193145</c:v>
                </c:pt>
                <c:pt idx="74">
                  <c:v>1.0633830682403485</c:v>
                </c:pt>
                <c:pt idx="75">
                  <c:v>0.11771899174369294</c:v>
                </c:pt>
                <c:pt idx="76">
                  <c:v>-9.9602865477310232E-2</c:v>
                </c:pt>
                <c:pt idx="77">
                  <c:v>1.3698356248218149</c:v>
                </c:pt>
                <c:pt idx="78">
                  <c:v>6.4422894946916109E-2</c:v>
                </c:pt>
                <c:pt idx="79">
                  <c:v>-0.31377440732251927</c:v>
                </c:pt>
                <c:pt idx="80">
                  <c:v>0.83175003216204901</c:v>
                </c:pt>
                <c:pt idx="81">
                  <c:v>0.99915443876730947</c:v>
                </c:pt>
                <c:pt idx="82">
                  <c:v>-0.23724667858868598</c:v>
                </c:pt>
                <c:pt idx="83">
                  <c:v>0.31723771308547288</c:v>
                </c:pt>
                <c:pt idx="84">
                  <c:v>-1.4169730529668705</c:v>
                </c:pt>
                <c:pt idx="85">
                  <c:v>1.2540191067826654</c:v>
                </c:pt>
                <c:pt idx="86">
                  <c:v>1.1682670536032358</c:v>
                </c:pt>
                <c:pt idx="87">
                  <c:v>-0.2177731047590945</c:v>
                </c:pt>
                <c:pt idx="88">
                  <c:v>0.55843671525550143</c:v>
                </c:pt>
                <c:pt idx="89">
                  <c:v>1.1402524386203146</c:v>
                </c:pt>
                <c:pt idx="90">
                  <c:v>-0.66156560308610146</c:v>
                </c:pt>
                <c:pt idx="91">
                  <c:v>-0.39474347745608407</c:v>
                </c:pt>
                <c:pt idx="92">
                  <c:v>0.6465802599578625</c:v>
                </c:pt>
                <c:pt idx="93">
                  <c:v>1.0271690537502307</c:v>
                </c:pt>
                <c:pt idx="94">
                  <c:v>-0.5682974336917419</c:v>
                </c:pt>
                <c:pt idx="95">
                  <c:v>-1.012810985591313</c:v>
                </c:pt>
                <c:pt idx="96">
                  <c:v>-0.22050623792815993</c:v>
                </c:pt>
                <c:pt idx="97">
                  <c:v>-7.1588250494388994E-2</c:v>
                </c:pt>
                <c:pt idx="98">
                  <c:v>-0.14910313388632446</c:v>
                </c:pt>
                <c:pt idx="99">
                  <c:v>-0.98103831250092677</c:v>
                </c:pt>
              </c:numCache>
            </c:numRef>
          </c:yVal>
          <c:smooth val="0"/>
          <c:extLst>
            <c:ext xmlns:c16="http://schemas.microsoft.com/office/drawing/2014/chart" uri="{C3380CC4-5D6E-409C-BE32-E72D297353CC}">
              <c16:uniqueId val="{00000000-801C-41F8-823B-DF76A2ECD3C1}"/>
            </c:ext>
          </c:extLst>
        </c:ser>
        <c:dLbls>
          <c:showLegendKey val="0"/>
          <c:showVal val="0"/>
          <c:showCatName val="0"/>
          <c:showSerName val="0"/>
          <c:showPercent val="0"/>
          <c:showBubbleSize val="0"/>
        </c:dLbls>
        <c:axId val="419325151"/>
        <c:axId val="366661231"/>
      </c:scatterChart>
      <c:valAx>
        <c:axId val="419325151"/>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661231"/>
        <c:crosses val="autoZero"/>
        <c:crossBetween val="midCat"/>
      </c:valAx>
      <c:valAx>
        <c:axId val="366661231"/>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3251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Spending vs </a:t>
            </a:r>
          </a:p>
          <a:p>
            <a:pPr>
              <a:defRPr/>
            </a:pPr>
            <a:r>
              <a:rPr lang="en-US"/>
              <a:t>probability of using coupon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Coefficients!$F$4</c:f>
              <c:strCache>
                <c:ptCount val="1"/>
                <c:pt idx="0">
                  <c:v>probability of using coupon</c:v>
                </c:pt>
              </c:strCache>
            </c:strRef>
          </c:tx>
          <c:spPr>
            <a:ln w="19050" cap="rnd">
              <a:noFill/>
              <a:round/>
            </a:ln>
            <a:effectLst/>
          </c:spPr>
          <c:marker>
            <c:symbol val="circle"/>
            <c:size val="5"/>
            <c:spPr>
              <a:solidFill>
                <a:schemeClr val="accent1"/>
              </a:solidFill>
              <a:ln w="9525">
                <a:solidFill>
                  <a:schemeClr val="accent1"/>
                </a:solidFill>
              </a:ln>
              <a:effectLst/>
            </c:spPr>
          </c:marker>
          <c:xVal>
            <c:numRef>
              <c:f>Coefficients!$B$5:$B$104</c:f>
              <c:numCache>
                <c:formatCode>0.000</c:formatCode>
                <c:ptCount val="100"/>
                <c:pt idx="0">
                  <c:v>2.2909999999999999</c:v>
                </c:pt>
                <c:pt idx="1">
                  <c:v>3.2149999999999999</c:v>
                </c:pt>
                <c:pt idx="2">
                  <c:v>2.1349999999999998</c:v>
                </c:pt>
                <c:pt idx="3">
                  <c:v>3.9239999999999999</c:v>
                </c:pt>
                <c:pt idx="4">
                  <c:v>2.528</c:v>
                </c:pt>
                <c:pt idx="5">
                  <c:v>2.4729999999999999</c:v>
                </c:pt>
                <c:pt idx="6">
                  <c:v>2.3839999999999999</c:v>
                </c:pt>
                <c:pt idx="7">
                  <c:v>7.0759999999999996</c:v>
                </c:pt>
                <c:pt idx="8">
                  <c:v>1.1819999999999999</c:v>
                </c:pt>
                <c:pt idx="9">
                  <c:v>3.3450000000000002</c:v>
                </c:pt>
                <c:pt idx="10">
                  <c:v>2.14</c:v>
                </c:pt>
                <c:pt idx="11">
                  <c:v>3.2549999999999999</c:v>
                </c:pt>
                <c:pt idx="12">
                  <c:v>1.512</c:v>
                </c:pt>
                <c:pt idx="13">
                  <c:v>2.1480000000000001</c:v>
                </c:pt>
                <c:pt idx="14">
                  <c:v>6.7370000000000001</c:v>
                </c:pt>
                <c:pt idx="15">
                  <c:v>6.4859999999999998</c:v>
                </c:pt>
                <c:pt idx="16">
                  <c:v>1.3069999999999999</c:v>
                </c:pt>
                <c:pt idx="17">
                  <c:v>3.47</c:v>
                </c:pt>
                <c:pt idx="18">
                  <c:v>2.9359999999999999</c:v>
                </c:pt>
                <c:pt idx="19">
                  <c:v>6.4039999999999999</c:v>
                </c:pt>
                <c:pt idx="20">
                  <c:v>2.2290000000000001</c:v>
                </c:pt>
                <c:pt idx="21">
                  <c:v>2.9329999999999998</c:v>
                </c:pt>
                <c:pt idx="22">
                  <c:v>2.1179999999999999</c:v>
                </c:pt>
                <c:pt idx="23">
                  <c:v>2.0499999999999998</c:v>
                </c:pt>
                <c:pt idx="24">
                  <c:v>4.9980000000000002</c:v>
                </c:pt>
                <c:pt idx="25">
                  <c:v>1.3939999999999999</c:v>
                </c:pt>
                <c:pt idx="26">
                  <c:v>3.9929999999999999</c:v>
                </c:pt>
                <c:pt idx="27">
                  <c:v>2.0590000000000002</c:v>
                </c:pt>
                <c:pt idx="28">
                  <c:v>1.677</c:v>
                </c:pt>
                <c:pt idx="29">
                  <c:v>2.2290000000000001</c:v>
                </c:pt>
                <c:pt idx="30">
                  <c:v>1.1379999999999999</c:v>
                </c:pt>
                <c:pt idx="31">
                  <c:v>2.9329999999999998</c:v>
                </c:pt>
                <c:pt idx="32">
                  <c:v>5.3650000000000002</c:v>
                </c:pt>
                <c:pt idx="33">
                  <c:v>5.3650000000000002</c:v>
                </c:pt>
                <c:pt idx="34">
                  <c:v>6.1790000000000003</c:v>
                </c:pt>
                <c:pt idx="35">
                  <c:v>1.98</c:v>
                </c:pt>
                <c:pt idx="36">
                  <c:v>1.0580000000000001</c:v>
                </c:pt>
                <c:pt idx="37">
                  <c:v>6.851</c:v>
                </c:pt>
                <c:pt idx="38">
                  <c:v>1.1240000000000001</c:v>
                </c:pt>
                <c:pt idx="39">
                  <c:v>1.911</c:v>
                </c:pt>
                <c:pt idx="40">
                  <c:v>3.2530000000000001</c:v>
                </c:pt>
                <c:pt idx="41">
                  <c:v>1.839</c:v>
                </c:pt>
                <c:pt idx="42">
                  <c:v>1.657</c:v>
                </c:pt>
                <c:pt idx="43">
                  <c:v>1.075</c:v>
                </c:pt>
                <c:pt idx="44">
                  <c:v>3.5659999999999998</c:v>
                </c:pt>
                <c:pt idx="45">
                  <c:v>2.1179999999999999</c:v>
                </c:pt>
                <c:pt idx="46">
                  <c:v>1.554</c:v>
                </c:pt>
                <c:pt idx="47">
                  <c:v>4.6310000000000002</c:v>
                </c:pt>
                <c:pt idx="48">
                  <c:v>4.3449999999999998</c:v>
                </c:pt>
                <c:pt idx="49">
                  <c:v>4.0039999999999996</c:v>
                </c:pt>
                <c:pt idx="50">
                  <c:v>1.0680000000000001</c:v>
                </c:pt>
                <c:pt idx="51">
                  <c:v>2.4209999999999998</c:v>
                </c:pt>
                <c:pt idx="52">
                  <c:v>4.4139999999999997</c:v>
                </c:pt>
                <c:pt idx="53">
                  <c:v>3.3860000000000001</c:v>
                </c:pt>
                <c:pt idx="54">
                  <c:v>1.677</c:v>
                </c:pt>
                <c:pt idx="55">
                  <c:v>2.0499999999999998</c:v>
                </c:pt>
                <c:pt idx="56">
                  <c:v>2.323</c:v>
                </c:pt>
                <c:pt idx="57">
                  <c:v>5.5010000000000003</c:v>
                </c:pt>
                <c:pt idx="58">
                  <c:v>3.3450000000000002</c:v>
                </c:pt>
                <c:pt idx="59">
                  <c:v>3.3180000000000001</c:v>
                </c:pt>
                <c:pt idx="60">
                  <c:v>4.7210000000000001</c:v>
                </c:pt>
                <c:pt idx="61">
                  <c:v>1.6619999999999999</c:v>
                </c:pt>
                <c:pt idx="62">
                  <c:v>2.9359999999999999</c:v>
                </c:pt>
                <c:pt idx="63">
                  <c:v>2.0489999999999999</c:v>
                </c:pt>
                <c:pt idx="64">
                  <c:v>2.3130000000000002</c:v>
                </c:pt>
                <c:pt idx="65">
                  <c:v>6.851</c:v>
                </c:pt>
                <c:pt idx="66">
                  <c:v>2.2909999999999999</c:v>
                </c:pt>
                <c:pt idx="67">
                  <c:v>3.47</c:v>
                </c:pt>
                <c:pt idx="68">
                  <c:v>3.2530000000000001</c:v>
                </c:pt>
                <c:pt idx="69">
                  <c:v>2.0590000000000002</c:v>
                </c:pt>
                <c:pt idx="70">
                  <c:v>2.6779999999999999</c:v>
                </c:pt>
                <c:pt idx="71">
                  <c:v>2.323</c:v>
                </c:pt>
                <c:pt idx="72">
                  <c:v>1.8779999999999999</c:v>
                </c:pt>
                <c:pt idx="73">
                  <c:v>2.6779999999999999</c:v>
                </c:pt>
                <c:pt idx="74">
                  <c:v>6.1790000000000003</c:v>
                </c:pt>
                <c:pt idx="75">
                  <c:v>3.411</c:v>
                </c:pt>
                <c:pt idx="76">
                  <c:v>5.9909999999999997</c:v>
                </c:pt>
                <c:pt idx="77">
                  <c:v>7.0759999999999996</c:v>
                </c:pt>
                <c:pt idx="78">
                  <c:v>3.2549999999999999</c:v>
                </c:pt>
                <c:pt idx="79">
                  <c:v>2.1480000000000001</c:v>
                </c:pt>
                <c:pt idx="80">
                  <c:v>5.5010000000000003</c:v>
                </c:pt>
                <c:pt idx="81">
                  <c:v>5.9909999999999997</c:v>
                </c:pt>
                <c:pt idx="82">
                  <c:v>2.3719999999999999</c:v>
                </c:pt>
                <c:pt idx="83">
                  <c:v>3.9950000000000001</c:v>
                </c:pt>
                <c:pt idx="84">
                  <c:v>2.1349999999999998</c:v>
                </c:pt>
                <c:pt idx="85">
                  <c:v>6.7370000000000001</c:v>
                </c:pt>
                <c:pt idx="86">
                  <c:v>6.4859999999999998</c:v>
                </c:pt>
                <c:pt idx="87">
                  <c:v>2.4289999999999998</c:v>
                </c:pt>
                <c:pt idx="88">
                  <c:v>4.7009999999999996</c:v>
                </c:pt>
                <c:pt idx="89">
                  <c:v>6.4039999999999999</c:v>
                </c:pt>
                <c:pt idx="90">
                  <c:v>1.1299999999999999</c:v>
                </c:pt>
                <c:pt idx="91">
                  <c:v>1.911</c:v>
                </c:pt>
                <c:pt idx="92">
                  <c:v>4.9589999999999996</c:v>
                </c:pt>
                <c:pt idx="93">
                  <c:v>6.0730000000000004</c:v>
                </c:pt>
                <c:pt idx="94">
                  <c:v>1.403</c:v>
                </c:pt>
                <c:pt idx="95">
                  <c:v>3.3180000000000001</c:v>
                </c:pt>
                <c:pt idx="96">
                  <c:v>2.4209999999999998</c:v>
                </c:pt>
                <c:pt idx="97">
                  <c:v>6.0730000000000004</c:v>
                </c:pt>
                <c:pt idx="98">
                  <c:v>2.63</c:v>
                </c:pt>
                <c:pt idx="99">
                  <c:v>3.411</c:v>
                </c:pt>
              </c:numCache>
            </c:numRef>
          </c:xVal>
          <c:yVal>
            <c:numRef>
              <c:f>Coefficients!$F$5:$F$104</c:f>
              <c:numCache>
                <c:formatCode>General</c:formatCode>
                <c:ptCount val="100"/>
                <c:pt idx="0">
                  <c:v>0.43415473566169327</c:v>
                </c:pt>
                <c:pt idx="1">
                  <c:v>0.51268658369244913</c:v>
                </c:pt>
                <c:pt idx="2">
                  <c:v>0.42111064499792256</c:v>
                </c:pt>
                <c:pt idx="3">
                  <c:v>0.30879130256190601</c:v>
                </c:pt>
                <c:pt idx="4">
                  <c:v>0.45414159404389837</c:v>
                </c:pt>
                <c:pt idx="5">
                  <c:v>0.21391298426879332</c:v>
                </c:pt>
                <c:pt idx="6">
                  <c:v>0.20884454891756682</c:v>
                </c:pt>
                <c:pt idx="7">
                  <c:v>0.56735761191849765</c:v>
                </c:pt>
                <c:pt idx="8">
                  <c:v>0.34438799645920282</c:v>
                </c:pt>
                <c:pt idx="9">
                  <c:v>0.26823682566236201</c:v>
                </c:pt>
                <c:pt idx="10">
                  <c:v>0.42152712199278747</c:v>
                </c:pt>
                <c:pt idx="11">
                  <c:v>0.2622446518556148</c:v>
                </c:pt>
                <c:pt idx="12">
                  <c:v>0.16385559654354764</c:v>
                </c:pt>
                <c:pt idx="13">
                  <c:v>0.19583504606154689</c:v>
                </c:pt>
                <c:pt idx="14">
                  <c:v>0.53873766363783326</c:v>
                </c:pt>
                <c:pt idx="15">
                  <c:v>0.51737044397541998</c:v>
                </c:pt>
                <c:pt idx="16">
                  <c:v>0.15448455183914075</c:v>
                </c:pt>
                <c:pt idx="17">
                  <c:v>0.53441446195566134</c:v>
                </c:pt>
                <c:pt idx="18">
                  <c:v>0.24171167585556944</c:v>
                </c:pt>
                <c:pt idx="19">
                  <c:v>0.51037229534520845</c:v>
                </c:pt>
                <c:pt idx="20">
                  <c:v>0.2002297985940947</c:v>
                </c:pt>
                <c:pt idx="21">
                  <c:v>0.24152387002679804</c:v>
                </c:pt>
                <c:pt idx="22">
                  <c:v>0.19422598681054595</c:v>
                </c:pt>
                <c:pt idx="23">
                  <c:v>0.19061599051117015</c:v>
                </c:pt>
                <c:pt idx="24">
                  <c:v>0.39201430551712901</c:v>
                </c:pt>
                <c:pt idx="25">
                  <c:v>0.15840691219710215</c:v>
                </c:pt>
                <c:pt idx="26">
                  <c:v>0.57848431154657409</c:v>
                </c:pt>
                <c:pt idx="27">
                  <c:v>0.1910908228157335</c:v>
                </c:pt>
                <c:pt idx="28">
                  <c:v>0.17172584457511225</c:v>
                </c:pt>
                <c:pt idx="29">
                  <c:v>0.2002297985940947</c:v>
                </c:pt>
                <c:pt idx="30">
                  <c:v>0.14709246061540013</c:v>
                </c:pt>
                <c:pt idx="31">
                  <c:v>0.4886055443490987</c:v>
                </c:pt>
                <c:pt idx="32">
                  <c:v>0.6868184134859292</c:v>
                </c:pt>
                <c:pt idx="33">
                  <c:v>0.42226784723726157</c:v>
                </c:pt>
                <c:pt idx="34">
                  <c:v>0.49115736307261765</c:v>
                </c:pt>
                <c:pt idx="35">
                  <c:v>0.40825828934754582</c:v>
                </c:pt>
                <c:pt idx="36">
                  <c:v>0.33488699731274763</c:v>
                </c:pt>
                <c:pt idx="37">
                  <c:v>0.7846488353345924</c:v>
                </c:pt>
                <c:pt idx="38">
                  <c:v>0.14649341770643656</c:v>
                </c:pt>
                <c:pt idx="39">
                  <c:v>0.18339686056315582</c:v>
                </c:pt>
                <c:pt idx="40">
                  <c:v>0.26211247687851702</c:v>
                </c:pt>
                <c:pt idx="41">
                  <c:v>0.17974162482933076</c:v>
                </c:pt>
                <c:pt idx="42">
                  <c:v>0.38189315612340713</c:v>
                </c:pt>
                <c:pt idx="43">
                  <c:v>0.14441267073109743</c:v>
                </c:pt>
                <c:pt idx="44">
                  <c:v>0.28331361995464754</c:v>
                </c:pt>
                <c:pt idx="45">
                  <c:v>0.19422598681054595</c:v>
                </c:pt>
                <c:pt idx="46">
                  <c:v>0.37362197343199427</c:v>
                </c:pt>
                <c:pt idx="47">
                  <c:v>0.36256801330020849</c:v>
                </c:pt>
                <c:pt idx="48">
                  <c:v>0.60749920150878378</c:v>
                </c:pt>
                <c:pt idx="49">
                  <c:v>0.57940040595643405</c:v>
                </c:pt>
                <c:pt idx="50">
                  <c:v>0.33564839080261277</c:v>
                </c:pt>
                <c:pt idx="51">
                  <c:v>0.2109408469632498</c:v>
                </c:pt>
                <c:pt idx="52">
                  <c:v>0.34561470215629497</c:v>
                </c:pt>
                <c:pt idx="53">
                  <c:v>0.52726740779972403</c:v>
                </c:pt>
                <c:pt idx="54">
                  <c:v>0.38350734799912706</c:v>
                </c:pt>
                <c:pt idx="55">
                  <c:v>0.41404816429270674</c:v>
                </c:pt>
                <c:pt idx="56">
                  <c:v>0.43684237769980716</c:v>
                </c:pt>
                <c:pt idx="57">
                  <c:v>0.43364195237931347</c:v>
                </c:pt>
                <c:pt idx="58">
                  <c:v>0.26823682566236201</c:v>
                </c:pt>
                <c:pt idx="59">
                  <c:v>0.52147336305809278</c:v>
                </c:pt>
                <c:pt idx="60">
                  <c:v>0.36970379232545181</c:v>
                </c:pt>
                <c:pt idx="61">
                  <c:v>0.17099816380984431</c:v>
                </c:pt>
                <c:pt idx="62">
                  <c:v>0.48886164548243255</c:v>
                </c:pt>
                <c:pt idx="63">
                  <c:v>0.19056328708488035</c:v>
                </c:pt>
                <c:pt idx="64">
                  <c:v>0.20486497491103003</c:v>
                </c:pt>
                <c:pt idx="65">
                  <c:v>0.54840020674060275</c:v>
                </c:pt>
                <c:pt idx="66">
                  <c:v>0.20364335042076029</c:v>
                </c:pt>
                <c:pt idx="67">
                  <c:v>0.53441446195566134</c:v>
                </c:pt>
                <c:pt idx="68">
                  <c:v>0.26211247687851702</c:v>
                </c:pt>
                <c:pt idx="69">
                  <c:v>0.1910908228157335</c:v>
                </c:pt>
                <c:pt idx="70">
                  <c:v>0.46687251781504835</c:v>
                </c:pt>
                <c:pt idx="71">
                  <c:v>0.43684237769980716</c:v>
                </c:pt>
                <c:pt idx="72">
                  <c:v>0.39986739684940126</c:v>
                </c:pt>
                <c:pt idx="73">
                  <c:v>0.46687251781504835</c:v>
                </c:pt>
                <c:pt idx="74">
                  <c:v>0.74333652304994491</c:v>
                </c:pt>
                <c:pt idx="75">
                  <c:v>0.52939580909896911</c:v>
                </c:pt>
                <c:pt idx="76">
                  <c:v>0.47511984933690554</c:v>
                </c:pt>
                <c:pt idx="77">
                  <c:v>0.79735359498775571</c:v>
                </c:pt>
                <c:pt idx="78">
                  <c:v>0.51610015573623413</c:v>
                </c:pt>
                <c:pt idx="79">
                  <c:v>0.42219371722554427</c:v>
                </c:pt>
                <c:pt idx="80">
                  <c:v>0.69672483771710425</c:v>
                </c:pt>
                <c:pt idx="81">
                  <c:v>0.73089229872447903</c:v>
                </c:pt>
                <c:pt idx="82">
                  <c:v>0.44096497465710494</c:v>
                </c:pt>
                <c:pt idx="83">
                  <c:v>0.5786509145490869</c:v>
                </c:pt>
                <c:pt idx="84">
                  <c:v>0.19513655201431571</c:v>
                </c:pt>
                <c:pt idx="85">
                  <c:v>0.77799481234121648</c:v>
                </c:pt>
                <c:pt idx="86">
                  <c:v>0.76283163469117765</c:v>
                </c:pt>
                <c:pt idx="87">
                  <c:v>0.44577087319367331</c:v>
                </c:pt>
                <c:pt idx="88">
                  <c:v>0.63609074925496623</c:v>
                </c:pt>
                <c:pt idx="89">
                  <c:v>0.75772598402333002</c:v>
                </c:pt>
                <c:pt idx="90">
                  <c:v>0.34038800827238974</c:v>
                </c:pt>
                <c:pt idx="91">
                  <c:v>0.40257592849596807</c:v>
                </c:pt>
                <c:pt idx="92">
                  <c:v>0.65623941882145664</c:v>
                </c:pt>
                <c:pt idx="93">
                  <c:v>0.73636668987062792</c:v>
                </c:pt>
                <c:pt idx="94">
                  <c:v>0.36162977588261164</c:v>
                </c:pt>
                <c:pt idx="95">
                  <c:v>0.26643009681488111</c:v>
                </c:pt>
                <c:pt idx="96">
                  <c:v>0.44509572798170843</c:v>
                </c:pt>
                <c:pt idx="97">
                  <c:v>0.48211057681593272</c:v>
                </c:pt>
                <c:pt idx="98">
                  <c:v>0.46279312215120794</c:v>
                </c:pt>
                <c:pt idx="99">
                  <c:v>0.27268580835257678</c:v>
                </c:pt>
              </c:numCache>
            </c:numRef>
          </c:yVal>
          <c:smooth val="0"/>
          <c:extLst>
            <c:ext xmlns:c16="http://schemas.microsoft.com/office/drawing/2014/chart" uri="{C3380CC4-5D6E-409C-BE32-E72D297353CC}">
              <c16:uniqueId val="{00000000-9DEB-4C6E-87F7-9B33B60DB204}"/>
            </c:ext>
          </c:extLst>
        </c:ser>
        <c:dLbls>
          <c:showLegendKey val="0"/>
          <c:showVal val="0"/>
          <c:showCatName val="0"/>
          <c:showSerName val="0"/>
          <c:showPercent val="0"/>
          <c:showBubbleSize val="0"/>
        </c:dLbls>
        <c:axId val="2121377695"/>
        <c:axId val="366648271"/>
      </c:scatterChart>
      <c:valAx>
        <c:axId val="21213776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648271"/>
        <c:crosses val="autoZero"/>
        <c:crossBetween val="midCat"/>
      </c:valAx>
      <c:valAx>
        <c:axId val="36664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3776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Observed 0</c:v>
          </c:tx>
          <c:spPr>
            <a:ln w="19050" cap="rnd">
              <a:noFill/>
              <a:round/>
            </a:ln>
            <a:effectLst/>
          </c:spPr>
          <c:marker>
            <c:symbol val="circle"/>
            <c:size val="5"/>
            <c:spPr>
              <a:solidFill>
                <a:schemeClr val="accent1"/>
              </a:solidFill>
              <a:ln w="9525">
                <a:solidFill>
                  <a:schemeClr val="accent1"/>
                </a:solidFill>
              </a:ln>
              <a:effectLst/>
            </c:spPr>
          </c:marker>
          <c:xVal>
            <c:numRef>
              <c:f>Plot!$C$2:$C$101</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xVal>
          <c:yVal>
            <c:numRef>
              <c:f>Plot!$D$2:$D$101</c:f>
              <c:numCache>
                <c:formatCode>General</c:formatCode>
                <c:ptCount val="100"/>
                <c:pt idx="0">
                  <c:v>0.14441267073109743</c:v>
                </c:pt>
                <c:pt idx="1">
                  <c:v>0.14649341770643656</c:v>
                </c:pt>
                <c:pt idx="2">
                  <c:v>0.14709246061540013</c:v>
                </c:pt>
                <c:pt idx="3">
                  <c:v>0.15448455183914075</c:v>
                </c:pt>
                <c:pt idx="4">
                  <c:v>0.15840691219710215</c:v>
                </c:pt>
                <c:pt idx="5">
                  <c:v>0.16385559654354764</c:v>
                </c:pt>
                <c:pt idx="7">
                  <c:v>0.17172584457511225</c:v>
                </c:pt>
                <c:pt idx="8">
                  <c:v>0.17974162482933076</c:v>
                </c:pt>
                <c:pt idx="9">
                  <c:v>0.18339686056315582</c:v>
                </c:pt>
                <c:pt idx="10">
                  <c:v>0.19056328708488035</c:v>
                </c:pt>
                <c:pt idx="11">
                  <c:v>0.19061599051117015</c:v>
                </c:pt>
                <c:pt idx="13">
                  <c:v>0.1910908228157335</c:v>
                </c:pt>
                <c:pt idx="14">
                  <c:v>0.19422598681054595</c:v>
                </c:pt>
                <c:pt idx="15">
                  <c:v>0.19422598681054595</c:v>
                </c:pt>
                <c:pt idx="18">
                  <c:v>0.2002297985940947</c:v>
                </c:pt>
                <c:pt idx="20">
                  <c:v>0.20364335042076029</c:v>
                </c:pt>
                <c:pt idx="22">
                  <c:v>0.20884454891756682</c:v>
                </c:pt>
                <c:pt idx="23">
                  <c:v>0.2109408469632498</c:v>
                </c:pt>
                <c:pt idx="25">
                  <c:v>0.24152387002679804</c:v>
                </c:pt>
                <c:pt idx="26">
                  <c:v>0.24171167585556944</c:v>
                </c:pt>
                <c:pt idx="27">
                  <c:v>0.26211247687851702</c:v>
                </c:pt>
                <c:pt idx="28">
                  <c:v>0.26211247687851702</c:v>
                </c:pt>
                <c:pt idx="30">
                  <c:v>0.26643009681488111</c:v>
                </c:pt>
                <c:pt idx="31">
                  <c:v>0.26823682566236201</c:v>
                </c:pt>
                <c:pt idx="34">
                  <c:v>0.28331361995464754</c:v>
                </c:pt>
                <c:pt idx="35">
                  <c:v>0.30879130256190601</c:v>
                </c:pt>
                <c:pt idx="36">
                  <c:v>0.33488699731274763</c:v>
                </c:pt>
                <c:pt idx="38">
                  <c:v>0.34038800827238974</c:v>
                </c:pt>
                <c:pt idx="40">
                  <c:v>0.34561470215629497</c:v>
                </c:pt>
                <c:pt idx="41">
                  <c:v>0.36162977588261164</c:v>
                </c:pt>
                <c:pt idx="42">
                  <c:v>0.36256801330020849</c:v>
                </c:pt>
                <c:pt idx="44">
                  <c:v>0.37362197343199427</c:v>
                </c:pt>
                <c:pt idx="45">
                  <c:v>0.38189315612340713</c:v>
                </c:pt>
                <c:pt idx="46">
                  <c:v>0.38350734799912706</c:v>
                </c:pt>
                <c:pt idx="48">
                  <c:v>0.39986739684940126</c:v>
                </c:pt>
                <c:pt idx="50">
                  <c:v>0.40825828934754582</c:v>
                </c:pt>
                <c:pt idx="52">
                  <c:v>0.42111064499792256</c:v>
                </c:pt>
                <c:pt idx="53">
                  <c:v>0.42152712199278747</c:v>
                </c:pt>
                <c:pt idx="54">
                  <c:v>0.42219371722554427</c:v>
                </c:pt>
                <c:pt idx="55">
                  <c:v>0.42226784723726157</c:v>
                </c:pt>
                <c:pt idx="56">
                  <c:v>0.43364195237931347</c:v>
                </c:pt>
                <c:pt idx="57">
                  <c:v>0.43415473566169327</c:v>
                </c:pt>
                <c:pt idx="59">
                  <c:v>0.43684237769980716</c:v>
                </c:pt>
                <c:pt idx="60">
                  <c:v>0.44096497465710494</c:v>
                </c:pt>
                <c:pt idx="61">
                  <c:v>0.44509572798170843</c:v>
                </c:pt>
                <c:pt idx="62">
                  <c:v>0.44577087319367331</c:v>
                </c:pt>
                <c:pt idx="63">
                  <c:v>0.45414159404389837</c:v>
                </c:pt>
                <c:pt idx="64">
                  <c:v>0.46279312215120794</c:v>
                </c:pt>
                <c:pt idx="68">
                  <c:v>0.48211057681593272</c:v>
                </c:pt>
                <c:pt idx="69">
                  <c:v>0.4886055443490987</c:v>
                </c:pt>
                <c:pt idx="70">
                  <c:v>0.48886164548243255</c:v>
                </c:pt>
                <c:pt idx="71">
                  <c:v>0.49115736307261765</c:v>
                </c:pt>
                <c:pt idx="73">
                  <c:v>0.51268658369244913</c:v>
                </c:pt>
                <c:pt idx="75">
                  <c:v>0.51737044397541998</c:v>
                </c:pt>
                <c:pt idx="79">
                  <c:v>0.53441446195566134</c:v>
                </c:pt>
                <c:pt idx="81">
                  <c:v>0.53873766363783326</c:v>
                </c:pt>
                <c:pt idx="82">
                  <c:v>0.54840020674060275</c:v>
                </c:pt>
                <c:pt idx="83">
                  <c:v>0.56735761191849765</c:v>
                </c:pt>
                <c:pt idx="85">
                  <c:v>0.5786509145490869</c:v>
                </c:pt>
                <c:pt idx="95">
                  <c:v>0.75772598402333002</c:v>
                </c:pt>
              </c:numCache>
            </c:numRef>
          </c:yVal>
          <c:smooth val="0"/>
          <c:extLst>
            <c:ext xmlns:c16="http://schemas.microsoft.com/office/drawing/2014/chart" uri="{C3380CC4-5D6E-409C-BE32-E72D297353CC}">
              <c16:uniqueId val="{00000000-0269-4AEE-B405-F8DF403E926F}"/>
            </c:ext>
          </c:extLst>
        </c:ser>
        <c:ser>
          <c:idx val="1"/>
          <c:order val="1"/>
          <c:tx>
            <c:v>Observed 1</c:v>
          </c:tx>
          <c:spPr>
            <a:ln w="19050" cap="rnd">
              <a:noFill/>
              <a:round/>
            </a:ln>
            <a:effectLst/>
          </c:spPr>
          <c:marker>
            <c:symbol val="circle"/>
            <c:size val="5"/>
            <c:spPr>
              <a:solidFill>
                <a:schemeClr val="accent2"/>
              </a:solidFill>
              <a:ln w="9525">
                <a:solidFill>
                  <a:schemeClr val="accent2"/>
                </a:solidFill>
              </a:ln>
              <a:effectLst/>
            </c:spPr>
          </c:marker>
          <c:xVal>
            <c:numRef>
              <c:f>Plot!$C$2:$C$101</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xVal>
          <c:yVal>
            <c:numRef>
              <c:f>Plot!$E$2:$E$101</c:f>
              <c:numCache>
                <c:formatCode>General</c:formatCode>
                <c:ptCount val="100"/>
                <c:pt idx="6">
                  <c:v>0.17099816380984431</c:v>
                </c:pt>
                <c:pt idx="12">
                  <c:v>0.1910908228157335</c:v>
                </c:pt>
                <c:pt idx="16">
                  <c:v>0.19513655201431571</c:v>
                </c:pt>
                <c:pt idx="17">
                  <c:v>0.19583504606154689</c:v>
                </c:pt>
                <c:pt idx="19">
                  <c:v>0.2002297985940947</c:v>
                </c:pt>
                <c:pt idx="21">
                  <c:v>0.20486497491103003</c:v>
                </c:pt>
                <c:pt idx="24">
                  <c:v>0.21391298426879332</c:v>
                </c:pt>
                <c:pt idx="29">
                  <c:v>0.2622446518556148</c:v>
                </c:pt>
                <c:pt idx="32">
                  <c:v>0.26823682566236201</c:v>
                </c:pt>
                <c:pt idx="33">
                  <c:v>0.27268580835257678</c:v>
                </c:pt>
                <c:pt idx="37">
                  <c:v>0.33564839080261277</c:v>
                </c:pt>
                <c:pt idx="39">
                  <c:v>0.34438799645920282</c:v>
                </c:pt>
                <c:pt idx="43">
                  <c:v>0.36970379232545181</c:v>
                </c:pt>
                <c:pt idx="47">
                  <c:v>0.39201430551712901</c:v>
                </c:pt>
                <c:pt idx="49">
                  <c:v>0.40257592849596807</c:v>
                </c:pt>
                <c:pt idx="51">
                  <c:v>0.41404816429270674</c:v>
                </c:pt>
                <c:pt idx="58">
                  <c:v>0.43684237769980716</c:v>
                </c:pt>
                <c:pt idx="65">
                  <c:v>0.46687251781504835</c:v>
                </c:pt>
                <c:pt idx="66">
                  <c:v>0.46687251781504835</c:v>
                </c:pt>
                <c:pt idx="67">
                  <c:v>0.47511984933690554</c:v>
                </c:pt>
                <c:pt idx="72">
                  <c:v>0.51037229534520845</c:v>
                </c:pt>
                <c:pt idx="74">
                  <c:v>0.51610015573623413</c:v>
                </c:pt>
                <c:pt idx="76">
                  <c:v>0.52147336305809278</c:v>
                </c:pt>
                <c:pt idx="77">
                  <c:v>0.52726740779972403</c:v>
                </c:pt>
                <c:pt idx="78">
                  <c:v>0.52939580909896911</c:v>
                </c:pt>
                <c:pt idx="80">
                  <c:v>0.53441446195566134</c:v>
                </c:pt>
                <c:pt idx="84">
                  <c:v>0.57848431154657409</c:v>
                </c:pt>
                <c:pt idx="86">
                  <c:v>0.57940040595643405</c:v>
                </c:pt>
                <c:pt idx="87">
                  <c:v>0.60749920150878378</c:v>
                </c:pt>
                <c:pt idx="88">
                  <c:v>0.63609074925496623</c:v>
                </c:pt>
                <c:pt idx="89">
                  <c:v>0.65623941882145664</c:v>
                </c:pt>
                <c:pt idx="90">
                  <c:v>0.6868184134859292</c:v>
                </c:pt>
                <c:pt idx="91">
                  <c:v>0.69672483771710425</c:v>
                </c:pt>
                <c:pt idx="92">
                  <c:v>0.73089229872447903</c:v>
                </c:pt>
                <c:pt idx="93">
                  <c:v>0.73636668987062792</c:v>
                </c:pt>
                <c:pt idx="94">
                  <c:v>0.74333652304994491</c:v>
                </c:pt>
                <c:pt idx="96">
                  <c:v>0.76283163469117765</c:v>
                </c:pt>
                <c:pt idx="97">
                  <c:v>0.77799481234121648</c:v>
                </c:pt>
                <c:pt idx="98">
                  <c:v>0.7846488353345924</c:v>
                </c:pt>
                <c:pt idx="99">
                  <c:v>0.79735359498775571</c:v>
                </c:pt>
              </c:numCache>
            </c:numRef>
          </c:yVal>
          <c:smooth val="0"/>
          <c:extLst>
            <c:ext xmlns:c16="http://schemas.microsoft.com/office/drawing/2014/chart" uri="{C3380CC4-5D6E-409C-BE32-E72D297353CC}">
              <c16:uniqueId val="{00000001-0269-4AEE-B405-F8DF403E926F}"/>
            </c:ext>
          </c:extLst>
        </c:ser>
        <c:dLbls>
          <c:showLegendKey val="0"/>
          <c:showVal val="0"/>
          <c:showCatName val="0"/>
          <c:showSerName val="0"/>
          <c:showPercent val="0"/>
          <c:showBubbleSize val="0"/>
        </c:dLbls>
        <c:axId val="366683199"/>
        <c:axId val="137652927"/>
      </c:scatterChart>
      <c:valAx>
        <c:axId val="366683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Rank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52927"/>
        <c:crosses val="autoZero"/>
        <c:crossBetween val="midCat"/>
      </c:valAx>
      <c:valAx>
        <c:axId val="137652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Probability</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6831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47625</xdr:colOff>
      <xdr:row>3</xdr:row>
      <xdr:rowOff>57149</xdr:rowOff>
    </xdr:from>
    <xdr:to>
      <xdr:col>11</xdr:col>
      <xdr:colOff>419100</xdr:colOff>
      <xdr:row>5</xdr:row>
      <xdr:rowOff>85724</xdr:rowOff>
    </xdr:to>
    <xdr:sp macro="" textlink="">
      <xdr:nvSpPr>
        <xdr:cNvPr id="2" name="TextBox 1">
          <a:extLst>
            <a:ext uri="{FF2B5EF4-FFF2-40B4-BE49-F238E27FC236}">
              <a16:creationId xmlns:a16="http://schemas.microsoft.com/office/drawing/2014/main" id="{A65F92A2-E1D3-F097-269C-98A86E87A254}"/>
            </a:ext>
          </a:extLst>
        </xdr:cNvPr>
        <xdr:cNvSpPr txBox="1"/>
      </xdr:nvSpPr>
      <xdr:spPr>
        <a:xfrm>
          <a:off x="6153150" y="638174"/>
          <a:ext cx="1590675" cy="962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These</a:t>
          </a:r>
          <a:r>
            <a:rPr lang="en-US" sz="1100" baseline="0"/>
            <a:t> are calculations that need to be Maximized to find the real log likelihood</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144556</xdr:colOff>
      <xdr:row>3</xdr:row>
      <xdr:rowOff>454959</xdr:rowOff>
    </xdr:from>
    <xdr:to>
      <xdr:col>12</xdr:col>
      <xdr:colOff>508747</xdr:colOff>
      <xdr:row>5</xdr:row>
      <xdr:rowOff>179295</xdr:rowOff>
    </xdr:to>
    <xdr:sp macro="" textlink="">
      <xdr:nvSpPr>
        <xdr:cNvPr id="2" name="TextBox 1">
          <a:extLst>
            <a:ext uri="{FF2B5EF4-FFF2-40B4-BE49-F238E27FC236}">
              <a16:creationId xmlns:a16="http://schemas.microsoft.com/office/drawing/2014/main" id="{FD282831-7FE3-3EB2-B2F1-2ED455D58A86}"/>
            </a:ext>
          </a:extLst>
        </xdr:cNvPr>
        <xdr:cNvSpPr txBox="1"/>
      </xdr:nvSpPr>
      <xdr:spPr>
        <a:xfrm>
          <a:off x="8033497" y="1385047"/>
          <a:ext cx="1159809" cy="6544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With prediction</a:t>
          </a:r>
          <a:r>
            <a:rPr lang="en-US" sz="1100" baseline="0"/>
            <a:t> 1 if probabilty &gt;=0.5</a:t>
          </a:r>
          <a:endParaRPr lang="en-US" sz="1100"/>
        </a:p>
      </xdr:txBody>
    </xdr:sp>
    <xdr:clientData/>
  </xdr:twoCellAnchor>
  <xdr:twoCellAnchor>
    <xdr:from>
      <xdr:col>13</xdr:col>
      <xdr:colOff>166967</xdr:colOff>
      <xdr:row>11</xdr:row>
      <xdr:rowOff>26613</xdr:rowOff>
    </xdr:from>
    <xdr:to>
      <xdr:col>18</xdr:col>
      <xdr:colOff>672352</xdr:colOff>
      <xdr:row>24</xdr:row>
      <xdr:rowOff>171169</xdr:rowOff>
    </xdr:to>
    <xdr:graphicFrame macro="">
      <xdr:nvGraphicFramePr>
        <xdr:cNvPr id="5" name="Chart 4">
          <a:extLst>
            <a:ext uri="{FF2B5EF4-FFF2-40B4-BE49-F238E27FC236}">
              <a16:creationId xmlns:a16="http://schemas.microsoft.com/office/drawing/2014/main" id="{B4397B91-FF57-2B23-F36D-81CA9D002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11486</xdr:colOff>
      <xdr:row>28</xdr:row>
      <xdr:rowOff>192460</xdr:rowOff>
    </xdr:from>
    <xdr:to>
      <xdr:col>18</xdr:col>
      <xdr:colOff>523594</xdr:colOff>
      <xdr:row>42</xdr:row>
      <xdr:rowOff>135311</xdr:rowOff>
    </xdr:to>
    <xdr:graphicFrame macro="">
      <xdr:nvGraphicFramePr>
        <xdr:cNvPr id="6" name="Chart 5">
          <a:extLst>
            <a:ext uri="{FF2B5EF4-FFF2-40B4-BE49-F238E27FC236}">
              <a16:creationId xmlns:a16="http://schemas.microsoft.com/office/drawing/2014/main" id="{BC35BB29-E2D0-718E-45A0-3A7FA415D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381278</xdr:colOff>
      <xdr:row>44</xdr:row>
      <xdr:rowOff>55189</xdr:rowOff>
    </xdr:from>
    <xdr:to>
      <xdr:col>18</xdr:col>
      <xdr:colOff>290511</xdr:colOff>
      <xdr:row>57</xdr:row>
      <xdr:rowOff>199745</xdr:rowOff>
    </xdr:to>
    <xdr:graphicFrame macro="">
      <xdr:nvGraphicFramePr>
        <xdr:cNvPr id="7" name="Chart 6">
          <a:extLst>
            <a:ext uri="{FF2B5EF4-FFF2-40B4-BE49-F238E27FC236}">
              <a16:creationId xmlns:a16="http://schemas.microsoft.com/office/drawing/2014/main" id="{17F5384D-1435-A215-8B29-FD3877EAB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380997</xdr:colOff>
      <xdr:row>0</xdr:row>
      <xdr:rowOff>246528</xdr:rowOff>
    </xdr:from>
    <xdr:to>
      <xdr:col>26</xdr:col>
      <xdr:colOff>123265</xdr:colOff>
      <xdr:row>8</xdr:row>
      <xdr:rowOff>100852</xdr:rowOff>
    </xdr:to>
    <xdr:sp macro="" textlink="">
      <xdr:nvSpPr>
        <xdr:cNvPr id="3" name="TextBox 2">
          <a:extLst>
            <a:ext uri="{FF2B5EF4-FFF2-40B4-BE49-F238E27FC236}">
              <a16:creationId xmlns:a16="http://schemas.microsoft.com/office/drawing/2014/main" id="{CF4333BA-BDE8-D3BB-8E5B-331A2FAC2172}"/>
            </a:ext>
          </a:extLst>
        </xdr:cNvPr>
        <xdr:cNvSpPr txBox="1"/>
      </xdr:nvSpPr>
      <xdr:spPr>
        <a:xfrm>
          <a:off x="15968379" y="246528"/>
          <a:ext cx="4885768" cy="2588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odds</a:t>
          </a:r>
          <a:r>
            <a:rPr lang="en-US" sz="1100" baseline="0"/>
            <a:t> ratio gives you the number of times greater the estimated odds of using the coupon are per one unit increase of x1, or x2, while the other independent variable stays the same.</a:t>
          </a:r>
        </a:p>
        <a:p>
          <a:endParaRPr lang="en-US" sz="1100" baseline="0"/>
        </a:p>
        <a:p>
          <a:r>
            <a:rPr lang="en-US" sz="1100" baseline="0"/>
            <a:t>So the estimated odds of using the coupon are 3 times greater if the person has the credit card (x2 increases to 1 as opposed to zero). Or the estimated odds of using the coupon are 1.407 times greater for every additional 1,000 the person spent (x1 increase by 1).</a:t>
          </a:r>
        </a:p>
        <a:p>
          <a:endParaRPr lang="en-US" sz="1100" baseline="0"/>
        </a:p>
        <a:p>
          <a:r>
            <a:rPr lang="en-US" sz="1100" baseline="0"/>
            <a:t>If we want to compare odds of using the coupon for customers who spend 5,000 annually (x1=5) to customers who spent 2,000 anually (x1=2) the </a:t>
          </a:r>
        </a:p>
        <a:p>
          <a:r>
            <a:rPr lang="en-US" sz="1100" baseline="0"/>
            <a:t>odds ratio is e to the power of c*b1 where c=5-2=3. So the odds is 2.79 times greater for the person who spent 5k to use the coupon than it is for the person who spent 2k.</a:t>
          </a:r>
        </a:p>
        <a:p>
          <a:endParaRPr lang="en-US" sz="1100" baseline="0"/>
        </a:p>
        <a:p>
          <a:endParaRPr lang="en-US" sz="1100" baseline="0"/>
        </a:p>
        <a:p>
          <a:endParaRPr lang="en-US" sz="1100" baseline="0"/>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576262</xdr:colOff>
      <xdr:row>0</xdr:row>
      <xdr:rowOff>176212</xdr:rowOff>
    </xdr:from>
    <xdr:to>
      <xdr:col>13</xdr:col>
      <xdr:colOff>271462</xdr:colOff>
      <xdr:row>11</xdr:row>
      <xdr:rowOff>119062</xdr:rowOff>
    </xdr:to>
    <xdr:graphicFrame macro="">
      <xdr:nvGraphicFramePr>
        <xdr:cNvPr id="3" name="Chart 2">
          <a:extLst>
            <a:ext uri="{FF2B5EF4-FFF2-40B4-BE49-F238E27FC236}">
              <a16:creationId xmlns:a16="http://schemas.microsoft.com/office/drawing/2014/main" id="{462B16DE-0846-5852-4F94-A2E151DC0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409575</xdr:colOff>
      <xdr:row>0</xdr:row>
      <xdr:rowOff>0</xdr:rowOff>
    </xdr:from>
    <xdr:to>
      <xdr:col>14</xdr:col>
      <xdr:colOff>304800</xdr:colOff>
      <xdr:row>4</xdr:row>
      <xdr:rowOff>200025</xdr:rowOff>
    </xdr:to>
    <xdr:sp macro="" textlink="">
      <xdr:nvSpPr>
        <xdr:cNvPr id="2" name="TextBox 1">
          <a:extLst>
            <a:ext uri="{FF2B5EF4-FFF2-40B4-BE49-F238E27FC236}">
              <a16:creationId xmlns:a16="http://schemas.microsoft.com/office/drawing/2014/main" id="{5D2FCAFE-51B9-4A9A-ECC6-643ADCBEB631}"/>
            </a:ext>
          </a:extLst>
        </xdr:cNvPr>
        <xdr:cNvSpPr txBox="1"/>
      </xdr:nvSpPr>
      <xdr:spPr>
        <a:xfrm>
          <a:off x="4676775" y="0"/>
          <a:ext cx="4162425"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800">
              <a:solidFill>
                <a:schemeClr val="dk1"/>
              </a:solidFill>
              <a:effectLst/>
              <a:latin typeface="+mn-lt"/>
              <a:ea typeface="+mn-ea"/>
              <a:cs typeface="+mn-cs"/>
            </a:rPr>
            <a:t>Prediction</a:t>
          </a:r>
          <a:r>
            <a:rPr lang="en-US" sz="2800" baseline="0">
              <a:solidFill>
                <a:schemeClr val="dk1"/>
              </a:solidFill>
              <a:effectLst/>
              <a:latin typeface="+mn-lt"/>
              <a:ea typeface="+mn-ea"/>
              <a:cs typeface="+mn-cs"/>
            </a:rPr>
            <a:t> Table Per Thousand /Card</a:t>
          </a:r>
          <a:endParaRPr lang="en-US" sz="2800">
            <a:effectLst/>
          </a:endParaRPr>
        </a:p>
        <a:p>
          <a:endParaRPr lang="en-US" sz="1100"/>
        </a:p>
      </xdr:txBody>
    </xdr:sp>
    <xdr:clientData/>
  </xdr:twoCellAnchor>
  <xdr:twoCellAnchor>
    <xdr:from>
      <xdr:col>6</xdr:col>
      <xdr:colOff>409575</xdr:colOff>
      <xdr:row>10</xdr:row>
      <xdr:rowOff>152400</xdr:rowOff>
    </xdr:from>
    <xdr:to>
      <xdr:col>10</xdr:col>
      <xdr:colOff>523875</xdr:colOff>
      <xdr:row>22</xdr:row>
      <xdr:rowOff>114300</xdr:rowOff>
    </xdr:to>
    <xdr:sp macro="" textlink="">
      <xdr:nvSpPr>
        <xdr:cNvPr id="3" name="TextBox 2">
          <a:extLst>
            <a:ext uri="{FF2B5EF4-FFF2-40B4-BE49-F238E27FC236}">
              <a16:creationId xmlns:a16="http://schemas.microsoft.com/office/drawing/2014/main" id="{6361F20A-2BA4-2577-7E97-B7D241A63564}"/>
            </a:ext>
          </a:extLst>
        </xdr:cNvPr>
        <xdr:cNvSpPr txBox="1"/>
      </xdr:nvSpPr>
      <xdr:spPr>
        <a:xfrm>
          <a:off x="4067175" y="2276475"/>
          <a:ext cx="2552700" cy="2247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 probability of a customer that</a:t>
          </a:r>
          <a:r>
            <a:rPr lang="en-US" sz="1100" baseline="0">
              <a:solidFill>
                <a:schemeClr val="dk1"/>
              </a:solidFill>
              <a:effectLst/>
              <a:latin typeface="+mn-lt"/>
              <a:ea typeface="+mn-ea"/>
              <a:cs typeface="+mn-cs"/>
            </a:rPr>
            <a:t> spent $2000 last year and has a Simmons card to use the coupon is </a:t>
          </a:r>
          <a:r>
            <a:rPr lang="en-US" sz="1100" baseline="0">
              <a:solidFill>
                <a:srgbClr val="FFC000"/>
              </a:solidFill>
              <a:effectLst/>
              <a:latin typeface="+mn-lt"/>
              <a:ea typeface="+mn-ea"/>
              <a:cs typeface="+mn-cs"/>
            </a:rPr>
            <a:t>0.40991</a:t>
          </a:r>
          <a:r>
            <a:rPr lang="en-US" sz="1100" baseline="0">
              <a:solidFill>
                <a:srgbClr val="FFFF00"/>
              </a:solidFill>
              <a:effectLst/>
              <a:latin typeface="+mn-lt"/>
              <a:ea typeface="+mn-ea"/>
              <a:cs typeface="+mn-cs"/>
            </a:rPr>
            <a:t>.</a:t>
          </a:r>
          <a:r>
            <a:rPr lang="en-US" sz="1100" baseline="0">
              <a:solidFill>
                <a:schemeClr val="dk1"/>
              </a:solidFill>
              <a:effectLst/>
              <a:latin typeface="+mn-lt"/>
              <a:ea typeface="+mn-ea"/>
              <a:cs typeface="+mn-cs"/>
            </a:rPr>
            <a:t> The proability for a customer that spent $2000 last year but does not have a Simmons card is </a:t>
          </a:r>
          <a:r>
            <a:rPr lang="en-US" sz="1100" baseline="0">
              <a:solidFill>
                <a:srgbClr val="FF0000"/>
              </a:solidFill>
              <a:effectLst/>
              <a:latin typeface="+mn-lt"/>
              <a:ea typeface="+mn-ea"/>
              <a:cs typeface="+mn-cs"/>
            </a:rPr>
            <a:t>0.187994.</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These probabilities indicate that for customers with annual spending of $2000 the presence of a Simmons credit card increases the probability of using the coupon.</a:t>
          </a:r>
          <a:endParaRPr lang="en-US">
            <a:effectLst/>
          </a:endParaRP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114300</xdr:colOff>
      <xdr:row>1</xdr:row>
      <xdr:rowOff>238125</xdr:rowOff>
    </xdr:from>
    <xdr:to>
      <xdr:col>15</xdr:col>
      <xdr:colOff>104775</xdr:colOff>
      <xdr:row>12</xdr:row>
      <xdr:rowOff>180975</xdr:rowOff>
    </xdr:to>
    <xdr:sp macro="" textlink="">
      <xdr:nvSpPr>
        <xdr:cNvPr id="2" name="TextBox 1">
          <a:extLst>
            <a:ext uri="{FF2B5EF4-FFF2-40B4-BE49-F238E27FC236}">
              <a16:creationId xmlns:a16="http://schemas.microsoft.com/office/drawing/2014/main" id="{6900D06D-7B82-CD78-2B58-FF5D141DC375}"/>
            </a:ext>
          </a:extLst>
        </xdr:cNvPr>
        <xdr:cNvSpPr txBox="1"/>
      </xdr:nvSpPr>
      <xdr:spPr>
        <a:xfrm>
          <a:off x="7324725" y="428625"/>
          <a:ext cx="2428875" cy="3181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Ho:</a:t>
          </a:r>
          <a:r>
            <a:rPr lang="en-US" sz="1100" baseline="0"/>
            <a:t> B1=B2=0</a:t>
          </a:r>
        </a:p>
        <a:p>
          <a:r>
            <a:rPr lang="en-US" sz="1100" baseline="0"/>
            <a:t>Ha: One or both of the parameters is not equal to zero.</a:t>
          </a:r>
        </a:p>
        <a:p>
          <a:endParaRPr lang="en-US" sz="1100" baseline="0"/>
        </a:p>
        <a:p>
          <a:endParaRPr lang="en-US" sz="1100" baseline="0"/>
        </a:p>
        <a:p>
          <a:r>
            <a:rPr lang="en-US" sz="1100" baseline="0"/>
            <a:t>When p value&lt;0.05 reject Ho.</a:t>
          </a:r>
        </a:p>
        <a:p>
          <a:endParaRPr lang="en-US" sz="1100" baseline="0"/>
        </a:p>
        <a:p>
          <a:r>
            <a:rPr lang="en-US" sz="1100" baseline="0"/>
            <a:t>With df= + of predictors in Ll good fit minus # of predictors in LL bad fit.</a:t>
          </a:r>
        </a:p>
        <a:p>
          <a:r>
            <a:rPr lang="en-US" sz="1100" baseline="0"/>
            <a:t>where LL good fit has the intercept plus the number of independent variables as predictors, and LL bad fit just has the intercept.</a:t>
          </a:r>
        </a:p>
        <a:p>
          <a:r>
            <a:rPr lang="en-US" sz="1100" baseline="0"/>
            <a:t>so df=3-1=2</a:t>
          </a:r>
        </a:p>
        <a:p>
          <a:endParaRPr lang="en-US" sz="1100" baseline="0"/>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6692" refreshedDate="45168.492219328706" createdVersion="8" refreshedVersion="8" minRefreshableVersion="3" recordCount="13" xr:uid="{9073D356-E383-47D1-8236-8D8990BC3BEA}">
  <cacheSource type="worksheet">
    <worksheetSource ref="K4:N17" sheet="Coefficients"/>
  </cacheSource>
  <cacheFields count="4">
    <cacheField name="Thousands" numFmtId="0">
      <sharedItems containsString="0" containsBlank="1" containsNumber="1" containsInteger="1" minValue="1" maxValue="6" count="7">
        <m/>
        <n v="1"/>
        <n v="2"/>
        <n v="3"/>
        <n v="4"/>
        <n v="5"/>
        <n v="6"/>
      </sharedItems>
    </cacheField>
    <cacheField name="Card" numFmtId="0">
      <sharedItems containsString="0" containsBlank="1" containsNumber="1" containsInteger="1" minValue="0" maxValue="1" count="3">
        <m/>
        <n v="1"/>
        <n v="0"/>
      </sharedItems>
    </cacheField>
    <cacheField name="Score" numFmtId="0">
      <sharedItems containsString="0" containsBlank="1" containsNumber="1" minValue="-1.804736321328035" maxValue="1.0022292135825079"/>
    </cacheField>
    <cacheField name="Probability" numFmtId="0">
      <sharedItems containsString="0" containsBlank="1" containsNumber="1" minValue="0.14127549305319151" maxValue="0.7314966428030386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m/>
    <m/>
  </r>
  <r>
    <x v="1"/>
    <x v="1"/>
    <n v="-0.70597901708341526"/>
    <n v="0.33048793842213142"/>
  </r>
  <r>
    <x v="1"/>
    <x v="2"/>
    <n v="-1.804736321328035"/>
    <n v="0.14127549305319151"/>
  </r>
  <r>
    <x v="2"/>
    <x v="1"/>
    <n v="-0.36433737095023067"/>
    <n v="0.40991001772575425"/>
  </r>
  <r>
    <x v="2"/>
    <x v="2"/>
    <n v="-1.4630946751948504"/>
    <n v="0.18799445897615966"/>
  </r>
  <r>
    <x v="3"/>
    <x v="1"/>
    <n v="-2.269572481704607E-2"/>
    <n v="0.49432631233476404"/>
  </r>
  <r>
    <x v="3"/>
    <x v="2"/>
    <n v="-1.1214530290616658"/>
    <n v="0.24574186105851445"/>
  </r>
  <r>
    <x v="4"/>
    <x v="1"/>
    <n v="0.31894592131613875"/>
    <n v="0.57906734363870349"/>
  </r>
  <r>
    <x v="4"/>
    <x v="2"/>
    <n v="-0.77981138292848096"/>
    <n v="0.31436053878273762"/>
  </r>
  <r>
    <x v="5"/>
    <x v="1"/>
    <n v="0.66058756744932356"/>
    <n v="0.65939236497487297"/>
  </r>
  <r>
    <x v="5"/>
    <x v="2"/>
    <n v="-0.43816973679529614"/>
    <n v="0.39217717064571234"/>
  </r>
  <r>
    <x v="6"/>
    <x v="1"/>
    <n v="1.0022292135825079"/>
    <n v="0.73149664280303861"/>
  </r>
  <r>
    <x v="6"/>
    <x v="2"/>
    <n v="-9.6528090662111765E-2"/>
    <n v="0.475886697748165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CA3005-1944-4960-BC22-EA6B4590CA19}"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location ref="H6:N9" firstHeaderRow="1" firstDataRow="2" firstDataCol="1"/>
  <pivotFields count="4">
    <pivotField axis="axisCol" outline="0" showAll="0" defaultSubtotal="0">
      <items count="7">
        <item x="1"/>
        <item x="2"/>
        <item x="3"/>
        <item x="4"/>
        <item x="5"/>
        <item x="6"/>
        <item h="1" x="0"/>
      </items>
    </pivotField>
    <pivotField axis="axisRow" showAll="0" sortType="descending" defaultSubtotal="0">
      <items count="3">
        <item x="0"/>
        <item x="1"/>
        <item x="2"/>
      </items>
    </pivotField>
    <pivotField showAll="0" defaultSubtotal="0"/>
    <pivotField dataField="1" showAll="0" defaultSubtotal="0"/>
  </pivotFields>
  <rowFields count="1">
    <field x="1"/>
  </rowFields>
  <rowItems count="2">
    <i>
      <x v="1"/>
    </i>
    <i>
      <x v="2"/>
    </i>
  </rowItems>
  <colFields count="1">
    <field x="0"/>
  </colFields>
  <colItems count="6">
    <i>
      <x/>
    </i>
    <i>
      <x v="1"/>
    </i>
    <i>
      <x v="2"/>
    </i>
    <i>
      <x v="3"/>
    </i>
    <i>
      <x v="4"/>
    </i>
    <i>
      <x v="5"/>
    </i>
  </colItems>
  <dataFields count="1">
    <dataField name="Probablilty" fld="3" baseField="0" baseItem="0"/>
  </dataFields>
  <formats count="2">
    <format dxfId="1">
      <pivotArea collapsedLevelsAreSubtotals="1" fieldPosition="0">
        <references count="2">
          <reference field="0" count="1" selected="0">
            <x v="1"/>
          </reference>
          <reference field="1" count="1">
            <x v="1"/>
          </reference>
        </references>
      </pivotArea>
    </format>
    <format dxfId="0">
      <pivotArea collapsedLevelsAreSubtotals="1" fieldPosition="0">
        <references count="2">
          <reference field="0" count="1" selected="0">
            <x v="1"/>
          </reference>
          <reference field="1"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workbookViewId="0">
      <selection activeCell="F11" sqref="F11"/>
    </sheetView>
  </sheetViews>
  <sheetFormatPr defaultRowHeight="15" x14ac:dyDescent="0.25"/>
  <cols>
    <col min="1" max="1" width="10.28515625" bestFit="1" customWidth="1"/>
  </cols>
  <sheetData>
    <row r="1" spans="1:4" ht="15.75" x14ac:dyDescent="0.25">
      <c r="A1" s="1" t="s">
        <v>0</v>
      </c>
      <c r="B1" s="1" t="s">
        <v>1</v>
      </c>
      <c r="C1" s="1" t="s">
        <v>2</v>
      </c>
      <c r="D1" s="1" t="s">
        <v>3</v>
      </c>
    </row>
    <row r="2" spans="1:4" ht="15.75" x14ac:dyDescent="0.25">
      <c r="A2" s="2">
        <v>1</v>
      </c>
      <c r="B2" s="3">
        <v>2.2909999999999999</v>
      </c>
      <c r="C2" s="4">
        <v>1</v>
      </c>
      <c r="D2" s="4">
        <v>0</v>
      </c>
    </row>
    <row r="3" spans="1:4" ht="15.75" x14ac:dyDescent="0.25">
      <c r="A3" s="2">
        <v>2</v>
      </c>
      <c r="B3" s="3">
        <v>3.2149999999999999</v>
      </c>
      <c r="C3" s="4">
        <v>1</v>
      </c>
      <c r="D3" s="4">
        <v>0</v>
      </c>
    </row>
    <row r="4" spans="1:4" ht="15.75" x14ac:dyDescent="0.25">
      <c r="A4" s="4">
        <v>3</v>
      </c>
      <c r="B4" s="3">
        <v>2.1349999999999998</v>
      </c>
      <c r="C4" s="4">
        <v>1</v>
      </c>
      <c r="D4" s="4">
        <v>0</v>
      </c>
    </row>
    <row r="5" spans="1:4" ht="15.75" x14ac:dyDescent="0.25">
      <c r="A5" s="2">
        <v>4</v>
      </c>
      <c r="B5" s="3">
        <v>3.9239999999999999</v>
      </c>
      <c r="C5" s="4">
        <v>0</v>
      </c>
      <c r="D5" s="4">
        <v>0</v>
      </c>
    </row>
    <row r="6" spans="1:4" ht="15.75" x14ac:dyDescent="0.25">
      <c r="A6" s="2">
        <v>5</v>
      </c>
      <c r="B6" s="3">
        <v>2.528</v>
      </c>
      <c r="C6" s="4">
        <v>1</v>
      </c>
      <c r="D6" s="4">
        <v>0</v>
      </c>
    </row>
    <row r="7" spans="1:4" ht="15.75" x14ac:dyDescent="0.25">
      <c r="A7" s="4">
        <v>6</v>
      </c>
      <c r="B7" s="3">
        <v>2.4729999999999999</v>
      </c>
      <c r="C7" s="4">
        <v>0</v>
      </c>
      <c r="D7" s="4">
        <v>1</v>
      </c>
    </row>
    <row r="8" spans="1:4" ht="15.75" x14ac:dyDescent="0.25">
      <c r="A8" s="2">
        <v>7</v>
      </c>
      <c r="B8" s="3">
        <v>2.3839999999999999</v>
      </c>
      <c r="C8" s="4">
        <v>0</v>
      </c>
      <c r="D8" s="4">
        <v>0</v>
      </c>
    </row>
    <row r="9" spans="1:4" ht="15.75" x14ac:dyDescent="0.25">
      <c r="A9" s="2">
        <v>8</v>
      </c>
      <c r="B9" s="3">
        <v>7.0759999999999996</v>
      </c>
      <c r="C9" s="4">
        <v>0</v>
      </c>
      <c r="D9" s="4">
        <v>0</v>
      </c>
    </row>
    <row r="10" spans="1:4" ht="15.75" x14ac:dyDescent="0.25">
      <c r="A10" s="4">
        <v>9</v>
      </c>
      <c r="B10" s="3">
        <v>1.1819999999999999</v>
      </c>
      <c r="C10" s="4">
        <v>1</v>
      </c>
      <c r="D10" s="4">
        <v>1</v>
      </c>
    </row>
    <row r="11" spans="1:4" ht="15.75" x14ac:dyDescent="0.25">
      <c r="A11" s="2">
        <v>10</v>
      </c>
      <c r="B11" s="3">
        <v>3.3450000000000002</v>
      </c>
      <c r="C11" s="4">
        <v>0</v>
      </c>
      <c r="D11" s="4">
        <v>0</v>
      </c>
    </row>
    <row r="12" spans="1:4" ht="15.75" x14ac:dyDescent="0.25">
      <c r="A12" s="2">
        <v>11</v>
      </c>
      <c r="B12" s="3">
        <v>2.14</v>
      </c>
      <c r="C12" s="4">
        <v>1</v>
      </c>
      <c r="D12" s="4">
        <v>0</v>
      </c>
    </row>
    <row r="13" spans="1:4" ht="15.75" x14ac:dyDescent="0.25">
      <c r="A13" s="4">
        <v>12</v>
      </c>
      <c r="B13" s="3">
        <v>3.2549999999999999</v>
      </c>
      <c r="C13" s="4">
        <v>0</v>
      </c>
      <c r="D13" s="4">
        <v>1</v>
      </c>
    </row>
    <row r="14" spans="1:4" ht="15.75" x14ac:dyDescent="0.25">
      <c r="A14" s="2">
        <v>13</v>
      </c>
      <c r="B14" s="3">
        <v>1.512</v>
      </c>
      <c r="C14" s="4">
        <v>0</v>
      </c>
      <c r="D14" s="4">
        <v>0</v>
      </c>
    </row>
    <row r="15" spans="1:4" ht="15.75" x14ac:dyDescent="0.25">
      <c r="A15" s="2">
        <v>14</v>
      </c>
      <c r="B15" s="3">
        <v>2.1480000000000001</v>
      </c>
      <c r="C15" s="4">
        <v>0</v>
      </c>
      <c r="D15" s="4">
        <v>1</v>
      </c>
    </row>
    <row r="16" spans="1:4" ht="15.75" x14ac:dyDescent="0.25">
      <c r="A16" s="4">
        <v>15</v>
      </c>
      <c r="B16" s="3">
        <v>6.7370000000000001</v>
      </c>
      <c r="C16" s="4">
        <v>0</v>
      </c>
      <c r="D16" s="4">
        <v>0</v>
      </c>
    </row>
    <row r="17" spans="1:4" ht="15.75" x14ac:dyDescent="0.25">
      <c r="A17" s="2">
        <v>16</v>
      </c>
      <c r="B17" s="3">
        <v>6.4859999999999998</v>
      </c>
      <c r="C17" s="4">
        <v>0</v>
      </c>
      <c r="D17" s="4">
        <v>0</v>
      </c>
    </row>
    <row r="18" spans="1:4" ht="15.75" x14ac:dyDescent="0.25">
      <c r="A18" s="2">
        <v>17</v>
      </c>
      <c r="B18" s="3">
        <v>1.3069999999999999</v>
      </c>
      <c r="C18" s="4">
        <v>0</v>
      </c>
      <c r="D18" s="4">
        <v>0</v>
      </c>
    </row>
    <row r="19" spans="1:4" ht="15.75" x14ac:dyDescent="0.25">
      <c r="A19" s="4">
        <v>18</v>
      </c>
      <c r="B19" s="3">
        <v>3.47</v>
      </c>
      <c r="C19" s="4">
        <v>1</v>
      </c>
      <c r="D19" s="4">
        <v>0</v>
      </c>
    </row>
    <row r="20" spans="1:4" ht="15.75" x14ac:dyDescent="0.25">
      <c r="A20" s="2">
        <v>19</v>
      </c>
      <c r="B20" s="3">
        <v>2.9359999999999999</v>
      </c>
      <c r="C20" s="4">
        <v>0</v>
      </c>
      <c r="D20" s="4">
        <v>0</v>
      </c>
    </row>
    <row r="21" spans="1:4" ht="15.75" x14ac:dyDescent="0.25">
      <c r="A21" s="2">
        <v>20</v>
      </c>
      <c r="B21" s="3">
        <v>6.4039999999999999</v>
      </c>
      <c r="C21" s="4">
        <v>0</v>
      </c>
      <c r="D21" s="4">
        <v>1</v>
      </c>
    </row>
    <row r="22" spans="1:4" ht="15.75" x14ac:dyDescent="0.25">
      <c r="A22" s="4">
        <v>21</v>
      </c>
      <c r="B22" s="3">
        <v>2.2290000000000001</v>
      </c>
      <c r="C22" s="4">
        <v>0</v>
      </c>
      <c r="D22" s="4">
        <v>0</v>
      </c>
    </row>
    <row r="23" spans="1:4" ht="15.75" x14ac:dyDescent="0.25">
      <c r="A23" s="2">
        <v>22</v>
      </c>
      <c r="B23" s="3">
        <v>2.9329999999999998</v>
      </c>
      <c r="C23" s="4">
        <v>0</v>
      </c>
      <c r="D23" s="4">
        <v>0</v>
      </c>
    </row>
    <row r="24" spans="1:4" ht="15.75" x14ac:dyDescent="0.25">
      <c r="A24" s="2">
        <v>23</v>
      </c>
      <c r="B24" s="3">
        <v>2.1179999999999999</v>
      </c>
      <c r="C24" s="4">
        <v>0</v>
      </c>
      <c r="D24" s="4">
        <v>0</v>
      </c>
    </row>
    <row r="25" spans="1:4" ht="15.75" x14ac:dyDescent="0.25">
      <c r="A25" s="4">
        <v>24</v>
      </c>
      <c r="B25" s="3">
        <v>2.0499999999999998</v>
      </c>
      <c r="C25" s="4">
        <v>0</v>
      </c>
      <c r="D25" s="4">
        <v>0</v>
      </c>
    </row>
    <row r="26" spans="1:4" ht="15.75" x14ac:dyDescent="0.25">
      <c r="A26" s="2">
        <v>25</v>
      </c>
      <c r="B26" s="3">
        <v>4.9980000000000002</v>
      </c>
      <c r="C26" s="4">
        <v>0</v>
      </c>
      <c r="D26" s="4">
        <v>1</v>
      </c>
    </row>
    <row r="27" spans="1:4" ht="15.75" x14ac:dyDescent="0.25">
      <c r="A27" s="2">
        <v>26</v>
      </c>
      <c r="B27" s="3">
        <v>1.3939999999999999</v>
      </c>
      <c r="C27" s="4">
        <v>0</v>
      </c>
      <c r="D27" s="4">
        <v>0</v>
      </c>
    </row>
    <row r="28" spans="1:4" ht="15.75" x14ac:dyDescent="0.25">
      <c r="A28" s="4">
        <v>27</v>
      </c>
      <c r="B28" s="3">
        <v>3.9929999999999999</v>
      </c>
      <c r="C28" s="4">
        <v>1</v>
      </c>
      <c r="D28" s="4">
        <v>1</v>
      </c>
    </row>
    <row r="29" spans="1:4" ht="15.75" x14ac:dyDescent="0.25">
      <c r="A29" s="2">
        <v>28</v>
      </c>
      <c r="B29" s="3">
        <v>2.0590000000000002</v>
      </c>
      <c r="C29" s="4">
        <v>0</v>
      </c>
      <c r="D29" s="4">
        <v>1</v>
      </c>
    </row>
    <row r="30" spans="1:4" ht="15.75" x14ac:dyDescent="0.25">
      <c r="A30" s="2">
        <v>29</v>
      </c>
      <c r="B30" s="3">
        <v>1.677</v>
      </c>
      <c r="C30" s="4">
        <v>0</v>
      </c>
      <c r="D30" s="4">
        <v>0</v>
      </c>
    </row>
    <row r="31" spans="1:4" ht="15.75" x14ac:dyDescent="0.25">
      <c r="A31" s="4">
        <v>30</v>
      </c>
      <c r="B31" s="3">
        <v>2.2290000000000001</v>
      </c>
      <c r="C31" s="4">
        <v>0</v>
      </c>
      <c r="D31" s="4">
        <v>1</v>
      </c>
    </row>
    <row r="32" spans="1:4" ht="15.75" x14ac:dyDescent="0.25">
      <c r="A32" s="2">
        <v>31</v>
      </c>
      <c r="B32" s="3">
        <v>1.1379999999999999</v>
      </c>
      <c r="C32" s="4">
        <v>0</v>
      </c>
      <c r="D32" s="4">
        <v>0</v>
      </c>
    </row>
    <row r="33" spans="1:4" ht="15.75" x14ac:dyDescent="0.25">
      <c r="A33" s="2">
        <v>32</v>
      </c>
      <c r="B33" s="3">
        <v>2.9329999999999998</v>
      </c>
      <c r="C33" s="4">
        <v>1</v>
      </c>
      <c r="D33" s="4">
        <v>0</v>
      </c>
    </row>
    <row r="34" spans="1:4" ht="15.75" x14ac:dyDescent="0.25">
      <c r="A34" s="4">
        <v>33</v>
      </c>
      <c r="B34" s="3">
        <v>5.3650000000000002</v>
      </c>
      <c r="C34" s="4">
        <v>1</v>
      </c>
      <c r="D34" s="4">
        <v>1</v>
      </c>
    </row>
    <row r="35" spans="1:4" ht="15.75" x14ac:dyDescent="0.25">
      <c r="A35" s="2">
        <v>34</v>
      </c>
      <c r="B35" s="3">
        <v>5.3650000000000002</v>
      </c>
      <c r="C35" s="4">
        <v>0</v>
      </c>
      <c r="D35" s="4">
        <v>0</v>
      </c>
    </row>
    <row r="36" spans="1:4" ht="15.75" x14ac:dyDescent="0.25">
      <c r="A36" s="2">
        <v>35</v>
      </c>
      <c r="B36" s="3">
        <v>6.1790000000000003</v>
      </c>
      <c r="C36" s="4">
        <v>0</v>
      </c>
      <c r="D36" s="4">
        <v>0</v>
      </c>
    </row>
    <row r="37" spans="1:4" ht="15.75" x14ac:dyDescent="0.25">
      <c r="A37" s="4">
        <v>36</v>
      </c>
      <c r="B37" s="3">
        <v>1.98</v>
      </c>
      <c r="C37" s="4">
        <v>1</v>
      </c>
      <c r="D37" s="4">
        <v>0</v>
      </c>
    </row>
    <row r="38" spans="1:4" ht="15.75" x14ac:dyDescent="0.25">
      <c r="A38" s="2">
        <v>37</v>
      </c>
      <c r="B38" s="3">
        <v>1.0580000000000001</v>
      </c>
      <c r="C38" s="4">
        <v>1</v>
      </c>
      <c r="D38" s="4">
        <v>0</v>
      </c>
    </row>
    <row r="39" spans="1:4" ht="15.75" x14ac:dyDescent="0.25">
      <c r="A39" s="2">
        <v>38</v>
      </c>
      <c r="B39" s="3">
        <v>6.851</v>
      </c>
      <c r="C39" s="4">
        <v>1</v>
      </c>
      <c r="D39" s="4">
        <v>1</v>
      </c>
    </row>
    <row r="40" spans="1:4" ht="15.75" x14ac:dyDescent="0.25">
      <c r="A40" s="4">
        <v>39</v>
      </c>
      <c r="B40" s="3">
        <v>1.1240000000000001</v>
      </c>
      <c r="C40" s="4">
        <v>0</v>
      </c>
      <c r="D40" s="4">
        <v>0</v>
      </c>
    </row>
    <row r="41" spans="1:4" ht="15.75" x14ac:dyDescent="0.25">
      <c r="A41" s="2">
        <v>40</v>
      </c>
      <c r="B41" s="3">
        <v>1.911</v>
      </c>
      <c r="C41" s="4">
        <v>0</v>
      </c>
      <c r="D41" s="4">
        <v>0</v>
      </c>
    </row>
    <row r="42" spans="1:4" ht="15.75" x14ac:dyDescent="0.25">
      <c r="A42" s="2">
        <v>41</v>
      </c>
      <c r="B42" s="3">
        <v>3.2530000000000001</v>
      </c>
      <c r="C42" s="4">
        <v>0</v>
      </c>
      <c r="D42" s="4">
        <v>0</v>
      </c>
    </row>
    <row r="43" spans="1:4" ht="15.75" x14ac:dyDescent="0.25">
      <c r="A43" s="4">
        <v>42</v>
      </c>
      <c r="B43" s="3">
        <v>1.839</v>
      </c>
      <c r="C43" s="4">
        <v>0</v>
      </c>
      <c r="D43" s="4">
        <v>0</v>
      </c>
    </row>
    <row r="44" spans="1:4" ht="15.75" x14ac:dyDescent="0.25">
      <c r="A44" s="2">
        <v>43</v>
      </c>
      <c r="B44" s="3">
        <v>1.657</v>
      </c>
      <c r="C44" s="4">
        <v>1</v>
      </c>
      <c r="D44" s="4">
        <v>0</v>
      </c>
    </row>
    <row r="45" spans="1:4" ht="15.75" x14ac:dyDescent="0.25">
      <c r="A45" s="2">
        <v>44</v>
      </c>
      <c r="B45" s="3">
        <v>1.075</v>
      </c>
      <c r="C45" s="4">
        <v>0</v>
      </c>
      <c r="D45" s="4">
        <v>0</v>
      </c>
    </row>
    <row r="46" spans="1:4" ht="15.75" x14ac:dyDescent="0.25">
      <c r="A46" s="4">
        <v>45</v>
      </c>
      <c r="B46" s="3">
        <v>3.5659999999999998</v>
      </c>
      <c r="C46" s="4">
        <v>0</v>
      </c>
      <c r="D46" s="4">
        <v>0</v>
      </c>
    </row>
    <row r="47" spans="1:4" ht="15.75" x14ac:dyDescent="0.25">
      <c r="A47" s="2">
        <v>46</v>
      </c>
      <c r="B47" s="3">
        <v>2.1179999999999999</v>
      </c>
      <c r="C47" s="4">
        <v>0</v>
      </c>
      <c r="D47" s="4">
        <v>0</v>
      </c>
    </row>
    <row r="48" spans="1:4" ht="15.75" x14ac:dyDescent="0.25">
      <c r="A48" s="2">
        <v>47</v>
      </c>
      <c r="B48" s="3">
        <v>1.554</v>
      </c>
      <c r="C48" s="4">
        <v>1</v>
      </c>
      <c r="D48" s="4">
        <v>0</v>
      </c>
    </row>
    <row r="49" spans="1:4" ht="15.75" x14ac:dyDescent="0.25">
      <c r="A49" s="4">
        <v>48</v>
      </c>
      <c r="B49" s="3">
        <v>4.6310000000000002</v>
      </c>
      <c r="C49" s="4">
        <v>0</v>
      </c>
      <c r="D49" s="4">
        <v>0</v>
      </c>
    </row>
    <row r="50" spans="1:4" ht="15.75" x14ac:dyDescent="0.25">
      <c r="A50" s="2">
        <v>49</v>
      </c>
      <c r="B50" s="3">
        <v>4.3449999999999998</v>
      </c>
      <c r="C50" s="4">
        <v>1</v>
      </c>
      <c r="D50" s="4">
        <v>1</v>
      </c>
    </row>
    <row r="51" spans="1:4" ht="15.75" x14ac:dyDescent="0.25">
      <c r="A51" s="2">
        <v>50</v>
      </c>
      <c r="B51" s="3">
        <v>4.0039999999999996</v>
      </c>
      <c r="C51" s="4">
        <v>1</v>
      </c>
      <c r="D51" s="4">
        <v>1</v>
      </c>
    </row>
    <row r="52" spans="1:4" ht="15.75" x14ac:dyDescent="0.25">
      <c r="A52" s="4">
        <v>51</v>
      </c>
      <c r="B52" s="3">
        <v>1.0680000000000001</v>
      </c>
      <c r="C52" s="4">
        <v>1</v>
      </c>
      <c r="D52" s="4">
        <v>1</v>
      </c>
    </row>
    <row r="53" spans="1:4" ht="15.75" x14ac:dyDescent="0.25">
      <c r="A53" s="2">
        <v>52</v>
      </c>
      <c r="B53" s="3">
        <v>2.4209999999999998</v>
      </c>
      <c r="C53" s="4">
        <v>0</v>
      </c>
      <c r="D53" s="4">
        <v>0</v>
      </c>
    </row>
    <row r="54" spans="1:4" ht="15.75" x14ac:dyDescent="0.25">
      <c r="A54" s="2">
        <v>53</v>
      </c>
      <c r="B54" s="3">
        <v>4.4139999999999997</v>
      </c>
      <c r="C54" s="4">
        <v>0</v>
      </c>
      <c r="D54" s="4">
        <v>0</v>
      </c>
    </row>
    <row r="55" spans="1:4" ht="15.75" x14ac:dyDescent="0.25">
      <c r="A55" s="4">
        <v>54</v>
      </c>
      <c r="B55" s="3">
        <v>3.3860000000000001</v>
      </c>
      <c r="C55" s="4">
        <v>1</v>
      </c>
      <c r="D55" s="4">
        <v>1</v>
      </c>
    </row>
    <row r="56" spans="1:4" ht="15.75" x14ac:dyDescent="0.25">
      <c r="A56" s="2">
        <v>55</v>
      </c>
      <c r="B56" s="3">
        <v>1.677</v>
      </c>
      <c r="C56" s="4">
        <v>1</v>
      </c>
      <c r="D56" s="4">
        <v>0</v>
      </c>
    </row>
    <row r="57" spans="1:4" ht="15.75" x14ac:dyDescent="0.25">
      <c r="A57" s="2">
        <v>56</v>
      </c>
      <c r="B57" s="3">
        <v>2.0499999999999998</v>
      </c>
      <c r="C57" s="4">
        <v>1</v>
      </c>
      <c r="D57" s="4">
        <v>1</v>
      </c>
    </row>
    <row r="58" spans="1:4" ht="15.75" x14ac:dyDescent="0.25">
      <c r="A58" s="4">
        <v>57</v>
      </c>
      <c r="B58" s="3">
        <v>2.323</v>
      </c>
      <c r="C58" s="4">
        <v>1</v>
      </c>
      <c r="D58" s="4">
        <v>1</v>
      </c>
    </row>
    <row r="59" spans="1:4" ht="15.75" x14ac:dyDescent="0.25">
      <c r="A59" s="2">
        <v>58</v>
      </c>
      <c r="B59" s="3">
        <v>5.5010000000000003</v>
      </c>
      <c r="C59" s="4">
        <v>0</v>
      </c>
      <c r="D59" s="4">
        <v>0</v>
      </c>
    </row>
    <row r="60" spans="1:4" ht="15.75" x14ac:dyDescent="0.25">
      <c r="A60" s="2">
        <v>59</v>
      </c>
      <c r="B60" s="3">
        <v>3.3450000000000002</v>
      </c>
      <c r="C60" s="4">
        <v>0</v>
      </c>
      <c r="D60" s="4">
        <v>1</v>
      </c>
    </row>
    <row r="61" spans="1:4" ht="15.75" x14ac:dyDescent="0.25">
      <c r="A61" s="4">
        <v>60</v>
      </c>
      <c r="B61" s="3">
        <v>3.3180000000000001</v>
      </c>
      <c r="C61" s="4">
        <v>1</v>
      </c>
      <c r="D61" s="4">
        <v>1</v>
      </c>
    </row>
    <row r="62" spans="1:4" ht="15.75" x14ac:dyDescent="0.25">
      <c r="A62" s="2">
        <v>61</v>
      </c>
      <c r="B62" s="3">
        <v>4.7210000000000001</v>
      </c>
      <c r="C62" s="4">
        <v>0</v>
      </c>
      <c r="D62" s="4">
        <v>1</v>
      </c>
    </row>
    <row r="63" spans="1:4" ht="15.75" x14ac:dyDescent="0.25">
      <c r="A63" s="2">
        <v>62</v>
      </c>
      <c r="B63" s="3">
        <v>1.6619999999999999</v>
      </c>
      <c r="C63" s="4">
        <v>0</v>
      </c>
      <c r="D63" s="4">
        <v>1</v>
      </c>
    </row>
    <row r="64" spans="1:4" ht="15.75" x14ac:dyDescent="0.25">
      <c r="A64" s="4">
        <v>63</v>
      </c>
      <c r="B64" s="3">
        <v>2.9359999999999999</v>
      </c>
      <c r="C64" s="4">
        <v>1</v>
      </c>
      <c r="D64" s="4">
        <v>0</v>
      </c>
    </row>
    <row r="65" spans="1:4" ht="15.75" x14ac:dyDescent="0.25">
      <c r="A65" s="2">
        <v>64</v>
      </c>
      <c r="B65" s="3">
        <v>2.0489999999999999</v>
      </c>
      <c r="C65" s="4">
        <v>0</v>
      </c>
      <c r="D65" s="4">
        <v>0</v>
      </c>
    </row>
    <row r="66" spans="1:4" ht="15.75" x14ac:dyDescent="0.25">
      <c r="A66" s="2">
        <v>65</v>
      </c>
      <c r="B66" s="3">
        <v>2.3130000000000002</v>
      </c>
      <c r="C66" s="4">
        <v>0</v>
      </c>
      <c r="D66" s="4">
        <v>1</v>
      </c>
    </row>
    <row r="67" spans="1:4" ht="15.75" x14ac:dyDescent="0.25">
      <c r="A67" s="4">
        <v>66</v>
      </c>
      <c r="B67" s="3">
        <v>6.851</v>
      </c>
      <c r="C67" s="4">
        <v>0</v>
      </c>
      <c r="D67" s="4">
        <v>0</v>
      </c>
    </row>
    <row r="68" spans="1:4" ht="15.75" x14ac:dyDescent="0.25">
      <c r="A68" s="2">
        <v>67</v>
      </c>
      <c r="B68" s="3">
        <v>2.2909999999999999</v>
      </c>
      <c r="C68" s="4">
        <v>0</v>
      </c>
      <c r="D68" s="4">
        <v>0</v>
      </c>
    </row>
    <row r="69" spans="1:4" ht="15.75" x14ac:dyDescent="0.25">
      <c r="A69" s="2">
        <v>68</v>
      </c>
      <c r="B69" s="3">
        <v>3.47</v>
      </c>
      <c r="C69" s="4">
        <v>1</v>
      </c>
      <c r="D69" s="4">
        <v>1</v>
      </c>
    </row>
    <row r="70" spans="1:4" ht="15.75" x14ac:dyDescent="0.25">
      <c r="A70" s="4">
        <v>69</v>
      </c>
      <c r="B70" s="3">
        <v>3.2530000000000001</v>
      </c>
      <c r="C70" s="4">
        <v>0</v>
      </c>
      <c r="D70" s="4">
        <v>0</v>
      </c>
    </row>
    <row r="71" spans="1:4" ht="15.75" x14ac:dyDescent="0.25">
      <c r="A71" s="2">
        <v>70</v>
      </c>
      <c r="B71" s="3">
        <v>2.0590000000000002</v>
      </c>
      <c r="C71" s="4">
        <v>0</v>
      </c>
      <c r="D71" s="4">
        <v>0</v>
      </c>
    </row>
    <row r="72" spans="1:4" ht="15.75" x14ac:dyDescent="0.25">
      <c r="A72" s="2">
        <v>71</v>
      </c>
      <c r="B72" s="3">
        <v>2.6779999999999999</v>
      </c>
      <c r="C72" s="4">
        <v>1</v>
      </c>
      <c r="D72" s="4">
        <v>1</v>
      </c>
    </row>
    <row r="73" spans="1:4" ht="15.75" x14ac:dyDescent="0.25">
      <c r="A73" s="4">
        <v>72</v>
      </c>
      <c r="B73" s="3">
        <v>2.323</v>
      </c>
      <c r="C73" s="4">
        <v>1</v>
      </c>
      <c r="D73" s="4">
        <v>0</v>
      </c>
    </row>
    <row r="74" spans="1:4" ht="15.75" x14ac:dyDescent="0.25">
      <c r="A74" s="2">
        <v>73</v>
      </c>
      <c r="B74" s="3">
        <v>1.8779999999999999</v>
      </c>
      <c r="C74" s="4">
        <v>1</v>
      </c>
      <c r="D74" s="4">
        <v>0</v>
      </c>
    </row>
    <row r="75" spans="1:4" ht="15.75" x14ac:dyDescent="0.25">
      <c r="A75" s="2">
        <v>74</v>
      </c>
      <c r="B75" s="3">
        <v>2.6779999999999999</v>
      </c>
      <c r="C75" s="4">
        <v>1</v>
      </c>
      <c r="D75" s="4">
        <v>1</v>
      </c>
    </row>
    <row r="76" spans="1:4" ht="15.75" x14ac:dyDescent="0.25">
      <c r="A76" s="4">
        <v>75</v>
      </c>
      <c r="B76" s="3">
        <v>6.1790000000000003</v>
      </c>
      <c r="C76" s="4">
        <v>1</v>
      </c>
      <c r="D76" s="4">
        <v>1</v>
      </c>
    </row>
    <row r="77" spans="1:4" ht="15.75" x14ac:dyDescent="0.25">
      <c r="A77" s="2">
        <v>76</v>
      </c>
      <c r="B77" s="3">
        <v>3.411</v>
      </c>
      <c r="C77" s="4">
        <v>1</v>
      </c>
      <c r="D77" s="4">
        <v>1</v>
      </c>
    </row>
    <row r="78" spans="1:4" ht="15.75" x14ac:dyDescent="0.25">
      <c r="A78" s="2">
        <v>77</v>
      </c>
      <c r="B78" s="3">
        <v>5.9909999999999997</v>
      </c>
      <c r="C78" s="4">
        <v>0</v>
      </c>
      <c r="D78" s="4">
        <v>1</v>
      </c>
    </row>
    <row r="79" spans="1:4" ht="15.75" x14ac:dyDescent="0.25">
      <c r="A79" s="4">
        <v>78</v>
      </c>
      <c r="B79" s="3">
        <v>7.0759999999999996</v>
      </c>
      <c r="C79" s="4">
        <v>1</v>
      </c>
      <c r="D79" s="4">
        <v>1</v>
      </c>
    </row>
    <row r="80" spans="1:4" ht="15.75" x14ac:dyDescent="0.25">
      <c r="A80" s="2">
        <v>79</v>
      </c>
      <c r="B80" s="3">
        <v>3.2549999999999999</v>
      </c>
      <c r="C80" s="4">
        <v>1</v>
      </c>
      <c r="D80" s="4">
        <v>1</v>
      </c>
    </row>
    <row r="81" spans="1:4" ht="15.75" x14ac:dyDescent="0.25">
      <c r="A81" s="2">
        <v>80</v>
      </c>
      <c r="B81" s="3">
        <v>2.1480000000000001</v>
      </c>
      <c r="C81" s="4">
        <v>1</v>
      </c>
      <c r="D81" s="4">
        <v>0</v>
      </c>
    </row>
    <row r="82" spans="1:4" ht="15.75" x14ac:dyDescent="0.25">
      <c r="A82" s="4">
        <v>81</v>
      </c>
      <c r="B82" s="3">
        <v>5.5010000000000003</v>
      </c>
      <c r="C82" s="4">
        <v>1</v>
      </c>
      <c r="D82" s="4">
        <v>1</v>
      </c>
    </row>
    <row r="83" spans="1:4" ht="15.75" x14ac:dyDescent="0.25">
      <c r="A83" s="2">
        <v>82</v>
      </c>
      <c r="B83" s="3">
        <v>5.9909999999999997</v>
      </c>
      <c r="C83" s="4">
        <v>1</v>
      </c>
      <c r="D83" s="4">
        <v>1</v>
      </c>
    </row>
    <row r="84" spans="1:4" ht="15.75" x14ac:dyDescent="0.25">
      <c r="A84" s="2">
        <v>83</v>
      </c>
      <c r="B84" s="3">
        <v>2.3719999999999999</v>
      </c>
      <c r="C84" s="4">
        <v>1</v>
      </c>
      <c r="D84" s="4">
        <v>0</v>
      </c>
    </row>
    <row r="85" spans="1:4" ht="15.75" x14ac:dyDescent="0.25">
      <c r="A85" s="4">
        <v>84</v>
      </c>
      <c r="B85" s="3">
        <v>3.9950000000000001</v>
      </c>
      <c r="C85" s="4">
        <v>1</v>
      </c>
      <c r="D85" s="4">
        <v>0</v>
      </c>
    </row>
    <row r="86" spans="1:4" ht="15.75" x14ac:dyDescent="0.25">
      <c r="A86" s="2">
        <v>85</v>
      </c>
      <c r="B86" s="3">
        <v>2.1349999999999998</v>
      </c>
      <c r="C86" s="4">
        <v>0</v>
      </c>
      <c r="D86" s="4">
        <v>1</v>
      </c>
    </row>
    <row r="87" spans="1:4" ht="15.75" x14ac:dyDescent="0.25">
      <c r="A87" s="2">
        <v>86</v>
      </c>
      <c r="B87" s="3">
        <v>6.7370000000000001</v>
      </c>
      <c r="C87" s="4">
        <v>1</v>
      </c>
      <c r="D87" s="4">
        <v>1</v>
      </c>
    </row>
    <row r="88" spans="1:4" ht="15.75" x14ac:dyDescent="0.25">
      <c r="A88" s="4">
        <v>87</v>
      </c>
      <c r="B88" s="3">
        <v>6.4859999999999998</v>
      </c>
      <c r="C88" s="4">
        <v>1</v>
      </c>
      <c r="D88" s="4">
        <v>1</v>
      </c>
    </row>
    <row r="89" spans="1:4" ht="15.75" x14ac:dyDescent="0.25">
      <c r="A89" s="2">
        <v>88</v>
      </c>
      <c r="B89" s="3">
        <v>2.4289999999999998</v>
      </c>
      <c r="C89" s="4">
        <v>1</v>
      </c>
      <c r="D89" s="4">
        <v>0</v>
      </c>
    </row>
    <row r="90" spans="1:4" ht="15.75" x14ac:dyDescent="0.25">
      <c r="A90" s="2">
        <v>89</v>
      </c>
      <c r="B90" s="3">
        <v>4.7009999999999996</v>
      </c>
      <c r="C90" s="4">
        <v>1</v>
      </c>
      <c r="D90" s="4">
        <v>1</v>
      </c>
    </row>
    <row r="91" spans="1:4" ht="15.75" x14ac:dyDescent="0.25">
      <c r="A91" s="4">
        <v>90</v>
      </c>
      <c r="B91" s="3">
        <v>6.4039999999999999</v>
      </c>
      <c r="C91" s="4">
        <v>1</v>
      </c>
      <c r="D91" s="4">
        <v>0</v>
      </c>
    </row>
    <row r="92" spans="1:4" ht="15.75" x14ac:dyDescent="0.25">
      <c r="A92" s="2">
        <v>91</v>
      </c>
      <c r="B92" s="3">
        <v>1.1299999999999999</v>
      </c>
      <c r="C92" s="4">
        <v>1</v>
      </c>
      <c r="D92" s="4">
        <v>0</v>
      </c>
    </row>
    <row r="93" spans="1:4" ht="15.75" x14ac:dyDescent="0.25">
      <c r="A93" s="2">
        <v>92</v>
      </c>
      <c r="B93" s="3">
        <v>1.911</v>
      </c>
      <c r="C93" s="4">
        <v>1</v>
      </c>
      <c r="D93" s="4">
        <v>1</v>
      </c>
    </row>
    <row r="94" spans="1:4" ht="15.75" x14ac:dyDescent="0.25">
      <c r="A94" s="4">
        <v>93</v>
      </c>
      <c r="B94" s="3">
        <v>4.9589999999999996</v>
      </c>
      <c r="C94" s="4">
        <v>1</v>
      </c>
      <c r="D94" s="4">
        <v>1</v>
      </c>
    </row>
    <row r="95" spans="1:4" ht="15.75" x14ac:dyDescent="0.25">
      <c r="A95" s="2">
        <v>94</v>
      </c>
      <c r="B95" s="3">
        <v>6.0730000000000004</v>
      </c>
      <c r="C95" s="4">
        <v>1</v>
      </c>
      <c r="D95" s="4">
        <v>1</v>
      </c>
    </row>
    <row r="96" spans="1:4" ht="15.75" x14ac:dyDescent="0.25">
      <c r="A96" s="2">
        <v>95</v>
      </c>
      <c r="B96" s="3">
        <v>1.403</v>
      </c>
      <c r="C96" s="4">
        <v>1</v>
      </c>
      <c r="D96" s="4">
        <v>0</v>
      </c>
    </row>
    <row r="97" spans="1:4" ht="15.75" x14ac:dyDescent="0.25">
      <c r="A97" s="4">
        <v>96</v>
      </c>
      <c r="B97" s="3">
        <v>3.3180000000000001</v>
      </c>
      <c r="C97" s="4">
        <v>0</v>
      </c>
      <c r="D97" s="4">
        <v>0</v>
      </c>
    </row>
    <row r="98" spans="1:4" ht="15.75" x14ac:dyDescent="0.25">
      <c r="A98" s="2">
        <v>97</v>
      </c>
      <c r="B98" s="3">
        <v>2.4209999999999998</v>
      </c>
      <c r="C98" s="4">
        <v>1</v>
      </c>
      <c r="D98" s="4">
        <v>0</v>
      </c>
    </row>
    <row r="99" spans="1:4" ht="15.75" x14ac:dyDescent="0.25">
      <c r="A99" s="2">
        <v>98</v>
      </c>
      <c r="B99" s="3">
        <v>6.0730000000000004</v>
      </c>
      <c r="C99" s="4">
        <v>0</v>
      </c>
      <c r="D99" s="4">
        <v>0</v>
      </c>
    </row>
    <row r="100" spans="1:4" ht="15.75" x14ac:dyDescent="0.25">
      <c r="A100" s="4">
        <v>99</v>
      </c>
      <c r="B100" s="3">
        <v>2.63</v>
      </c>
      <c r="C100" s="4">
        <v>1</v>
      </c>
      <c r="D100" s="4">
        <v>0</v>
      </c>
    </row>
    <row r="101" spans="1:4" ht="15.75" x14ac:dyDescent="0.25">
      <c r="A101" s="2">
        <v>100</v>
      </c>
      <c r="B101" s="3">
        <v>3.411</v>
      </c>
      <c r="C101" s="4">
        <v>0</v>
      </c>
      <c r="D101" s="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6D1C4-BF2C-49DE-B0AF-B576955FDBDD}">
  <dimension ref="A1:O101"/>
  <sheetViews>
    <sheetView workbookViewId="0">
      <selection activeCell="H17" sqref="H17:H19"/>
    </sheetView>
  </sheetViews>
  <sheetFormatPr defaultRowHeight="15" x14ac:dyDescent="0.25"/>
  <cols>
    <col min="1" max="1" width="10.28515625" bestFit="1" customWidth="1"/>
    <col min="7" max="7" width="18" bestFit="1" customWidth="1"/>
  </cols>
  <sheetData>
    <row r="1" spans="1:15" ht="15.75" x14ac:dyDescent="0.25">
      <c r="A1" s="1" t="s">
        <v>0</v>
      </c>
      <c r="B1" s="1" t="s">
        <v>1</v>
      </c>
      <c r="C1" s="1" t="s">
        <v>2</v>
      </c>
      <c r="D1" s="1" t="s">
        <v>3</v>
      </c>
      <c r="G1" t="s">
        <v>4</v>
      </c>
    </row>
    <row r="2" spans="1:15" ht="16.5" thickBot="1" x14ac:dyDescent="0.3">
      <c r="A2" s="2">
        <v>1</v>
      </c>
      <c r="B2" s="3">
        <v>2.2909999999999999</v>
      </c>
      <c r="C2" s="4">
        <v>1</v>
      </c>
      <c r="D2" s="4">
        <v>0</v>
      </c>
    </row>
    <row r="3" spans="1:15" ht="15.75" x14ac:dyDescent="0.25">
      <c r="A3" s="2">
        <v>2</v>
      </c>
      <c r="B3" s="3">
        <v>3.2149999999999999</v>
      </c>
      <c r="C3" s="4">
        <v>1</v>
      </c>
      <c r="D3" s="4">
        <v>0</v>
      </c>
      <c r="G3" s="7" t="s">
        <v>5</v>
      </c>
      <c r="H3" s="7"/>
    </row>
    <row r="4" spans="1:15" ht="15.75" x14ac:dyDescent="0.25">
      <c r="A4" s="4">
        <v>3</v>
      </c>
      <c r="B4" s="3">
        <v>2.1349999999999998</v>
      </c>
      <c r="C4" s="4">
        <v>1</v>
      </c>
      <c r="D4" s="4">
        <v>0</v>
      </c>
      <c r="G4" t="s">
        <v>6</v>
      </c>
      <c r="H4">
        <v>0.36130118572511127</v>
      </c>
    </row>
    <row r="5" spans="1:15" ht="15.75" x14ac:dyDescent="0.25">
      <c r="A5" s="2">
        <v>4</v>
      </c>
      <c r="B5" s="3">
        <v>3.9239999999999999</v>
      </c>
      <c r="C5" s="4">
        <v>0</v>
      </c>
      <c r="D5" s="4">
        <v>0</v>
      </c>
      <c r="G5" t="s">
        <v>7</v>
      </c>
      <c r="H5">
        <v>0.13053854680637136</v>
      </c>
    </row>
    <row r="6" spans="1:15" ht="15.75" x14ac:dyDescent="0.25">
      <c r="A6" s="2">
        <v>5</v>
      </c>
      <c r="B6" s="3">
        <v>2.528</v>
      </c>
      <c r="C6" s="4">
        <v>1</v>
      </c>
      <c r="D6" s="4">
        <v>0</v>
      </c>
      <c r="G6" t="s">
        <v>8</v>
      </c>
      <c r="H6">
        <v>0.11261150653433778</v>
      </c>
    </row>
    <row r="7" spans="1:15" ht="15.75" x14ac:dyDescent="0.25">
      <c r="A7" s="4">
        <v>6</v>
      </c>
      <c r="B7" s="3">
        <v>2.4729999999999999</v>
      </c>
      <c r="C7" s="4">
        <v>0</v>
      </c>
      <c r="D7" s="4">
        <v>1</v>
      </c>
      <c r="G7" t="s">
        <v>9</v>
      </c>
      <c r="H7">
        <v>0.46381513910652256</v>
      </c>
    </row>
    <row r="8" spans="1:15" ht="16.5" thickBot="1" x14ac:dyDescent="0.3">
      <c r="A8" s="2">
        <v>7</v>
      </c>
      <c r="B8" s="3">
        <v>2.3839999999999999</v>
      </c>
      <c r="C8" s="4">
        <v>0</v>
      </c>
      <c r="D8" s="4">
        <v>0</v>
      </c>
      <c r="G8" s="5" t="s">
        <v>10</v>
      </c>
      <c r="H8" s="5">
        <v>100</v>
      </c>
    </row>
    <row r="9" spans="1:15" ht="15.75" x14ac:dyDescent="0.25">
      <c r="A9" s="2">
        <v>8</v>
      </c>
      <c r="B9" s="3">
        <v>7.0759999999999996</v>
      </c>
      <c r="C9" s="4">
        <v>0</v>
      </c>
      <c r="D9" s="4">
        <v>0</v>
      </c>
    </row>
    <row r="10" spans="1:15" ht="16.5" thickBot="1" x14ac:dyDescent="0.3">
      <c r="A10" s="4">
        <v>9</v>
      </c>
      <c r="B10" s="3">
        <v>1.1819999999999999</v>
      </c>
      <c r="C10" s="4">
        <v>1</v>
      </c>
      <c r="D10" s="4">
        <v>1</v>
      </c>
      <c r="G10" t="s">
        <v>11</v>
      </c>
    </row>
    <row r="11" spans="1:15" ht="15.75" x14ac:dyDescent="0.25">
      <c r="A11" s="2">
        <v>10</v>
      </c>
      <c r="B11" s="3">
        <v>3.3450000000000002</v>
      </c>
      <c r="C11" s="4">
        <v>0</v>
      </c>
      <c r="D11" s="4">
        <v>0</v>
      </c>
      <c r="G11" s="6"/>
      <c r="H11" s="6" t="s">
        <v>16</v>
      </c>
      <c r="I11" s="6" t="s">
        <v>17</v>
      </c>
      <c r="J11" s="6" t="s">
        <v>18</v>
      </c>
      <c r="K11" s="6" t="s">
        <v>19</v>
      </c>
      <c r="L11" s="6" t="s">
        <v>20</v>
      </c>
    </row>
    <row r="12" spans="1:15" ht="15.75" x14ac:dyDescent="0.25">
      <c r="A12" s="2">
        <v>11</v>
      </c>
      <c r="B12" s="3">
        <v>2.14</v>
      </c>
      <c r="C12" s="4">
        <v>1</v>
      </c>
      <c r="D12" s="4">
        <v>0</v>
      </c>
      <c r="G12" t="s">
        <v>12</v>
      </c>
      <c r="H12">
        <v>2</v>
      </c>
      <c r="I12">
        <v>3.1329251233529121</v>
      </c>
      <c r="J12">
        <v>1.566462561676456</v>
      </c>
      <c r="K12">
        <v>7.2816563596397579</v>
      </c>
      <c r="L12">
        <v>1.1314650306706224E-3</v>
      </c>
    </row>
    <row r="13" spans="1:15" ht="15.75" x14ac:dyDescent="0.25">
      <c r="A13" s="4">
        <v>12</v>
      </c>
      <c r="B13" s="3">
        <v>3.2549999999999999</v>
      </c>
      <c r="C13" s="4">
        <v>0</v>
      </c>
      <c r="D13" s="4">
        <v>1</v>
      </c>
      <c r="G13" t="s">
        <v>13</v>
      </c>
      <c r="H13">
        <v>97</v>
      </c>
      <c r="I13">
        <v>20.867074876647081</v>
      </c>
      <c r="J13">
        <v>0.21512448326440289</v>
      </c>
    </row>
    <row r="14" spans="1:15" ht="16.5" thickBot="1" x14ac:dyDescent="0.3">
      <c r="A14" s="2">
        <v>13</v>
      </c>
      <c r="B14" s="3">
        <v>1.512</v>
      </c>
      <c r="C14" s="4">
        <v>0</v>
      </c>
      <c r="D14" s="4">
        <v>0</v>
      </c>
      <c r="G14" s="5" t="s">
        <v>14</v>
      </c>
      <c r="H14" s="5">
        <v>99</v>
      </c>
      <c r="I14" s="5">
        <v>23.999999999999993</v>
      </c>
      <c r="J14" s="5"/>
      <c r="K14" s="5"/>
      <c r="L14" s="5"/>
    </row>
    <row r="15" spans="1:15" ht="16.5" thickBot="1" x14ac:dyDescent="0.3">
      <c r="A15" s="2">
        <v>14</v>
      </c>
      <c r="B15" s="3">
        <v>2.1480000000000001</v>
      </c>
      <c r="C15" s="4">
        <v>0</v>
      </c>
      <c r="D15" s="4">
        <v>1</v>
      </c>
    </row>
    <row r="16" spans="1:15" ht="15.75" x14ac:dyDescent="0.25">
      <c r="A16" s="4">
        <v>15</v>
      </c>
      <c r="B16" s="3">
        <v>6.7370000000000001</v>
      </c>
      <c r="C16" s="4">
        <v>0</v>
      </c>
      <c r="D16" s="4">
        <v>0</v>
      </c>
      <c r="G16" s="6"/>
      <c r="H16" s="6" t="s">
        <v>21</v>
      </c>
      <c r="I16" s="6" t="s">
        <v>9</v>
      </c>
      <c r="J16" s="6" t="s">
        <v>22</v>
      </c>
      <c r="K16" s="6" t="s">
        <v>23</v>
      </c>
      <c r="L16" s="6" t="s">
        <v>24</v>
      </c>
      <c r="M16" s="6" t="s">
        <v>25</v>
      </c>
      <c r="N16" s="6" t="s">
        <v>26</v>
      </c>
      <c r="O16" s="6" t="s">
        <v>27</v>
      </c>
    </row>
    <row r="17" spans="1:15" ht="15.75" x14ac:dyDescent="0.25">
      <c r="A17" s="2">
        <v>16</v>
      </c>
      <c r="B17" s="3">
        <v>6.4859999999999998</v>
      </c>
      <c r="C17" s="4">
        <v>0</v>
      </c>
      <c r="D17" s="4">
        <v>0</v>
      </c>
      <c r="G17" t="s">
        <v>15</v>
      </c>
      <c r="H17">
        <v>3.1136996736456257E-2</v>
      </c>
      <c r="I17">
        <v>0.11032884495391079</v>
      </c>
      <c r="J17">
        <v>0.28221991039119054</v>
      </c>
      <c r="K17">
        <v>0.77837617829364425</v>
      </c>
      <c r="L17">
        <v>-0.18783521992971242</v>
      </c>
      <c r="M17">
        <v>0.25010921340262493</v>
      </c>
      <c r="N17">
        <v>-0.18783521992971242</v>
      </c>
      <c r="O17">
        <v>0.25010921340262493</v>
      </c>
    </row>
    <row r="18" spans="1:15" ht="15.75" x14ac:dyDescent="0.25">
      <c r="A18" s="2">
        <v>17</v>
      </c>
      <c r="B18" s="3">
        <v>1.3069999999999999</v>
      </c>
      <c r="C18" s="4">
        <v>0</v>
      </c>
      <c r="D18" s="4">
        <v>0</v>
      </c>
      <c r="G18" t="s">
        <v>1</v>
      </c>
      <c r="H18">
        <v>7.5103060478734385E-2</v>
      </c>
      <c r="I18">
        <v>2.6772176535741907E-2</v>
      </c>
      <c r="J18">
        <v>2.8052653985180789</v>
      </c>
      <c r="K18">
        <v>6.0749958246352712E-3</v>
      </c>
      <c r="L18">
        <v>2.1967700968187884E-2</v>
      </c>
      <c r="M18">
        <v>0.12823841998928087</v>
      </c>
      <c r="N18">
        <v>2.1967700968187884E-2</v>
      </c>
      <c r="O18">
        <v>0.12823841998928087</v>
      </c>
    </row>
    <row r="19" spans="1:15" ht="16.5" thickBot="1" x14ac:dyDescent="0.3">
      <c r="A19" s="4">
        <v>18</v>
      </c>
      <c r="B19" s="3">
        <v>3.47</v>
      </c>
      <c r="C19" s="4">
        <v>1</v>
      </c>
      <c r="D19" s="4">
        <v>0</v>
      </c>
      <c r="G19" s="5" t="s">
        <v>2</v>
      </c>
      <c r="H19" s="5">
        <v>0.23697034254028781</v>
      </c>
      <c r="I19" s="5">
        <v>9.2769314474751605E-2</v>
      </c>
      <c r="J19" s="5">
        <v>2.5544043726310215</v>
      </c>
      <c r="K19" s="5">
        <v>1.2192898792505937E-2</v>
      </c>
      <c r="L19" s="5">
        <v>5.2848933151625616E-2</v>
      </c>
      <c r="M19" s="5">
        <v>0.42109175192894999</v>
      </c>
      <c r="N19" s="5">
        <v>5.2848933151625616E-2</v>
      </c>
      <c r="O19" s="5">
        <v>0.42109175192894999</v>
      </c>
    </row>
    <row r="20" spans="1:15" ht="15.75" x14ac:dyDescent="0.25">
      <c r="A20" s="2">
        <v>19</v>
      </c>
      <c r="B20" s="3">
        <v>2.9359999999999999</v>
      </c>
      <c r="C20" s="4">
        <v>0</v>
      </c>
      <c r="D20" s="4">
        <v>0</v>
      </c>
    </row>
    <row r="21" spans="1:15" ht="15.75" x14ac:dyDescent="0.25">
      <c r="A21" s="2">
        <v>20</v>
      </c>
      <c r="B21" s="3">
        <v>6.4039999999999999</v>
      </c>
      <c r="C21" s="4">
        <v>0</v>
      </c>
      <c r="D21" s="4">
        <v>1</v>
      </c>
    </row>
    <row r="22" spans="1:15" ht="15.75" x14ac:dyDescent="0.25">
      <c r="A22" s="4">
        <v>21</v>
      </c>
      <c r="B22" s="3">
        <v>2.2290000000000001</v>
      </c>
      <c r="C22" s="4">
        <v>0</v>
      </c>
      <c r="D22" s="4">
        <v>0</v>
      </c>
    </row>
    <row r="23" spans="1:15" ht="15.75" x14ac:dyDescent="0.25">
      <c r="A23" s="2">
        <v>22</v>
      </c>
      <c r="B23" s="3">
        <v>2.9329999999999998</v>
      </c>
      <c r="C23" s="4">
        <v>0</v>
      </c>
      <c r="D23" s="4">
        <v>0</v>
      </c>
    </row>
    <row r="24" spans="1:15" ht="15.75" x14ac:dyDescent="0.25">
      <c r="A24" s="2">
        <v>23</v>
      </c>
      <c r="B24" s="3">
        <v>2.1179999999999999</v>
      </c>
      <c r="C24" s="4">
        <v>0</v>
      </c>
      <c r="D24" s="4">
        <v>0</v>
      </c>
    </row>
    <row r="25" spans="1:15" ht="15.75" x14ac:dyDescent="0.25">
      <c r="A25" s="4">
        <v>24</v>
      </c>
      <c r="B25" s="3">
        <v>2.0499999999999998</v>
      </c>
      <c r="C25" s="4">
        <v>0</v>
      </c>
      <c r="D25" s="4">
        <v>0</v>
      </c>
    </row>
    <row r="26" spans="1:15" ht="15.75" x14ac:dyDescent="0.25">
      <c r="A26" s="2">
        <v>25</v>
      </c>
      <c r="B26" s="3">
        <v>4.9980000000000002</v>
      </c>
      <c r="C26" s="4">
        <v>0</v>
      </c>
      <c r="D26" s="4">
        <v>1</v>
      </c>
    </row>
    <row r="27" spans="1:15" ht="15.75" x14ac:dyDescent="0.25">
      <c r="A27" s="2">
        <v>26</v>
      </c>
      <c r="B27" s="3">
        <v>1.3939999999999999</v>
      </c>
      <c r="C27" s="4">
        <v>0</v>
      </c>
      <c r="D27" s="4">
        <v>0</v>
      </c>
    </row>
    <row r="28" spans="1:15" ht="15.75" x14ac:dyDescent="0.25">
      <c r="A28" s="4">
        <v>27</v>
      </c>
      <c r="B28" s="3">
        <v>3.9929999999999999</v>
      </c>
      <c r="C28" s="4">
        <v>1</v>
      </c>
      <c r="D28" s="4">
        <v>1</v>
      </c>
    </row>
    <row r="29" spans="1:15" ht="15.75" x14ac:dyDescent="0.25">
      <c r="A29" s="2">
        <v>28</v>
      </c>
      <c r="B29" s="3">
        <v>2.0590000000000002</v>
      </c>
      <c r="C29" s="4">
        <v>0</v>
      </c>
      <c r="D29" s="4">
        <v>1</v>
      </c>
    </row>
    <row r="30" spans="1:15" ht="15.75" x14ac:dyDescent="0.25">
      <c r="A30" s="2">
        <v>29</v>
      </c>
      <c r="B30" s="3">
        <v>1.677</v>
      </c>
      <c r="C30" s="4">
        <v>0</v>
      </c>
      <c r="D30" s="4">
        <v>0</v>
      </c>
    </row>
    <row r="31" spans="1:15" ht="15.75" x14ac:dyDescent="0.25">
      <c r="A31" s="4">
        <v>30</v>
      </c>
      <c r="B31" s="3">
        <v>2.2290000000000001</v>
      </c>
      <c r="C31" s="4">
        <v>0</v>
      </c>
      <c r="D31" s="4">
        <v>1</v>
      </c>
    </row>
    <row r="32" spans="1:15" ht="15.75" x14ac:dyDescent="0.25">
      <c r="A32" s="2">
        <v>31</v>
      </c>
      <c r="B32" s="3">
        <v>1.1379999999999999</v>
      </c>
      <c r="C32" s="4">
        <v>0</v>
      </c>
      <c r="D32" s="4">
        <v>0</v>
      </c>
    </row>
    <row r="33" spans="1:4" ht="15.75" x14ac:dyDescent="0.25">
      <c r="A33" s="2">
        <v>32</v>
      </c>
      <c r="B33" s="3">
        <v>2.9329999999999998</v>
      </c>
      <c r="C33" s="4">
        <v>1</v>
      </c>
      <c r="D33" s="4">
        <v>0</v>
      </c>
    </row>
    <row r="34" spans="1:4" ht="15.75" x14ac:dyDescent="0.25">
      <c r="A34" s="4">
        <v>33</v>
      </c>
      <c r="B34" s="3">
        <v>5.3650000000000002</v>
      </c>
      <c r="C34" s="4">
        <v>1</v>
      </c>
      <c r="D34" s="4">
        <v>1</v>
      </c>
    </row>
    <row r="35" spans="1:4" ht="15.75" x14ac:dyDescent="0.25">
      <c r="A35" s="2">
        <v>34</v>
      </c>
      <c r="B35" s="3">
        <v>5.3650000000000002</v>
      </c>
      <c r="C35" s="4">
        <v>0</v>
      </c>
      <c r="D35" s="4">
        <v>0</v>
      </c>
    </row>
    <row r="36" spans="1:4" ht="15.75" x14ac:dyDescent="0.25">
      <c r="A36" s="2">
        <v>35</v>
      </c>
      <c r="B36" s="3">
        <v>6.1790000000000003</v>
      </c>
      <c r="C36" s="4">
        <v>0</v>
      </c>
      <c r="D36" s="4">
        <v>0</v>
      </c>
    </row>
    <row r="37" spans="1:4" ht="15.75" x14ac:dyDescent="0.25">
      <c r="A37" s="4">
        <v>36</v>
      </c>
      <c r="B37" s="3">
        <v>1.98</v>
      </c>
      <c r="C37" s="4">
        <v>1</v>
      </c>
      <c r="D37" s="4">
        <v>0</v>
      </c>
    </row>
    <row r="38" spans="1:4" ht="15.75" x14ac:dyDescent="0.25">
      <c r="A38" s="2">
        <v>37</v>
      </c>
      <c r="B38" s="3">
        <v>1.0580000000000001</v>
      </c>
      <c r="C38" s="4">
        <v>1</v>
      </c>
      <c r="D38" s="4">
        <v>0</v>
      </c>
    </row>
    <row r="39" spans="1:4" ht="15.75" x14ac:dyDescent="0.25">
      <c r="A39" s="2">
        <v>38</v>
      </c>
      <c r="B39" s="3">
        <v>6.851</v>
      </c>
      <c r="C39" s="4">
        <v>1</v>
      </c>
      <c r="D39" s="4">
        <v>1</v>
      </c>
    </row>
    <row r="40" spans="1:4" ht="15.75" x14ac:dyDescent="0.25">
      <c r="A40" s="4">
        <v>39</v>
      </c>
      <c r="B40" s="3">
        <v>1.1240000000000001</v>
      </c>
      <c r="C40" s="4">
        <v>0</v>
      </c>
      <c r="D40" s="4">
        <v>0</v>
      </c>
    </row>
    <row r="41" spans="1:4" ht="15.75" x14ac:dyDescent="0.25">
      <c r="A41" s="2">
        <v>40</v>
      </c>
      <c r="B41" s="3">
        <v>1.911</v>
      </c>
      <c r="C41" s="4">
        <v>0</v>
      </c>
      <c r="D41" s="4">
        <v>0</v>
      </c>
    </row>
    <row r="42" spans="1:4" ht="15.75" x14ac:dyDescent="0.25">
      <c r="A42" s="2">
        <v>41</v>
      </c>
      <c r="B42" s="3">
        <v>3.2530000000000001</v>
      </c>
      <c r="C42" s="4">
        <v>0</v>
      </c>
      <c r="D42" s="4">
        <v>0</v>
      </c>
    </row>
    <row r="43" spans="1:4" ht="15.75" x14ac:dyDescent="0.25">
      <c r="A43" s="4">
        <v>42</v>
      </c>
      <c r="B43" s="3">
        <v>1.839</v>
      </c>
      <c r="C43" s="4">
        <v>0</v>
      </c>
      <c r="D43" s="4">
        <v>0</v>
      </c>
    </row>
    <row r="44" spans="1:4" ht="15.75" x14ac:dyDescent="0.25">
      <c r="A44" s="2">
        <v>43</v>
      </c>
      <c r="B44" s="3">
        <v>1.657</v>
      </c>
      <c r="C44" s="4">
        <v>1</v>
      </c>
      <c r="D44" s="4">
        <v>0</v>
      </c>
    </row>
    <row r="45" spans="1:4" ht="15.75" x14ac:dyDescent="0.25">
      <c r="A45" s="2">
        <v>44</v>
      </c>
      <c r="B45" s="3">
        <v>1.075</v>
      </c>
      <c r="C45" s="4">
        <v>0</v>
      </c>
      <c r="D45" s="4">
        <v>0</v>
      </c>
    </row>
    <row r="46" spans="1:4" ht="15.75" x14ac:dyDescent="0.25">
      <c r="A46" s="4">
        <v>45</v>
      </c>
      <c r="B46" s="3">
        <v>3.5659999999999998</v>
      </c>
      <c r="C46" s="4">
        <v>0</v>
      </c>
      <c r="D46" s="4">
        <v>0</v>
      </c>
    </row>
    <row r="47" spans="1:4" ht="15.75" x14ac:dyDescent="0.25">
      <c r="A47" s="2">
        <v>46</v>
      </c>
      <c r="B47" s="3">
        <v>2.1179999999999999</v>
      </c>
      <c r="C47" s="4">
        <v>0</v>
      </c>
      <c r="D47" s="4">
        <v>0</v>
      </c>
    </row>
    <row r="48" spans="1:4" ht="15.75" x14ac:dyDescent="0.25">
      <c r="A48" s="2">
        <v>47</v>
      </c>
      <c r="B48" s="3">
        <v>1.554</v>
      </c>
      <c r="C48" s="4">
        <v>1</v>
      </c>
      <c r="D48" s="4">
        <v>0</v>
      </c>
    </row>
    <row r="49" spans="1:4" ht="15.75" x14ac:dyDescent="0.25">
      <c r="A49" s="4">
        <v>48</v>
      </c>
      <c r="B49" s="3">
        <v>4.6310000000000002</v>
      </c>
      <c r="C49" s="4">
        <v>0</v>
      </c>
      <c r="D49" s="4">
        <v>0</v>
      </c>
    </row>
    <row r="50" spans="1:4" ht="15.75" x14ac:dyDescent="0.25">
      <c r="A50" s="2">
        <v>49</v>
      </c>
      <c r="B50" s="3">
        <v>4.3449999999999998</v>
      </c>
      <c r="C50" s="4">
        <v>1</v>
      </c>
      <c r="D50" s="4">
        <v>1</v>
      </c>
    </row>
    <row r="51" spans="1:4" ht="15.75" x14ac:dyDescent="0.25">
      <c r="A51" s="2">
        <v>50</v>
      </c>
      <c r="B51" s="3">
        <v>4.0039999999999996</v>
      </c>
      <c r="C51" s="4">
        <v>1</v>
      </c>
      <c r="D51" s="4">
        <v>1</v>
      </c>
    </row>
    <row r="52" spans="1:4" ht="15.75" x14ac:dyDescent="0.25">
      <c r="A52" s="4">
        <v>51</v>
      </c>
      <c r="B52" s="3">
        <v>1.0680000000000001</v>
      </c>
      <c r="C52" s="4">
        <v>1</v>
      </c>
      <c r="D52" s="4">
        <v>1</v>
      </c>
    </row>
    <row r="53" spans="1:4" ht="15.75" x14ac:dyDescent="0.25">
      <c r="A53" s="2">
        <v>52</v>
      </c>
      <c r="B53" s="3">
        <v>2.4209999999999998</v>
      </c>
      <c r="C53" s="4">
        <v>0</v>
      </c>
      <c r="D53" s="4">
        <v>0</v>
      </c>
    </row>
    <row r="54" spans="1:4" ht="15.75" x14ac:dyDescent="0.25">
      <c r="A54" s="2">
        <v>53</v>
      </c>
      <c r="B54" s="3">
        <v>4.4139999999999997</v>
      </c>
      <c r="C54" s="4">
        <v>0</v>
      </c>
      <c r="D54" s="4">
        <v>0</v>
      </c>
    </row>
    <row r="55" spans="1:4" ht="15.75" x14ac:dyDescent="0.25">
      <c r="A55" s="4">
        <v>54</v>
      </c>
      <c r="B55" s="3">
        <v>3.3860000000000001</v>
      </c>
      <c r="C55" s="4">
        <v>1</v>
      </c>
      <c r="D55" s="4">
        <v>1</v>
      </c>
    </row>
    <row r="56" spans="1:4" ht="15.75" x14ac:dyDescent="0.25">
      <c r="A56" s="2">
        <v>55</v>
      </c>
      <c r="B56" s="3">
        <v>1.677</v>
      </c>
      <c r="C56" s="4">
        <v>1</v>
      </c>
      <c r="D56" s="4">
        <v>0</v>
      </c>
    </row>
    <row r="57" spans="1:4" ht="15.75" x14ac:dyDescent="0.25">
      <c r="A57" s="2">
        <v>56</v>
      </c>
      <c r="B57" s="3">
        <v>2.0499999999999998</v>
      </c>
      <c r="C57" s="4">
        <v>1</v>
      </c>
      <c r="D57" s="4">
        <v>1</v>
      </c>
    </row>
    <row r="58" spans="1:4" ht="15.75" x14ac:dyDescent="0.25">
      <c r="A58" s="4">
        <v>57</v>
      </c>
      <c r="B58" s="3">
        <v>2.323</v>
      </c>
      <c r="C58" s="4">
        <v>1</v>
      </c>
      <c r="D58" s="4">
        <v>1</v>
      </c>
    </row>
    <row r="59" spans="1:4" ht="15.75" x14ac:dyDescent="0.25">
      <c r="A59" s="2">
        <v>58</v>
      </c>
      <c r="B59" s="3">
        <v>5.5010000000000003</v>
      </c>
      <c r="C59" s="4">
        <v>0</v>
      </c>
      <c r="D59" s="4">
        <v>0</v>
      </c>
    </row>
    <row r="60" spans="1:4" ht="15.75" x14ac:dyDescent="0.25">
      <c r="A60" s="2">
        <v>59</v>
      </c>
      <c r="B60" s="3">
        <v>3.3450000000000002</v>
      </c>
      <c r="C60" s="4">
        <v>0</v>
      </c>
      <c r="D60" s="4">
        <v>1</v>
      </c>
    </row>
    <row r="61" spans="1:4" ht="15.75" x14ac:dyDescent="0.25">
      <c r="A61" s="4">
        <v>60</v>
      </c>
      <c r="B61" s="3">
        <v>3.3180000000000001</v>
      </c>
      <c r="C61" s="4">
        <v>1</v>
      </c>
      <c r="D61" s="4">
        <v>1</v>
      </c>
    </row>
    <row r="62" spans="1:4" ht="15.75" x14ac:dyDescent="0.25">
      <c r="A62" s="2">
        <v>61</v>
      </c>
      <c r="B62" s="3">
        <v>4.7210000000000001</v>
      </c>
      <c r="C62" s="4">
        <v>0</v>
      </c>
      <c r="D62" s="4">
        <v>1</v>
      </c>
    </row>
    <row r="63" spans="1:4" ht="15.75" x14ac:dyDescent="0.25">
      <c r="A63" s="2">
        <v>62</v>
      </c>
      <c r="B63" s="3">
        <v>1.6619999999999999</v>
      </c>
      <c r="C63" s="4">
        <v>0</v>
      </c>
      <c r="D63" s="4">
        <v>1</v>
      </c>
    </row>
    <row r="64" spans="1:4" ht="15.75" x14ac:dyDescent="0.25">
      <c r="A64" s="4">
        <v>63</v>
      </c>
      <c r="B64" s="3">
        <v>2.9359999999999999</v>
      </c>
      <c r="C64" s="4">
        <v>1</v>
      </c>
      <c r="D64" s="4">
        <v>0</v>
      </c>
    </row>
    <row r="65" spans="1:4" ht="15.75" x14ac:dyDescent="0.25">
      <c r="A65" s="2">
        <v>64</v>
      </c>
      <c r="B65" s="3">
        <v>2.0489999999999999</v>
      </c>
      <c r="C65" s="4">
        <v>0</v>
      </c>
      <c r="D65" s="4">
        <v>0</v>
      </c>
    </row>
    <row r="66" spans="1:4" ht="15.75" x14ac:dyDescent="0.25">
      <c r="A66" s="2">
        <v>65</v>
      </c>
      <c r="B66" s="3">
        <v>2.3130000000000002</v>
      </c>
      <c r="C66" s="4">
        <v>0</v>
      </c>
      <c r="D66" s="4">
        <v>1</v>
      </c>
    </row>
    <row r="67" spans="1:4" ht="15.75" x14ac:dyDescent="0.25">
      <c r="A67" s="4">
        <v>66</v>
      </c>
      <c r="B67" s="3">
        <v>6.851</v>
      </c>
      <c r="C67" s="4">
        <v>0</v>
      </c>
      <c r="D67" s="4">
        <v>0</v>
      </c>
    </row>
    <row r="68" spans="1:4" ht="15.75" x14ac:dyDescent="0.25">
      <c r="A68" s="2">
        <v>67</v>
      </c>
      <c r="B68" s="3">
        <v>2.2909999999999999</v>
      </c>
      <c r="C68" s="4">
        <v>0</v>
      </c>
      <c r="D68" s="4">
        <v>0</v>
      </c>
    </row>
    <row r="69" spans="1:4" ht="15.75" x14ac:dyDescent="0.25">
      <c r="A69" s="2">
        <v>68</v>
      </c>
      <c r="B69" s="3">
        <v>3.47</v>
      </c>
      <c r="C69" s="4">
        <v>1</v>
      </c>
      <c r="D69" s="4">
        <v>1</v>
      </c>
    </row>
    <row r="70" spans="1:4" ht="15.75" x14ac:dyDescent="0.25">
      <c r="A70" s="4">
        <v>69</v>
      </c>
      <c r="B70" s="3">
        <v>3.2530000000000001</v>
      </c>
      <c r="C70" s="4">
        <v>0</v>
      </c>
      <c r="D70" s="4">
        <v>0</v>
      </c>
    </row>
    <row r="71" spans="1:4" ht="15.75" x14ac:dyDescent="0.25">
      <c r="A71" s="2">
        <v>70</v>
      </c>
      <c r="B71" s="3">
        <v>2.0590000000000002</v>
      </c>
      <c r="C71" s="4">
        <v>0</v>
      </c>
      <c r="D71" s="4">
        <v>0</v>
      </c>
    </row>
    <row r="72" spans="1:4" ht="15.75" x14ac:dyDescent="0.25">
      <c r="A72" s="2">
        <v>71</v>
      </c>
      <c r="B72" s="3">
        <v>2.6779999999999999</v>
      </c>
      <c r="C72" s="4">
        <v>1</v>
      </c>
      <c r="D72" s="4">
        <v>1</v>
      </c>
    </row>
    <row r="73" spans="1:4" ht="15.75" x14ac:dyDescent="0.25">
      <c r="A73" s="4">
        <v>72</v>
      </c>
      <c r="B73" s="3">
        <v>2.323</v>
      </c>
      <c r="C73" s="4">
        <v>1</v>
      </c>
      <c r="D73" s="4">
        <v>0</v>
      </c>
    </row>
    <row r="74" spans="1:4" ht="15.75" x14ac:dyDescent="0.25">
      <c r="A74" s="2">
        <v>73</v>
      </c>
      <c r="B74" s="3">
        <v>1.8779999999999999</v>
      </c>
      <c r="C74" s="4">
        <v>1</v>
      </c>
      <c r="D74" s="4">
        <v>0</v>
      </c>
    </row>
    <row r="75" spans="1:4" ht="15.75" x14ac:dyDescent="0.25">
      <c r="A75" s="2">
        <v>74</v>
      </c>
      <c r="B75" s="3">
        <v>2.6779999999999999</v>
      </c>
      <c r="C75" s="4">
        <v>1</v>
      </c>
      <c r="D75" s="4">
        <v>1</v>
      </c>
    </row>
    <row r="76" spans="1:4" ht="15.75" x14ac:dyDescent="0.25">
      <c r="A76" s="4">
        <v>75</v>
      </c>
      <c r="B76" s="3">
        <v>6.1790000000000003</v>
      </c>
      <c r="C76" s="4">
        <v>1</v>
      </c>
      <c r="D76" s="4">
        <v>1</v>
      </c>
    </row>
    <row r="77" spans="1:4" ht="15.75" x14ac:dyDescent="0.25">
      <c r="A77" s="2">
        <v>76</v>
      </c>
      <c r="B77" s="3">
        <v>3.411</v>
      </c>
      <c r="C77" s="4">
        <v>1</v>
      </c>
      <c r="D77" s="4">
        <v>1</v>
      </c>
    </row>
    <row r="78" spans="1:4" ht="15.75" x14ac:dyDescent="0.25">
      <c r="A78" s="2">
        <v>77</v>
      </c>
      <c r="B78" s="3">
        <v>5.9909999999999997</v>
      </c>
      <c r="C78" s="4">
        <v>0</v>
      </c>
      <c r="D78" s="4">
        <v>1</v>
      </c>
    </row>
    <row r="79" spans="1:4" ht="15.75" x14ac:dyDescent="0.25">
      <c r="A79" s="4">
        <v>78</v>
      </c>
      <c r="B79" s="3">
        <v>7.0759999999999996</v>
      </c>
      <c r="C79" s="4">
        <v>1</v>
      </c>
      <c r="D79" s="4">
        <v>1</v>
      </c>
    </row>
    <row r="80" spans="1:4" ht="15.75" x14ac:dyDescent="0.25">
      <c r="A80" s="2">
        <v>79</v>
      </c>
      <c r="B80" s="3">
        <v>3.2549999999999999</v>
      </c>
      <c r="C80" s="4">
        <v>1</v>
      </c>
      <c r="D80" s="4">
        <v>1</v>
      </c>
    </row>
    <row r="81" spans="1:4" ht="15.75" x14ac:dyDescent="0.25">
      <c r="A81" s="2">
        <v>80</v>
      </c>
      <c r="B81" s="3">
        <v>2.1480000000000001</v>
      </c>
      <c r="C81" s="4">
        <v>1</v>
      </c>
      <c r="D81" s="4">
        <v>0</v>
      </c>
    </row>
    <row r="82" spans="1:4" ht="15.75" x14ac:dyDescent="0.25">
      <c r="A82" s="4">
        <v>81</v>
      </c>
      <c r="B82" s="3">
        <v>5.5010000000000003</v>
      </c>
      <c r="C82" s="4">
        <v>1</v>
      </c>
      <c r="D82" s="4">
        <v>1</v>
      </c>
    </row>
    <row r="83" spans="1:4" ht="15.75" x14ac:dyDescent="0.25">
      <c r="A83" s="2">
        <v>82</v>
      </c>
      <c r="B83" s="3">
        <v>5.9909999999999997</v>
      </c>
      <c r="C83" s="4">
        <v>1</v>
      </c>
      <c r="D83" s="4">
        <v>1</v>
      </c>
    </row>
    <row r="84" spans="1:4" ht="15.75" x14ac:dyDescent="0.25">
      <c r="A84" s="2">
        <v>83</v>
      </c>
      <c r="B84" s="3">
        <v>2.3719999999999999</v>
      </c>
      <c r="C84" s="4">
        <v>1</v>
      </c>
      <c r="D84" s="4">
        <v>0</v>
      </c>
    </row>
    <row r="85" spans="1:4" ht="15.75" x14ac:dyDescent="0.25">
      <c r="A85" s="4">
        <v>84</v>
      </c>
      <c r="B85" s="3">
        <v>3.9950000000000001</v>
      </c>
      <c r="C85" s="4">
        <v>1</v>
      </c>
      <c r="D85" s="4">
        <v>0</v>
      </c>
    </row>
    <row r="86" spans="1:4" ht="15.75" x14ac:dyDescent="0.25">
      <c r="A86" s="2">
        <v>85</v>
      </c>
      <c r="B86" s="3">
        <v>2.1349999999999998</v>
      </c>
      <c r="C86" s="4">
        <v>0</v>
      </c>
      <c r="D86" s="4">
        <v>1</v>
      </c>
    </row>
    <row r="87" spans="1:4" ht="15.75" x14ac:dyDescent="0.25">
      <c r="A87" s="2">
        <v>86</v>
      </c>
      <c r="B87" s="3">
        <v>6.7370000000000001</v>
      </c>
      <c r="C87" s="4">
        <v>1</v>
      </c>
      <c r="D87" s="4">
        <v>1</v>
      </c>
    </row>
    <row r="88" spans="1:4" ht="15.75" x14ac:dyDescent="0.25">
      <c r="A88" s="4">
        <v>87</v>
      </c>
      <c r="B88" s="3">
        <v>6.4859999999999998</v>
      </c>
      <c r="C88" s="4">
        <v>1</v>
      </c>
      <c r="D88" s="4">
        <v>1</v>
      </c>
    </row>
    <row r="89" spans="1:4" ht="15.75" x14ac:dyDescent="0.25">
      <c r="A89" s="2">
        <v>88</v>
      </c>
      <c r="B89" s="3">
        <v>2.4289999999999998</v>
      </c>
      <c r="C89" s="4">
        <v>1</v>
      </c>
      <c r="D89" s="4">
        <v>0</v>
      </c>
    </row>
    <row r="90" spans="1:4" ht="15.75" x14ac:dyDescent="0.25">
      <c r="A90" s="2">
        <v>89</v>
      </c>
      <c r="B90" s="3">
        <v>4.7009999999999996</v>
      </c>
      <c r="C90" s="4">
        <v>1</v>
      </c>
      <c r="D90" s="4">
        <v>1</v>
      </c>
    </row>
    <row r="91" spans="1:4" ht="15.75" x14ac:dyDescent="0.25">
      <c r="A91" s="4">
        <v>90</v>
      </c>
      <c r="B91" s="3">
        <v>6.4039999999999999</v>
      </c>
      <c r="C91" s="4">
        <v>1</v>
      </c>
      <c r="D91" s="4">
        <v>0</v>
      </c>
    </row>
    <row r="92" spans="1:4" ht="15.75" x14ac:dyDescent="0.25">
      <c r="A92" s="2">
        <v>91</v>
      </c>
      <c r="B92" s="3">
        <v>1.1299999999999999</v>
      </c>
      <c r="C92" s="4">
        <v>1</v>
      </c>
      <c r="D92" s="4">
        <v>0</v>
      </c>
    </row>
    <row r="93" spans="1:4" ht="15.75" x14ac:dyDescent="0.25">
      <c r="A93" s="2">
        <v>92</v>
      </c>
      <c r="B93" s="3">
        <v>1.911</v>
      </c>
      <c r="C93" s="4">
        <v>1</v>
      </c>
      <c r="D93" s="4">
        <v>1</v>
      </c>
    </row>
    <row r="94" spans="1:4" ht="15.75" x14ac:dyDescent="0.25">
      <c r="A94" s="4">
        <v>93</v>
      </c>
      <c r="B94" s="3">
        <v>4.9589999999999996</v>
      </c>
      <c r="C94" s="4">
        <v>1</v>
      </c>
      <c r="D94" s="4">
        <v>1</v>
      </c>
    </row>
    <row r="95" spans="1:4" ht="15.75" x14ac:dyDescent="0.25">
      <c r="A95" s="2">
        <v>94</v>
      </c>
      <c r="B95" s="3">
        <v>6.0730000000000004</v>
      </c>
      <c r="C95" s="4">
        <v>1</v>
      </c>
      <c r="D95" s="4">
        <v>1</v>
      </c>
    </row>
    <row r="96" spans="1:4" ht="15.75" x14ac:dyDescent="0.25">
      <c r="A96" s="2">
        <v>95</v>
      </c>
      <c r="B96" s="3">
        <v>1.403</v>
      </c>
      <c r="C96" s="4">
        <v>1</v>
      </c>
      <c r="D96" s="4">
        <v>0</v>
      </c>
    </row>
    <row r="97" spans="1:4" ht="15.75" x14ac:dyDescent="0.25">
      <c r="A97" s="4">
        <v>96</v>
      </c>
      <c r="B97" s="3">
        <v>3.3180000000000001</v>
      </c>
      <c r="C97" s="4">
        <v>0</v>
      </c>
      <c r="D97" s="4">
        <v>0</v>
      </c>
    </row>
    <row r="98" spans="1:4" ht="15.75" x14ac:dyDescent="0.25">
      <c r="A98" s="2">
        <v>97</v>
      </c>
      <c r="B98" s="3">
        <v>2.4209999999999998</v>
      </c>
      <c r="C98" s="4">
        <v>1</v>
      </c>
      <c r="D98" s="4">
        <v>0</v>
      </c>
    </row>
    <row r="99" spans="1:4" ht="15.75" x14ac:dyDescent="0.25">
      <c r="A99" s="2">
        <v>98</v>
      </c>
      <c r="B99" s="3">
        <v>6.0730000000000004</v>
      </c>
      <c r="C99" s="4">
        <v>0</v>
      </c>
      <c r="D99" s="4">
        <v>0</v>
      </c>
    </row>
    <row r="100" spans="1:4" ht="15.75" x14ac:dyDescent="0.25">
      <c r="A100" s="4">
        <v>99</v>
      </c>
      <c r="B100" s="3">
        <v>2.63</v>
      </c>
      <c r="C100" s="4">
        <v>1</v>
      </c>
      <c r="D100" s="4">
        <v>0</v>
      </c>
    </row>
    <row r="101" spans="1:4" ht="15.75" x14ac:dyDescent="0.25">
      <c r="A101" s="2">
        <v>100</v>
      </c>
      <c r="B101" s="3">
        <v>3.411</v>
      </c>
      <c r="C101" s="4">
        <v>0</v>
      </c>
      <c r="D101" s="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DC1AA-648C-48FF-A1C2-EF0DC9241972}">
  <dimension ref="A1:J104"/>
  <sheetViews>
    <sheetView workbookViewId="0">
      <selection activeCell="G28" sqref="G28"/>
    </sheetView>
  </sheetViews>
  <sheetFormatPr defaultRowHeight="15" x14ac:dyDescent="0.25"/>
  <cols>
    <col min="1" max="1" width="10.28515625" bestFit="1" customWidth="1"/>
    <col min="6" max="6" width="11.42578125" customWidth="1"/>
    <col min="7" max="7" width="12.42578125" customWidth="1"/>
    <col min="8" max="8" width="11.7109375" customWidth="1"/>
  </cols>
  <sheetData>
    <row r="1" spans="1:10" x14ac:dyDescent="0.25">
      <c r="A1" s="18" t="s">
        <v>21</v>
      </c>
      <c r="B1" s="16"/>
      <c r="C1" s="16"/>
      <c r="D1" s="16"/>
      <c r="E1" s="16"/>
      <c r="F1" s="16"/>
      <c r="G1" s="16"/>
      <c r="H1" s="16"/>
    </row>
    <row r="2" spans="1:10" x14ac:dyDescent="0.25">
      <c r="A2" s="19" t="s">
        <v>15</v>
      </c>
      <c r="B2" s="16" t="s">
        <v>28</v>
      </c>
      <c r="C2" s="16" t="s">
        <v>2</v>
      </c>
      <c r="D2" s="16"/>
      <c r="E2" s="16"/>
      <c r="F2" s="16"/>
      <c r="G2" s="16"/>
      <c r="H2" s="16">
        <f>SUM(H5:H104)</f>
        <v>-72.542729191396859</v>
      </c>
    </row>
    <row r="3" spans="1:10" ht="15.75" thickBot="1" x14ac:dyDescent="0.3">
      <c r="A3" s="16">
        <v>3.1136996736456257E-2</v>
      </c>
      <c r="B3" s="16">
        <v>7.5103060478734385E-2</v>
      </c>
      <c r="C3" s="20">
        <v>0.23697034254028781</v>
      </c>
      <c r="D3" s="16"/>
      <c r="E3" s="16"/>
      <c r="F3" s="16"/>
      <c r="G3" s="16"/>
      <c r="H3" s="16"/>
    </row>
    <row r="4" spans="1:10" ht="57.75" customHeight="1" x14ac:dyDescent="0.25">
      <c r="A4" s="21" t="s">
        <v>0</v>
      </c>
      <c r="B4" s="21" t="s">
        <v>1</v>
      </c>
      <c r="C4" s="21" t="s">
        <v>2</v>
      </c>
      <c r="D4" s="21" t="s">
        <v>3</v>
      </c>
      <c r="E4" s="21" t="s">
        <v>29</v>
      </c>
      <c r="F4" s="22" t="s">
        <v>30</v>
      </c>
      <c r="G4" s="22" t="s">
        <v>31</v>
      </c>
      <c r="H4" s="22" t="s">
        <v>32</v>
      </c>
    </row>
    <row r="5" spans="1:10" ht="15.75" x14ac:dyDescent="0.25">
      <c r="A5" s="23">
        <v>1</v>
      </c>
      <c r="B5" s="24">
        <v>2.2909999999999999</v>
      </c>
      <c r="C5" s="25">
        <v>1</v>
      </c>
      <c r="D5" s="25">
        <v>0</v>
      </c>
      <c r="E5" s="16">
        <f>$A$3+SUMPRODUCT($B$3:$C$3,B5:C5)</f>
        <v>0.44016845083352457</v>
      </c>
      <c r="F5" s="16">
        <f>EXP(E5)/(1+EXP(E5))</f>
        <v>0.60829916847607912</v>
      </c>
      <c r="G5" s="16">
        <f>IF(D5=1,F5,1-F5)</f>
        <v>0.39170083152392088</v>
      </c>
      <c r="H5" s="16">
        <f>LN(G5)</f>
        <v>-0.93725691545347556</v>
      </c>
    </row>
    <row r="6" spans="1:10" ht="15.75" x14ac:dyDescent="0.25">
      <c r="A6" s="23">
        <v>2</v>
      </c>
      <c r="B6" s="24">
        <v>3.2149999999999999</v>
      </c>
      <c r="C6" s="25">
        <v>1</v>
      </c>
      <c r="D6" s="25">
        <v>0</v>
      </c>
      <c r="E6" s="16">
        <f t="shared" ref="E6:E69" si="0">$A$3+SUMPRODUCT($B$3:$C$3,B6:C6)</f>
        <v>0.50956367871587505</v>
      </c>
      <c r="F6" s="16">
        <f t="shared" ref="F6:F69" si="1">EXP(E6)/(1+EXP(E6))</f>
        <v>0.62470418500535285</v>
      </c>
      <c r="G6" s="16">
        <f t="shared" ref="G6:G69" si="2">IF(D6=1,F6,1-F6)</f>
        <v>0.37529581499464715</v>
      </c>
      <c r="H6" s="16">
        <f t="shared" ref="H6:H69" si="3">LN(G6)</f>
        <v>-0.98004072399673536</v>
      </c>
    </row>
    <row r="7" spans="1:10" ht="15.75" x14ac:dyDescent="0.25">
      <c r="A7" s="25">
        <v>3</v>
      </c>
      <c r="B7" s="24">
        <v>2.1349999999999998</v>
      </c>
      <c r="C7" s="25">
        <v>1</v>
      </c>
      <c r="D7" s="25">
        <v>0</v>
      </c>
      <c r="E7" s="16">
        <f t="shared" si="0"/>
        <v>0.42845237339884196</v>
      </c>
      <c r="F7" s="16">
        <f t="shared" si="1"/>
        <v>0.60550404900022958</v>
      </c>
      <c r="G7" s="16">
        <f t="shared" si="2"/>
        <v>0.39449595099977042</v>
      </c>
      <c r="H7" s="16">
        <f t="shared" si="3"/>
        <v>-0.93014640237430302</v>
      </c>
    </row>
    <row r="8" spans="1:10" ht="15.75" x14ac:dyDescent="0.25">
      <c r="A8" s="23">
        <v>4</v>
      </c>
      <c r="B8" s="24">
        <v>3.9239999999999999</v>
      </c>
      <c r="C8" s="25">
        <v>0</v>
      </c>
      <c r="D8" s="25">
        <v>0</v>
      </c>
      <c r="E8" s="16">
        <f t="shared" si="0"/>
        <v>0.32584140605501</v>
      </c>
      <c r="F8" s="16">
        <f t="shared" si="1"/>
        <v>0.58074718418392524</v>
      </c>
      <c r="G8" s="16">
        <f t="shared" si="2"/>
        <v>0.41925281581607476</v>
      </c>
      <c r="H8" s="16">
        <f t="shared" si="3"/>
        <v>-0.86928116198396166</v>
      </c>
    </row>
    <row r="9" spans="1:10" ht="15.75" x14ac:dyDescent="0.25">
      <c r="A9" s="23">
        <v>5</v>
      </c>
      <c r="B9" s="24">
        <v>2.528</v>
      </c>
      <c r="C9" s="25">
        <v>1</v>
      </c>
      <c r="D9" s="25">
        <v>0</v>
      </c>
      <c r="E9" s="16">
        <f t="shared" si="0"/>
        <v>0.45796787616698459</v>
      </c>
      <c r="F9" s="16">
        <f t="shared" si="1"/>
        <v>0.61253198930873165</v>
      </c>
      <c r="G9" s="16">
        <f t="shared" si="2"/>
        <v>0.38746801069126835</v>
      </c>
      <c r="H9" s="16">
        <f t="shared" si="3"/>
        <v>-0.94812198665121772</v>
      </c>
    </row>
    <row r="10" spans="1:10" ht="15.75" x14ac:dyDescent="0.25">
      <c r="A10" s="25">
        <v>6</v>
      </c>
      <c r="B10" s="24">
        <v>2.4729999999999999</v>
      </c>
      <c r="C10" s="25">
        <v>0</v>
      </c>
      <c r="D10" s="25">
        <v>1</v>
      </c>
      <c r="E10" s="16">
        <f t="shared" si="0"/>
        <v>0.21686686530036639</v>
      </c>
      <c r="F10" s="16">
        <f t="shared" si="1"/>
        <v>0.55400522102057781</v>
      </c>
      <c r="G10" s="16">
        <f t="shared" si="2"/>
        <v>0.55400522102057781</v>
      </c>
      <c r="H10" s="16">
        <f t="shared" si="3"/>
        <v>-0.59058116805439131</v>
      </c>
    </row>
    <row r="11" spans="1:10" ht="15.75" x14ac:dyDescent="0.25">
      <c r="A11" s="23">
        <v>7</v>
      </c>
      <c r="B11" s="24">
        <v>2.3839999999999999</v>
      </c>
      <c r="C11" s="25">
        <v>0</v>
      </c>
      <c r="D11" s="25">
        <v>0</v>
      </c>
      <c r="E11" s="16">
        <f t="shared" si="0"/>
        <v>0.21018269291775901</v>
      </c>
      <c r="F11" s="16">
        <f t="shared" si="1"/>
        <v>0.55235308250268211</v>
      </c>
      <c r="G11" s="16">
        <f t="shared" si="2"/>
        <v>0.44764691749731789</v>
      </c>
      <c r="H11" s="16">
        <f t="shared" si="3"/>
        <v>-0.80375048789168535</v>
      </c>
    </row>
    <row r="12" spans="1:10" ht="15.75" x14ac:dyDescent="0.25">
      <c r="A12" s="23">
        <v>8</v>
      </c>
      <c r="B12" s="24">
        <v>7.0759999999999996</v>
      </c>
      <c r="C12" s="25">
        <v>0</v>
      </c>
      <c r="D12" s="25">
        <v>0</v>
      </c>
      <c r="E12" s="16">
        <f t="shared" si="0"/>
        <v>0.56256625268398075</v>
      </c>
      <c r="F12" s="16">
        <f t="shared" si="1"/>
        <v>0.63704611345658901</v>
      </c>
      <c r="G12" s="16">
        <f t="shared" si="2"/>
        <v>0.36295388654341099</v>
      </c>
      <c r="H12" s="16">
        <f t="shared" si="3"/>
        <v>-1.0134794871025006</v>
      </c>
    </row>
    <row r="13" spans="1:10" ht="15.75" x14ac:dyDescent="0.25">
      <c r="A13" s="25">
        <v>9</v>
      </c>
      <c r="B13" s="24">
        <v>1.1819999999999999</v>
      </c>
      <c r="C13" s="25">
        <v>1</v>
      </c>
      <c r="D13" s="25">
        <v>1</v>
      </c>
      <c r="E13" s="16">
        <f t="shared" si="0"/>
        <v>0.35687915676260812</v>
      </c>
      <c r="F13" s="16">
        <f t="shared" si="1"/>
        <v>0.58828475653996426</v>
      </c>
      <c r="G13" s="16">
        <f t="shared" si="2"/>
        <v>0.58828475653996426</v>
      </c>
      <c r="H13" s="16">
        <f t="shared" si="3"/>
        <v>-0.53054416847927066</v>
      </c>
    </row>
    <row r="14" spans="1:10" ht="15.75" x14ac:dyDescent="0.25">
      <c r="A14" s="23">
        <v>10</v>
      </c>
      <c r="B14" s="24">
        <v>3.3450000000000002</v>
      </c>
      <c r="C14" s="25">
        <v>0</v>
      </c>
      <c r="D14" s="25">
        <v>0</v>
      </c>
      <c r="E14" s="16">
        <f t="shared" si="0"/>
        <v>0.2823567340378228</v>
      </c>
      <c r="F14" s="16">
        <f t="shared" si="1"/>
        <v>0.57012391373487692</v>
      </c>
      <c r="G14" s="16">
        <f t="shared" si="2"/>
        <v>0.42987608626512308</v>
      </c>
      <c r="H14" s="16">
        <f t="shared" si="3"/>
        <v>-0.84425828330036545</v>
      </c>
      <c r="J14" s="17"/>
    </row>
    <row r="15" spans="1:10" ht="15.75" x14ac:dyDescent="0.25">
      <c r="A15" s="23">
        <v>11</v>
      </c>
      <c r="B15" s="24">
        <v>2.14</v>
      </c>
      <c r="C15" s="25">
        <v>1</v>
      </c>
      <c r="D15" s="25">
        <v>0</v>
      </c>
      <c r="E15" s="16">
        <f t="shared" si="0"/>
        <v>0.42882788870123567</v>
      </c>
      <c r="F15" s="16">
        <f t="shared" si="1"/>
        <v>0.60559374437117042</v>
      </c>
      <c r="G15" s="16">
        <f t="shared" si="2"/>
        <v>0.39440625562882958</v>
      </c>
      <c r="H15" s="16">
        <f t="shared" si="3"/>
        <v>-0.93037379525157904</v>
      </c>
      <c r="J15" s="17"/>
    </row>
    <row r="16" spans="1:10" ht="15.75" x14ac:dyDescent="0.25">
      <c r="A16" s="25">
        <v>12</v>
      </c>
      <c r="B16" s="24">
        <v>3.2549999999999999</v>
      </c>
      <c r="C16" s="25">
        <v>0</v>
      </c>
      <c r="D16" s="25">
        <v>1</v>
      </c>
      <c r="E16" s="16">
        <f t="shared" si="0"/>
        <v>0.27559745859473667</v>
      </c>
      <c r="F16" s="16">
        <f t="shared" si="1"/>
        <v>0.56846655343005603</v>
      </c>
      <c r="G16" s="16">
        <f t="shared" si="2"/>
        <v>0.56846655343005603</v>
      </c>
      <c r="H16" s="16">
        <f t="shared" si="3"/>
        <v>-0.56481280053888816</v>
      </c>
      <c r="J16" s="17"/>
    </row>
    <row r="17" spans="1:8" ht="15.75" x14ac:dyDescent="0.25">
      <c r="A17" s="23">
        <v>13</v>
      </c>
      <c r="B17" s="24">
        <v>1.512</v>
      </c>
      <c r="C17" s="25">
        <v>0</v>
      </c>
      <c r="D17" s="25">
        <v>0</v>
      </c>
      <c r="E17" s="16">
        <f t="shared" si="0"/>
        <v>0.14469282418030266</v>
      </c>
      <c r="F17" s="16">
        <f t="shared" si="1"/>
        <v>0.53611022766629401</v>
      </c>
      <c r="G17" s="16">
        <f t="shared" si="2"/>
        <v>0.46388977233370599</v>
      </c>
      <c r="H17" s="16">
        <f t="shared" si="3"/>
        <v>-0.768108314603273</v>
      </c>
    </row>
    <row r="18" spans="1:8" ht="15.75" x14ac:dyDescent="0.25">
      <c r="A18" s="23">
        <v>14</v>
      </c>
      <c r="B18" s="24">
        <v>2.1480000000000001</v>
      </c>
      <c r="C18" s="25">
        <v>0</v>
      </c>
      <c r="D18" s="25">
        <v>1</v>
      </c>
      <c r="E18" s="16">
        <f t="shared" si="0"/>
        <v>0.19245837064477772</v>
      </c>
      <c r="F18" s="16">
        <f t="shared" si="1"/>
        <v>0.54796662609928737</v>
      </c>
      <c r="G18" s="16">
        <f t="shared" si="2"/>
        <v>0.54796662609928737</v>
      </c>
      <c r="H18" s="16">
        <f t="shared" si="3"/>
        <v>-0.60154089516735232</v>
      </c>
    </row>
    <row r="19" spans="1:8" ht="15.75" x14ac:dyDescent="0.25">
      <c r="A19" s="25">
        <v>15</v>
      </c>
      <c r="B19" s="24">
        <v>6.7370000000000001</v>
      </c>
      <c r="C19" s="25">
        <v>0</v>
      </c>
      <c r="D19" s="25">
        <v>0</v>
      </c>
      <c r="E19" s="16">
        <f t="shared" si="0"/>
        <v>0.53710631518168972</v>
      </c>
      <c r="F19" s="16">
        <f t="shared" si="1"/>
        <v>0.63113901651615267</v>
      </c>
      <c r="G19" s="16">
        <f t="shared" si="2"/>
        <v>0.36886098348384733</v>
      </c>
      <c r="H19" s="16">
        <f t="shared" si="3"/>
        <v>-0.9973354444515562</v>
      </c>
    </row>
    <row r="20" spans="1:8" ht="15.75" x14ac:dyDescent="0.25">
      <c r="A20" s="23">
        <v>16</v>
      </c>
      <c r="B20" s="24">
        <v>6.4859999999999998</v>
      </c>
      <c r="C20" s="25">
        <v>0</v>
      </c>
      <c r="D20" s="25">
        <v>0</v>
      </c>
      <c r="E20" s="16">
        <f t="shared" si="0"/>
        <v>0.51825544700152748</v>
      </c>
      <c r="F20" s="16">
        <f t="shared" si="1"/>
        <v>0.62673974107161801</v>
      </c>
      <c r="G20" s="16">
        <f t="shared" si="2"/>
        <v>0.37326025892838199</v>
      </c>
      <c r="H20" s="16">
        <f t="shared" si="3"/>
        <v>-0.98547935753296678</v>
      </c>
    </row>
    <row r="21" spans="1:8" ht="15.75" x14ac:dyDescent="0.25">
      <c r="A21" s="23">
        <v>17</v>
      </c>
      <c r="B21" s="24">
        <v>1.3069999999999999</v>
      </c>
      <c r="C21" s="25">
        <v>0</v>
      </c>
      <c r="D21" s="25">
        <v>0</v>
      </c>
      <c r="E21" s="16">
        <f t="shared" si="0"/>
        <v>0.1292966967821621</v>
      </c>
      <c r="F21" s="16">
        <f t="shared" si="1"/>
        <v>0.53227921737025341</v>
      </c>
      <c r="G21" s="16">
        <f t="shared" si="2"/>
        <v>0.46772078262974659</v>
      </c>
      <c r="H21" s="16">
        <f t="shared" si="3"/>
        <v>-0.75988377942452412</v>
      </c>
    </row>
    <row r="22" spans="1:8" ht="15.75" x14ac:dyDescent="0.25">
      <c r="A22" s="25">
        <v>18</v>
      </c>
      <c r="B22" s="24">
        <v>3.47</v>
      </c>
      <c r="C22" s="25">
        <v>1</v>
      </c>
      <c r="D22" s="25">
        <v>0</v>
      </c>
      <c r="E22" s="16">
        <f t="shared" si="0"/>
        <v>0.52871495913795241</v>
      </c>
      <c r="F22" s="16">
        <f t="shared" si="1"/>
        <v>0.62918334675098686</v>
      </c>
      <c r="G22" s="16">
        <f t="shared" si="2"/>
        <v>0.37081665324901314</v>
      </c>
      <c r="H22" s="16">
        <f t="shared" si="3"/>
        <v>-0.9920475346241433</v>
      </c>
    </row>
    <row r="23" spans="1:8" ht="15.75" x14ac:dyDescent="0.25">
      <c r="A23" s="23">
        <v>19</v>
      </c>
      <c r="B23" s="24">
        <v>2.9359999999999999</v>
      </c>
      <c r="C23" s="25">
        <v>0</v>
      </c>
      <c r="D23" s="25">
        <v>0</v>
      </c>
      <c r="E23" s="16">
        <f t="shared" si="0"/>
        <v>0.25163958230202044</v>
      </c>
      <c r="F23" s="16">
        <f t="shared" si="1"/>
        <v>0.56258001674556823</v>
      </c>
      <c r="G23" s="16">
        <f t="shared" si="2"/>
        <v>0.43741998325443177</v>
      </c>
      <c r="H23" s="16">
        <f t="shared" si="3"/>
        <v>-0.82686148533031623</v>
      </c>
    </row>
    <row r="24" spans="1:8" ht="15.75" x14ac:dyDescent="0.25">
      <c r="A24" s="23">
        <v>20</v>
      </c>
      <c r="B24" s="24">
        <v>6.4039999999999999</v>
      </c>
      <c r="C24" s="25">
        <v>0</v>
      </c>
      <c r="D24" s="25">
        <v>1</v>
      </c>
      <c r="E24" s="16">
        <f t="shared" si="0"/>
        <v>0.51209699604227121</v>
      </c>
      <c r="F24" s="16">
        <f t="shared" si="1"/>
        <v>0.62529793048955173</v>
      </c>
      <c r="G24" s="16">
        <f t="shared" si="2"/>
        <v>0.62529793048955173</v>
      </c>
      <c r="H24" s="16">
        <f t="shared" si="3"/>
        <v>-0.46952705404245737</v>
      </c>
    </row>
    <row r="25" spans="1:8" ht="15.75" x14ac:dyDescent="0.25">
      <c r="A25" s="25">
        <v>21</v>
      </c>
      <c r="B25" s="24">
        <v>2.2290000000000001</v>
      </c>
      <c r="C25" s="25">
        <v>0</v>
      </c>
      <c r="D25" s="25">
        <v>0</v>
      </c>
      <c r="E25" s="16">
        <f t="shared" si="0"/>
        <v>0.19854171854355521</v>
      </c>
      <c r="F25" s="16">
        <f t="shared" si="1"/>
        <v>0.54947302231552686</v>
      </c>
      <c r="G25" s="16">
        <f t="shared" si="2"/>
        <v>0.45052697768447314</v>
      </c>
      <c r="H25" s="16">
        <f t="shared" si="3"/>
        <v>-0.79733731985440748</v>
      </c>
    </row>
    <row r="26" spans="1:8" ht="15.75" x14ac:dyDescent="0.25">
      <c r="A26" s="23">
        <v>22</v>
      </c>
      <c r="B26" s="24">
        <v>2.9329999999999998</v>
      </c>
      <c r="C26" s="25">
        <v>0</v>
      </c>
      <c r="D26" s="25">
        <v>0</v>
      </c>
      <c r="E26" s="16">
        <f t="shared" si="0"/>
        <v>0.25141427312058418</v>
      </c>
      <c r="F26" s="16">
        <f t="shared" si="1"/>
        <v>0.56252457103766351</v>
      </c>
      <c r="G26" s="16">
        <f t="shared" si="2"/>
        <v>0.43747542896233649</v>
      </c>
      <c r="H26" s="16">
        <f t="shared" si="3"/>
        <v>-0.82673473713343526</v>
      </c>
    </row>
    <row r="27" spans="1:8" ht="15.75" x14ac:dyDescent="0.25">
      <c r="A27" s="23">
        <v>23</v>
      </c>
      <c r="B27" s="24">
        <v>2.1179999999999999</v>
      </c>
      <c r="C27" s="25">
        <v>0</v>
      </c>
      <c r="D27" s="25">
        <v>0</v>
      </c>
      <c r="E27" s="16">
        <f t="shared" si="0"/>
        <v>0.19020527883041569</v>
      </c>
      <c r="F27" s="16">
        <f t="shared" si="1"/>
        <v>0.54740847696822514</v>
      </c>
      <c r="G27" s="16">
        <f t="shared" si="2"/>
        <v>0.45259152303177486</v>
      </c>
      <c r="H27" s="16">
        <f t="shared" si="3"/>
        <v>-0.79276527545042164</v>
      </c>
    </row>
    <row r="28" spans="1:8" ht="15.75" x14ac:dyDescent="0.25">
      <c r="A28" s="25">
        <v>24</v>
      </c>
      <c r="B28" s="24">
        <v>2.0499999999999998</v>
      </c>
      <c r="C28" s="25">
        <v>0</v>
      </c>
      <c r="D28" s="25">
        <v>0</v>
      </c>
      <c r="E28" s="16">
        <f t="shared" si="0"/>
        <v>0.18509827071786172</v>
      </c>
      <c r="F28" s="16">
        <f t="shared" si="1"/>
        <v>0.54614289960089168</v>
      </c>
      <c r="G28" s="16">
        <f t="shared" si="2"/>
        <v>0.45385710039910832</v>
      </c>
      <c r="H28" s="16">
        <f t="shared" si="3"/>
        <v>-0.789972887317275</v>
      </c>
    </row>
    <row r="29" spans="1:8" ht="15.75" x14ac:dyDescent="0.25">
      <c r="A29" s="23">
        <v>25</v>
      </c>
      <c r="B29" s="24">
        <v>4.9980000000000002</v>
      </c>
      <c r="C29" s="25">
        <v>0</v>
      </c>
      <c r="D29" s="25">
        <v>1</v>
      </c>
      <c r="E29" s="16">
        <f t="shared" si="0"/>
        <v>0.40650209300917073</v>
      </c>
      <c r="F29" s="16">
        <f t="shared" si="1"/>
        <v>0.60024885054851551</v>
      </c>
      <c r="G29" s="16">
        <f t="shared" si="2"/>
        <v>0.60024885054851551</v>
      </c>
      <c r="H29" s="16">
        <f t="shared" si="3"/>
        <v>-0.51041095883718435</v>
      </c>
    </row>
    <row r="30" spans="1:8" ht="15.75" x14ac:dyDescent="0.25">
      <c r="A30" s="23">
        <v>26</v>
      </c>
      <c r="B30" s="24">
        <v>1.3939999999999999</v>
      </c>
      <c r="C30" s="25">
        <v>0</v>
      </c>
      <c r="D30" s="25">
        <v>0</v>
      </c>
      <c r="E30" s="16">
        <f t="shared" si="0"/>
        <v>0.13583066304381197</v>
      </c>
      <c r="F30" s="16">
        <f t="shared" si="1"/>
        <v>0.53390555208496404</v>
      </c>
      <c r="G30" s="16">
        <f t="shared" si="2"/>
        <v>0.46609444791503596</v>
      </c>
      <c r="H30" s="16">
        <f t="shared" si="3"/>
        <v>-0.76336698746362619</v>
      </c>
    </row>
    <row r="31" spans="1:8" ht="15.75" x14ac:dyDescent="0.25">
      <c r="A31" s="25">
        <v>27</v>
      </c>
      <c r="B31" s="24">
        <v>3.9929999999999999</v>
      </c>
      <c r="C31" s="25">
        <v>1</v>
      </c>
      <c r="D31" s="25">
        <v>1</v>
      </c>
      <c r="E31" s="16">
        <f t="shared" si="0"/>
        <v>0.5679938597683305</v>
      </c>
      <c r="F31" s="16">
        <f t="shared" si="1"/>
        <v>0.63830014001630375</v>
      </c>
      <c r="G31" s="16">
        <f t="shared" si="2"/>
        <v>0.63830014001630375</v>
      </c>
      <c r="H31" s="16">
        <f t="shared" si="3"/>
        <v>-0.44894666736200478</v>
      </c>
    </row>
    <row r="32" spans="1:8" ht="15.75" x14ac:dyDescent="0.25">
      <c r="A32" s="23">
        <v>28</v>
      </c>
      <c r="B32" s="24">
        <v>2.0590000000000002</v>
      </c>
      <c r="C32" s="25">
        <v>0</v>
      </c>
      <c r="D32" s="25">
        <v>1</v>
      </c>
      <c r="E32" s="16">
        <f t="shared" si="0"/>
        <v>0.18577419826217037</v>
      </c>
      <c r="F32" s="16">
        <f t="shared" si="1"/>
        <v>0.54631043709247451</v>
      </c>
      <c r="G32" s="16">
        <f t="shared" si="2"/>
        <v>0.54631043709247451</v>
      </c>
      <c r="H32" s="16">
        <f t="shared" si="3"/>
        <v>-0.60456789870626559</v>
      </c>
    </row>
    <row r="33" spans="1:8" ht="15.75" x14ac:dyDescent="0.25">
      <c r="A33" s="23">
        <v>29</v>
      </c>
      <c r="B33" s="24">
        <v>1.677</v>
      </c>
      <c r="C33" s="25">
        <v>0</v>
      </c>
      <c r="D33" s="25">
        <v>0</v>
      </c>
      <c r="E33" s="16">
        <f t="shared" si="0"/>
        <v>0.15708482915929384</v>
      </c>
      <c r="F33" s="16">
        <f t="shared" si="1"/>
        <v>0.53919065253195664</v>
      </c>
      <c r="G33" s="16">
        <f t="shared" si="2"/>
        <v>0.46080934746804336</v>
      </c>
      <c r="H33" s="16">
        <f t="shared" si="3"/>
        <v>-0.77477088450228604</v>
      </c>
    </row>
    <row r="34" spans="1:8" ht="15.75" x14ac:dyDescent="0.25">
      <c r="A34" s="25">
        <v>30</v>
      </c>
      <c r="B34" s="24">
        <v>2.2290000000000001</v>
      </c>
      <c r="C34" s="25">
        <v>0</v>
      </c>
      <c r="D34" s="25">
        <v>1</v>
      </c>
      <c r="E34" s="16">
        <f t="shared" si="0"/>
        <v>0.19854171854355521</v>
      </c>
      <c r="F34" s="16">
        <f t="shared" si="1"/>
        <v>0.54947302231552686</v>
      </c>
      <c r="G34" s="16">
        <f t="shared" si="2"/>
        <v>0.54947302231552686</v>
      </c>
      <c r="H34" s="16">
        <f t="shared" si="3"/>
        <v>-0.59879560131085241</v>
      </c>
    </row>
    <row r="35" spans="1:8" ht="15.75" x14ac:dyDescent="0.25">
      <c r="A35" s="23">
        <v>31</v>
      </c>
      <c r="B35" s="24">
        <v>1.1379999999999999</v>
      </c>
      <c r="C35" s="25">
        <v>0</v>
      </c>
      <c r="D35" s="25">
        <v>0</v>
      </c>
      <c r="E35" s="16">
        <f t="shared" si="0"/>
        <v>0.11660427956125598</v>
      </c>
      <c r="F35" s="16">
        <f t="shared" si="1"/>
        <v>0.52911808521964732</v>
      </c>
      <c r="G35" s="16">
        <f t="shared" si="2"/>
        <v>0.47088191478035268</v>
      </c>
      <c r="H35" s="16">
        <f t="shared" si="3"/>
        <v>-0.75314792811815268</v>
      </c>
    </row>
    <row r="36" spans="1:8" ht="15.75" x14ac:dyDescent="0.25">
      <c r="A36" s="23">
        <v>32</v>
      </c>
      <c r="B36" s="24">
        <v>2.9329999999999998</v>
      </c>
      <c r="C36" s="25">
        <v>1</v>
      </c>
      <c r="D36" s="25">
        <v>0</v>
      </c>
      <c r="E36" s="16">
        <f t="shared" si="0"/>
        <v>0.48838461566087205</v>
      </c>
      <c r="F36" s="16">
        <f t="shared" si="1"/>
        <v>0.61972581531027682</v>
      </c>
      <c r="G36" s="16">
        <f t="shared" si="2"/>
        <v>0.38027418468972318</v>
      </c>
      <c r="H36" s="16">
        <f t="shared" si="3"/>
        <v>-0.96686274778840864</v>
      </c>
    </row>
    <row r="37" spans="1:8" ht="15.75" x14ac:dyDescent="0.25">
      <c r="A37" s="25">
        <v>33</v>
      </c>
      <c r="B37" s="24">
        <v>5.3650000000000002</v>
      </c>
      <c r="C37" s="25">
        <v>1</v>
      </c>
      <c r="D37" s="25">
        <v>1</v>
      </c>
      <c r="E37" s="16">
        <f t="shared" si="0"/>
        <v>0.67103525874515402</v>
      </c>
      <c r="F37" s="16">
        <f t="shared" si="1"/>
        <v>0.66173493218284674</v>
      </c>
      <c r="G37" s="16">
        <f t="shared" si="2"/>
        <v>0.66173493218284674</v>
      </c>
      <c r="H37" s="16">
        <f t="shared" si="3"/>
        <v>-0.41289020778607161</v>
      </c>
    </row>
    <row r="38" spans="1:8" ht="15.75" x14ac:dyDescent="0.25">
      <c r="A38" s="23">
        <v>34</v>
      </c>
      <c r="B38" s="24">
        <v>5.3650000000000002</v>
      </c>
      <c r="C38" s="25">
        <v>0</v>
      </c>
      <c r="D38" s="25">
        <v>0</v>
      </c>
      <c r="E38" s="16">
        <f t="shared" si="0"/>
        <v>0.43406491620486626</v>
      </c>
      <c r="F38" s="16">
        <f t="shared" si="1"/>
        <v>0.6068439139891656</v>
      </c>
      <c r="G38" s="16">
        <f t="shared" si="2"/>
        <v>0.3931560860108344</v>
      </c>
      <c r="H38" s="16">
        <f t="shared" si="3"/>
        <v>-0.93354858054021472</v>
      </c>
    </row>
    <row r="39" spans="1:8" ht="15.75" x14ac:dyDescent="0.25">
      <c r="A39" s="23">
        <v>35</v>
      </c>
      <c r="B39" s="24">
        <v>6.1790000000000003</v>
      </c>
      <c r="C39" s="25">
        <v>0</v>
      </c>
      <c r="D39" s="25">
        <v>0</v>
      </c>
      <c r="E39" s="16">
        <f t="shared" si="0"/>
        <v>0.49519880743455602</v>
      </c>
      <c r="F39" s="16">
        <f t="shared" si="1"/>
        <v>0.62133037152187798</v>
      </c>
      <c r="G39" s="16">
        <f t="shared" si="2"/>
        <v>0.37866962847812202</v>
      </c>
      <c r="H39" s="16">
        <f t="shared" si="3"/>
        <v>-0.97109114671455787</v>
      </c>
    </row>
    <row r="40" spans="1:8" ht="15.75" x14ac:dyDescent="0.25">
      <c r="A40" s="25">
        <v>36</v>
      </c>
      <c r="B40" s="24">
        <v>1.98</v>
      </c>
      <c r="C40" s="25">
        <v>1</v>
      </c>
      <c r="D40" s="25">
        <v>0</v>
      </c>
      <c r="E40" s="16">
        <f t="shared" si="0"/>
        <v>0.41681139902463815</v>
      </c>
      <c r="F40" s="16">
        <f t="shared" si="1"/>
        <v>0.60271999445455327</v>
      </c>
      <c r="G40" s="16">
        <f t="shared" si="2"/>
        <v>0.39728000554544673</v>
      </c>
      <c r="H40" s="16">
        <f t="shared" si="3"/>
        <v>-0.92311394326374585</v>
      </c>
    </row>
    <row r="41" spans="1:8" ht="15.75" x14ac:dyDescent="0.25">
      <c r="A41" s="23">
        <v>37</v>
      </c>
      <c r="B41" s="24">
        <v>1.0580000000000001</v>
      </c>
      <c r="C41" s="25">
        <v>1</v>
      </c>
      <c r="D41" s="25">
        <v>0</v>
      </c>
      <c r="E41" s="16">
        <f t="shared" si="0"/>
        <v>0.34756637726324507</v>
      </c>
      <c r="F41" s="16">
        <f t="shared" si="1"/>
        <v>0.58602730760857291</v>
      </c>
      <c r="G41" s="16">
        <f t="shared" si="2"/>
        <v>0.41397269239142709</v>
      </c>
      <c r="H41" s="16">
        <f t="shared" si="3"/>
        <v>-0.88195526773948696</v>
      </c>
    </row>
    <row r="42" spans="1:8" ht="15.75" x14ac:dyDescent="0.25">
      <c r="A42" s="23">
        <v>38</v>
      </c>
      <c r="B42" s="24">
        <v>6.851</v>
      </c>
      <c r="C42" s="25">
        <v>1</v>
      </c>
      <c r="D42" s="25">
        <v>1</v>
      </c>
      <c r="E42" s="16">
        <f t="shared" si="0"/>
        <v>0.78263840661655326</v>
      </c>
      <c r="F42" s="16">
        <f t="shared" si="1"/>
        <v>0.68624847220298602</v>
      </c>
      <c r="G42" s="16">
        <f t="shared" si="2"/>
        <v>0.68624847220298602</v>
      </c>
      <c r="H42" s="16">
        <f t="shared" si="3"/>
        <v>-0.37651551245889159</v>
      </c>
    </row>
    <row r="43" spans="1:8" ht="15.75" x14ac:dyDescent="0.25">
      <c r="A43" s="25">
        <v>39</v>
      </c>
      <c r="B43" s="24">
        <v>1.1240000000000001</v>
      </c>
      <c r="C43" s="25">
        <v>0</v>
      </c>
      <c r="D43" s="25">
        <v>0</v>
      </c>
      <c r="E43" s="16">
        <f t="shared" si="0"/>
        <v>0.11555283671455371</v>
      </c>
      <c r="F43" s="16">
        <f t="shared" si="1"/>
        <v>0.52885610799077909</v>
      </c>
      <c r="G43" s="16">
        <f t="shared" si="2"/>
        <v>0.47114389200922091</v>
      </c>
      <c r="H43" s="16">
        <f t="shared" si="3"/>
        <v>-0.75259172841803024</v>
      </c>
    </row>
    <row r="44" spans="1:8" ht="15.75" x14ac:dyDescent="0.25">
      <c r="A44" s="23">
        <v>40</v>
      </c>
      <c r="B44" s="24">
        <v>1.911</v>
      </c>
      <c r="C44" s="25">
        <v>0</v>
      </c>
      <c r="D44" s="25">
        <v>0</v>
      </c>
      <c r="E44" s="16">
        <f t="shared" si="0"/>
        <v>0.17465894531131768</v>
      </c>
      <c r="F44" s="16">
        <f t="shared" si="1"/>
        <v>0.54355407178877035</v>
      </c>
      <c r="G44" s="16">
        <f t="shared" si="2"/>
        <v>0.45644592821122965</v>
      </c>
      <c r="H44" s="16">
        <f t="shared" si="3"/>
        <v>-0.78428503456899179</v>
      </c>
    </row>
    <row r="45" spans="1:8" ht="15.75" x14ac:dyDescent="0.25">
      <c r="A45" s="23">
        <v>41</v>
      </c>
      <c r="B45" s="24">
        <v>3.2530000000000001</v>
      </c>
      <c r="C45" s="25">
        <v>0</v>
      </c>
      <c r="D45" s="25">
        <v>0</v>
      </c>
      <c r="E45" s="16">
        <f t="shared" si="0"/>
        <v>0.27544725247377921</v>
      </c>
      <c r="F45" s="16">
        <f t="shared" si="1"/>
        <v>0.56842970563750728</v>
      </c>
      <c r="G45" s="16">
        <f t="shared" si="2"/>
        <v>0.43157029436249272</v>
      </c>
      <c r="H45" s="16">
        <f t="shared" si="3"/>
        <v>-0.84032487474511264</v>
      </c>
    </row>
    <row r="46" spans="1:8" ht="15.75" x14ac:dyDescent="0.25">
      <c r="A46" s="25">
        <v>42</v>
      </c>
      <c r="B46" s="24">
        <v>1.839</v>
      </c>
      <c r="C46" s="25">
        <v>0</v>
      </c>
      <c r="D46" s="25">
        <v>0</v>
      </c>
      <c r="E46" s="16">
        <f t="shared" si="0"/>
        <v>0.16925152495684878</v>
      </c>
      <c r="F46" s="16">
        <f t="shared" si="1"/>
        <v>0.54221216157455243</v>
      </c>
      <c r="G46" s="16">
        <f t="shared" si="2"/>
        <v>0.45778783842544757</v>
      </c>
      <c r="H46" s="16">
        <f t="shared" si="3"/>
        <v>-0.78134943707331028</v>
      </c>
    </row>
    <row r="47" spans="1:8" ht="15.75" x14ac:dyDescent="0.25">
      <c r="A47" s="23">
        <v>43</v>
      </c>
      <c r="B47" s="24">
        <v>1.657</v>
      </c>
      <c r="C47" s="25">
        <v>1</v>
      </c>
      <c r="D47" s="25">
        <v>0</v>
      </c>
      <c r="E47" s="16">
        <f t="shared" si="0"/>
        <v>0.39255311049000696</v>
      </c>
      <c r="F47" s="16">
        <f t="shared" si="1"/>
        <v>0.59689715729050086</v>
      </c>
      <c r="G47" s="16">
        <f t="shared" si="2"/>
        <v>0.40310284270949914</v>
      </c>
      <c r="H47" s="16">
        <f t="shared" si="3"/>
        <v>-0.90856355676406375</v>
      </c>
    </row>
    <row r="48" spans="1:8" ht="15.75" x14ac:dyDescent="0.25">
      <c r="A48" s="23">
        <v>44</v>
      </c>
      <c r="B48" s="24">
        <v>1.075</v>
      </c>
      <c r="C48" s="25">
        <v>0</v>
      </c>
      <c r="D48" s="25">
        <v>0</v>
      </c>
      <c r="E48" s="16">
        <f t="shared" si="0"/>
        <v>0.11187278675109572</v>
      </c>
      <c r="F48" s="16">
        <f t="shared" si="1"/>
        <v>0.52793906343762365</v>
      </c>
      <c r="G48" s="16">
        <f t="shared" si="2"/>
        <v>0.47206093656237635</v>
      </c>
      <c r="H48" s="16">
        <f t="shared" si="3"/>
        <v>-0.75064719884325148</v>
      </c>
    </row>
    <row r="49" spans="1:8" ht="15.75" x14ac:dyDescent="0.25">
      <c r="A49" s="25">
        <v>45</v>
      </c>
      <c r="B49" s="24">
        <v>3.5659999999999998</v>
      </c>
      <c r="C49" s="25">
        <v>0</v>
      </c>
      <c r="D49" s="25">
        <v>0</v>
      </c>
      <c r="E49" s="16">
        <f t="shared" si="0"/>
        <v>0.29895451040362309</v>
      </c>
      <c r="F49" s="16">
        <f t="shared" si="1"/>
        <v>0.57418691832037672</v>
      </c>
      <c r="G49" s="16">
        <f t="shared" si="2"/>
        <v>0.42581308167962328</v>
      </c>
      <c r="H49" s="16">
        <f t="shared" si="3"/>
        <v>-0.85375480440280527</v>
      </c>
    </row>
    <row r="50" spans="1:8" ht="15.75" x14ac:dyDescent="0.25">
      <c r="A50" s="23">
        <v>46</v>
      </c>
      <c r="B50" s="24">
        <v>2.1179999999999999</v>
      </c>
      <c r="C50" s="25">
        <v>0</v>
      </c>
      <c r="D50" s="25">
        <v>0</v>
      </c>
      <c r="E50" s="16">
        <f t="shared" si="0"/>
        <v>0.19020527883041569</v>
      </c>
      <c r="F50" s="16">
        <f t="shared" si="1"/>
        <v>0.54740847696822514</v>
      </c>
      <c r="G50" s="16">
        <f t="shared" si="2"/>
        <v>0.45259152303177486</v>
      </c>
      <c r="H50" s="16">
        <f t="shared" si="3"/>
        <v>-0.79276527545042164</v>
      </c>
    </row>
    <row r="51" spans="1:8" ht="15.75" x14ac:dyDescent="0.25">
      <c r="A51" s="23">
        <v>47</v>
      </c>
      <c r="B51" s="24">
        <v>1.554</v>
      </c>
      <c r="C51" s="25">
        <v>1</v>
      </c>
      <c r="D51" s="25">
        <v>0</v>
      </c>
      <c r="E51" s="16">
        <f t="shared" si="0"/>
        <v>0.38481749526069731</v>
      </c>
      <c r="F51" s="16">
        <f t="shared" si="1"/>
        <v>0.5950344967458755</v>
      </c>
      <c r="G51" s="16">
        <f t="shared" si="2"/>
        <v>0.4049655032541245</v>
      </c>
      <c r="H51" s="16">
        <f t="shared" si="3"/>
        <v>-0.90395339265368724</v>
      </c>
    </row>
    <row r="52" spans="1:8" ht="15.75" x14ac:dyDescent="0.25">
      <c r="A52" s="25">
        <v>48</v>
      </c>
      <c r="B52" s="24">
        <v>4.6310000000000002</v>
      </c>
      <c r="C52" s="25">
        <v>0</v>
      </c>
      <c r="D52" s="25">
        <v>0</v>
      </c>
      <c r="E52" s="16">
        <f t="shared" si="0"/>
        <v>0.3789392698134752</v>
      </c>
      <c r="F52" s="16">
        <f t="shared" si="1"/>
        <v>0.59361724225796386</v>
      </c>
      <c r="G52" s="16">
        <f t="shared" si="2"/>
        <v>0.40638275774203614</v>
      </c>
      <c r="H52" s="16">
        <f t="shared" si="3"/>
        <v>-0.90045981043376366</v>
      </c>
    </row>
    <row r="53" spans="1:8" ht="15.75" x14ac:dyDescent="0.25">
      <c r="A53" s="23">
        <v>49</v>
      </c>
      <c r="B53" s="24">
        <v>4.3449999999999998</v>
      </c>
      <c r="C53" s="25">
        <v>1</v>
      </c>
      <c r="D53" s="25">
        <v>1</v>
      </c>
      <c r="E53" s="16">
        <f t="shared" si="0"/>
        <v>0.594430137056845</v>
      </c>
      <c r="F53" s="16">
        <f t="shared" si="1"/>
        <v>0.64438097800447736</v>
      </c>
      <c r="G53" s="16">
        <f t="shared" si="2"/>
        <v>0.64438097800447736</v>
      </c>
      <c r="H53" s="16">
        <f t="shared" si="3"/>
        <v>-0.43946514704040185</v>
      </c>
    </row>
    <row r="54" spans="1:8" ht="15.75" x14ac:dyDescent="0.25">
      <c r="A54" s="23">
        <v>50</v>
      </c>
      <c r="B54" s="24">
        <v>4.0039999999999996</v>
      </c>
      <c r="C54" s="25">
        <v>1</v>
      </c>
      <c r="D54" s="25">
        <v>1</v>
      </c>
      <c r="E54" s="16">
        <f t="shared" si="0"/>
        <v>0.56881999343359646</v>
      </c>
      <c r="F54" s="16">
        <f t="shared" si="1"/>
        <v>0.63849085023255614</v>
      </c>
      <c r="G54" s="16">
        <f t="shared" si="2"/>
        <v>0.63849085023255614</v>
      </c>
      <c r="H54" s="16">
        <f t="shared" si="3"/>
        <v>-0.44864793371001765</v>
      </c>
    </row>
    <row r="55" spans="1:8" ht="15.75" x14ac:dyDescent="0.25">
      <c r="A55" s="25">
        <v>51</v>
      </c>
      <c r="B55" s="24">
        <v>1.0680000000000001</v>
      </c>
      <c r="C55" s="25">
        <v>1</v>
      </c>
      <c r="D55" s="25">
        <v>1</v>
      </c>
      <c r="E55" s="16">
        <f t="shared" si="0"/>
        <v>0.34831740786803239</v>
      </c>
      <c r="F55" s="16">
        <f t="shared" si="1"/>
        <v>0.58620949532977884</v>
      </c>
      <c r="G55" s="16">
        <f t="shared" si="2"/>
        <v>0.58620949532977884</v>
      </c>
      <c r="H55" s="16">
        <f t="shared" si="3"/>
        <v>-0.53407805273046183</v>
      </c>
    </row>
    <row r="56" spans="1:8" ht="15.75" x14ac:dyDescent="0.25">
      <c r="A56" s="23">
        <v>52</v>
      </c>
      <c r="B56" s="24">
        <v>2.4209999999999998</v>
      </c>
      <c r="C56" s="25">
        <v>0</v>
      </c>
      <c r="D56" s="25">
        <v>0</v>
      </c>
      <c r="E56" s="16">
        <f t="shared" si="0"/>
        <v>0.21296150615547219</v>
      </c>
      <c r="F56" s="16">
        <f t="shared" si="1"/>
        <v>0.55304006913056059</v>
      </c>
      <c r="G56" s="16">
        <f t="shared" si="2"/>
        <v>0.44695993086943941</v>
      </c>
      <c r="H56" s="16">
        <f t="shared" si="3"/>
        <v>-0.80528632849959425</v>
      </c>
    </row>
    <row r="57" spans="1:8" ht="15.75" x14ac:dyDescent="0.25">
      <c r="A57" s="23">
        <v>53</v>
      </c>
      <c r="B57" s="24">
        <v>4.4139999999999997</v>
      </c>
      <c r="C57" s="25">
        <v>0</v>
      </c>
      <c r="D57" s="25">
        <v>0</v>
      </c>
      <c r="E57" s="16">
        <f t="shared" si="0"/>
        <v>0.36264190568958982</v>
      </c>
      <c r="F57" s="16">
        <f t="shared" si="1"/>
        <v>0.58967981414990944</v>
      </c>
      <c r="G57" s="16">
        <f t="shared" si="2"/>
        <v>0.41032018585009056</v>
      </c>
      <c r="H57" s="16">
        <f t="shared" si="3"/>
        <v>-0.89081748296183649</v>
      </c>
    </row>
    <row r="58" spans="1:8" ht="15.75" x14ac:dyDescent="0.25">
      <c r="A58" s="25">
        <v>54</v>
      </c>
      <c r="B58" s="24">
        <v>3.3860000000000001</v>
      </c>
      <c r="C58" s="25">
        <v>1</v>
      </c>
      <c r="D58" s="25">
        <v>1</v>
      </c>
      <c r="E58" s="16">
        <f t="shared" si="0"/>
        <v>0.52240630205773875</v>
      </c>
      <c r="F58" s="16">
        <f t="shared" si="1"/>
        <v>0.62771026784222228</v>
      </c>
      <c r="G58" s="16">
        <f t="shared" si="2"/>
        <v>0.62771026784222228</v>
      </c>
      <c r="H58" s="16">
        <f t="shared" si="3"/>
        <v>-0.46567657591093214</v>
      </c>
    </row>
    <row r="59" spans="1:8" ht="15.75" x14ac:dyDescent="0.25">
      <c r="A59" s="23">
        <v>55</v>
      </c>
      <c r="B59" s="24">
        <v>1.677</v>
      </c>
      <c r="C59" s="25">
        <v>1</v>
      </c>
      <c r="D59" s="25">
        <v>0</v>
      </c>
      <c r="E59" s="16">
        <f t="shared" si="0"/>
        <v>0.39405517169958165</v>
      </c>
      <c r="F59" s="16">
        <f t="shared" si="1"/>
        <v>0.59725851698923438</v>
      </c>
      <c r="G59" s="16">
        <f t="shared" si="2"/>
        <v>0.40274148301076562</v>
      </c>
      <c r="H59" s="16">
        <f t="shared" si="3"/>
        <v>-0.90946040423551988</v>
      </c>
    </row>
    <row r="60" spans="1:8" ht="15.75" x14ac:dyDescent="0.25">
      <c r="A60" s="23">
        <v>56</v>
      </c>
      <c r="B60" s="24">
        <v>2.0499999999999998</v>
      </c>
      <c r="C60" s="25">
        <v>1</v>
      </c>
      <c r="D60" s="25">
        <v>1</v>
      </c>
      <c r="E60" s="16">
        <f t="shared" si="0"/>
        <v>0.42206861325814954</v>
      </c>
      <c r="F60" s="16">
        <f t="shared" si="1"/>
        <v>0.60397814473171629</v>
      </c>
      <c r="G60" s="16">
        <f t="shared" si="2"/>
        <v>0.60397814473171629</v>
      </c>
      <c r="H60" s="16">
        <f t="shared" si="3"/>
        <v>-0.50421726592099947</v>
      </c>
    </row>
    <row r="61" spans="1:8" ht="15.75" x14ac:dyDescent="0.25">
      <c r="A61" s="25">
        <v>57</v>
      </c>
      <c r="B61" s="24">
        <v>2.323</v>
      </c>
      <c r="C61" s="25">
        <v>1</v>
      </c>
      <c r="D61" s="25">
        <v>1</v>
      </c>
      <c r="E61" s="16">
        <f t="shared" si="0"/>
        <v>0.44257174876884403</v>
      </c>
      <c r="F61" s="16">
        <f t="shared" si="1"/>
        <v>0.60887165609577898</v>
      </c>
      <c r="G61" s="16">
        <f t="shared" si="2"/>
        <v>0.60887165609577898</v>
      </c>
      <c r="H61" s="16">
        <f t="shared" si="3"/>
        <v>-0.49614777880928507</v>
      </c>
    </row>
    <row r="62" spans="1:8" ht="15.75" x14ac:dyDescent="0.25">
      <c r="A62" s="23">
        <v>58</v>
      </c>
      <c r="B62" s="24">
        <v>5.5010000000000003</v>
      </c>
      <c r="C62" s="25">
        <v>0</v>
      </c>
      <c r="D62" s="25">
        <v>0</v>
      </c>
      <c r="E62" s="16">
        <f t="shared" si="0"/>
        <v>0.44427893242997413</v>
      </c>
      <c r="F62" s="16">
        <f t="shared" si="1"/>
        <v>0.60927814104949685</v>
      </c>
      <c r="G62" s="16">
        <f t="shared" si="2"/>
        <v>0.39072185895050315</v>
      </c>
      <c r="H62" s="16">
        <f t="shared" si="3"/>
        <v>-0.93975933031491354</v>
      </c>
    </row>
    <row r="63" spans="1:8" ht="15.75" x14ac:dyDescent="0.25">
      <c r="A63" s="23">
        <v>59</v>
      </c>
      <c r="B63" s="24">
        <v>3.3450000000000002</v>
      </c>
      <c r="C63" s="25">
        <v>0</v>
      </c>
      <c r="D63" s="25">
        <v>1</v>
      </c>
      <c r="E63" s="16">
        <f t="shared" si="0"/>
        <v>0.2823567340378228</v>
      </c>
      <c r="F63" s="16">
        <f t="shared" si="1"/>
        <v>0.57012391373487692</v>
      </c>
      <c r="G63" s="16">
        <f t="shared" si="2"/>
        <v>0.57012391373487692</v>
      </c>
      <c r="H63" s="16">
        <f t="shared" si="3"/>
        <v>-0.56190154926254254</v>
      </c>
    </row>
    <row r="64" spans="1:8" ht="15.75" x14ac:dyDescent="0.25">
      <c r="A64" s="25">
        <v>60</v>
      </c>
      <c r="B64" s="24">
        <v>3.3180000000000001</v>
      </c>
      <c r="C64" s="25">
        <v>1</v>
      </c>
      <c r="D64" s="25">
        <v>1</v>
      </c>
      <c r="E64" s="16">
        <f t="shared" si="0"/>
        <v>0.51729929394518481</v>
      </c>
      <c r="F64" s="16">
        <f t="shared" si="1"/>
        <v>0.62651603436539594</v>
      </c>
      <c r="G64" s="16">
        <f t="shared" si="2"/>
        <v>0.62651603436539594</v>
      </c>
      <c r="H64" s="16">
        <f t="shared" si="3"/>
        <v>-0.46758091141343433</v>
      </c>
    </row>
    <row r="65" spans="1:8" ht="15.75" x14ac:dyDescent="0.25">
      <c r="A65" s="23">
        <v>61</v>
      </c>
      <c r="B65" s="24">
        <v>4.7210000000000001</v>
      </c>
      <c r="C65" s="25">
        <v>0</v>
      </c>
      <c r="D65" s="25">
        <v>1</v>
      </c>
      <c r="E65" s="16">
        <f t="shared" si="0"/>
        <v>0.38569854525656128</v>
      </c>
      <c r="F65" s="16">
        <f t="shared" si="1"/>
        <v>0.59524678420425081</v>
      </c>
      <c r="G65" s="16">
        <f t="shared" si="2"/>
        <v>0.59524678420425081</v>
      </c>
      <c r="H65" s="16">
        <f t="shared" si="3"/>
        <v>-0.51877919605856815</v>
      </c>
    </row>
    <row r="66" spans="1:8" ht="15.75" x14ac:dyDescent="0.25">
      <c r="A66" s="23">
        <v>62</v>
      </c>
      <c r="B66" s="24">
        <v>1.6619999999999999</v>
      </c>
      <c r="C66" s="25">
        <v>0</v>
      </c>
      <c r="D66" s="25">
        <v>1</v>
      </c>
      <c r="E66" s="16">
        <f t="shared" si="0"/>
        <v>0.15595828325211281</v>
      </c>
      <c r="F66" s="16">
        <f t="shared" si="1"/>
        <v>0.53891073399636424</v>
      </c>
      <c r="G66" s="16">
        <f t="shared" si="2"/>
        <v>0.53891073399636424</v>
      </c>
      <c r="H66" s="16">
        <f t="shared" si="3"/>
        <v>-0.61820533589560134</v>
      </c>
    </row>
    <row r="67" spans="1:8" ht="15.75" x14ac:dyDescent="0.25">
      <c r="A67" s="25">
        <v>63</v>
      </c>
      <c r="B67" s="24">
        <v>2.9359999999999999</v>
      </c>
      <c r="C67" s="25">
        <v>1</v>
      </c>
      <c r="D67" s="25">
        <v>0</v>
      </c>
      <c r="E67" s="16">
        <f t="shared" si="0"/>
        <v>0.4886099248423082</v>
      </c>
      <c r="F67" s="16">
        <f t="shared" si="1"/>
        <v>0.61977891153029152</v>
      </c>
      <c r="G67" s="16">
        <f t="shared" si="2"/>
        <v>0.38022108846970848</v>
      </c>
      <c r="H67" s="16">
        <f t="shared" si="3"/>
        <v>-0.96700238368615821</v>
      </c>
    </row>
    <row r="68" spans="1:8" ht="15.75" x14ac:dyDescent="0.25">
      <c r="A68" s="23">
        <v>64</v>
      </c>
      <c r="B68" s="24">
        <v>2.0489999999999999</v>
      </c>
      <c r="C68" s="25">
        <v>0</v>
      </c>
      <c r="D68" s="25">
        <v>0</v>
      </c>
      <c r="E68" s="16">
        <f t="shared" si="0"/>
        <v>0.185023167657383</v>
      </c>
      <c r="F68" s="16">
        <f t="shared" si="1"/>
        <v>0.54612428367823951</v>
      </c>
      <c r="G68" s="16">
        <f t="shared" si="2"/>
        <v>0.45387571632176049</v>
      </c>
      <c r="H68" s="16">
        <f t="shared" si="3"/>
        <v>-0.7899318710131118</v>
      </c>
    </row>
    <row r="69" spans="1:8" ht="15.75" x14ac:dyDescent="0.25">
      <c r="A69" s="23">
        <v>65</v>
      </c>
      <c r="B69" s="24">
        <v>2.3130000000000002</v>
      </c>
      <c r="C69" s="25">
        <v>0</v>
      </c>
      <c r="D69" s="25">
        <v>1</v>
      </c>
      <c r="E69" s="16">
        <f t="shared" si="0"/>
        <v>0.2048503756237689</v>
      </c>
      <c r="F69" s="16">
        <f t="shared" si="1"/>
        <v>0.55103425319194677</v>
      </c>
      <c r="G69" s="16">
        <f t="shared" si="2"/>
        <v>0.55103425319194677</v>
      </c>
      <c r="H69" s="16">
        <f t="shared" si="3"/>
        <v>-0.59595830625879165</v>
      </c>
    </row>
    <row r="70" spans="1:8" ht="15.75" x14ac:dyDescent="0.25">
      <c r="A70" s="25">
        <v>66</v>
      </c>
      <c r="B70" s="24">
        <v>6.851</v>
      </c>
      <c r="C70" s="25">
        <v>0</v>
      </c>
      <c r="D70" s="25">
        <v>0</v>
      </c>
      <c r="E70" s="16">
        <f t="shared" ref="E70:E104" si="4">$A$3+SUMPRODUCT($B$3:$C$3,B70:C70)</f>
        <v>0.54566806407626545</v>
      </c>
      <c r="F70" s="16">
        <f t="shared" ref="F70:F104" si="5">EXP(E70)/(1+EXP(E70))</f>
        <v>0.63312996600384841</v>
      </c>
      <c r="G70" s="16">
        <f t="shared" ref="G70:G104" si="6">IF(D70=1,F70,1-F70)</f>
        <v>0.36687003399615159</v>
      </c>
      <c r="H70" s="16">
        <f t="shared" ref="H70:H104" si="7">LN(G70)</f>
        <v>-1.0027476244473632</v>
      </c>
    </row>
    <row r="71" spans="1:8" ht="15.75" x14ac:dyDescent="0.25">
      <c r="A71" s="23">
        <v>67</v>
      </c>
      <c r="B71" s="24">
        <v>2.2909999999999999</v>
      </c>
      <c r="C71" s="25">
        <v>0</v>
      </c>
      <c r="D71" s="25">
        <v>0</v>
      </c>
      <c r="E71" s="16">
        <f t="shared" si="4"/>
        <v>0.20319810829323673</v>
      </c>
      <c r="F71" s="16">
        <f t="shared" si="5"/>
        <v>0.55062545530356477</v>
      </c>
      <c r="G71" s="16">
        <f t="shared" si="6"/>
        <v>0.44937454469643523</v>
      </c>
      <c r="H71" s="16">
        <f t="shared" si="7"/>
        <v>-0.79989856370025103</v>
      </c>
    </row>
    <row r="72" spans="1:8" ht="15.75" x14ac:dyDescent="0.25">
      <c r="A72" s="23">
        <v>68</v>
      </c>
      <c r="B72" s="24">
        <v>3.47</v>
      </c>
      <c r="C72" s="25">
        <v>1</v>
      </c>
      <c r="D72" s="25">
        <v>1</v>
      </c>
      <c r="E72" s="16">
        <f t="shared" si="4"/>
        <v>0.52871495913795241</v>
      </c>
      <c r="F72" s="16">
        <f t="shared" si="5"/>
        <v>0.62918334675098686</v>
      </c>
      <c r="G72" s="16">
        <f t="shared" si="6"/>
        <v>0.62918334675098686</v>
      </c>
      <c r="H72" s="16">
        <f t="shared" si="7"/>
        <v>-0.46333257548619072</v>
      </c>
    </row>
    <row r="73" spans="1:8" ht="15.75" x14ac:dyDescent="0.25">
      <c r="A73" s="25">
        <v>69</v>
      </c>
      <c r="B73" s="24">
        <v>3.2530000000000001</v>
      </c>
      <c r="C73" s="25">
        <v>0</v>
      </c>
      <c r="D73" s="25">
        <v>0</v>
      </c>
      <c r="E73" s="16">
        <f t="shared" si="4"/>
        <v>0.27544725247377921</v>
      </c>
      <c r="F73" s="16">
        <f t="shared" si="5"/>
        <v>0.56842970563750728</v>
      </c>
      <c r="G73" s="16">
        <f t="shared" si="6"/>
        <v>0.43157029436249272</v>
      </c>
      <c r="H73" s="16">
        <f t="shared" si="7"/>
        <v>-0.84032487474511264</v>
      </c>
    </row>
    <row r="74" spans="1:8" ht="15.75" x14ac:dyDescent="0.25">
      <c r="A74" s="23">
        <v>70</v>
      </c>
      <c r="B74" s="24">
        <v>2.0590000000000002</v>
      </c>
      <c r="C74" s="25">
        <v>0</v>
      </c>
      <c r="D74" s="25">
        <v>0</v>
      </c>
      <c r="E74" s="16">
        <f t="shared" si="4"/>
        <v>0.18577419826217037</v>
      </c>
      <c r="F74" s="16">
        <f t="shared" si="5"/>
        <v>0.54631043709247451</v>
      </c>
      <c r="G74" s="16">
        <f t="shared" si="6"/>
        <v>0.45368956290752549</v>
      </c>
      <c r="H74" s="16">
        <f t="shared" si="7"/>
        <v>-0.79034209696843627</v>
      </c>
    </row>
    <row r="75" spans="1:8" ht="15.75" x14ac:dyDescent="0.25">
      <c r="A75" s="23">
        <v>71</v>
      </c>
      <c r="B75" s="24">
        <v>2.6779999999999999</v>
      </c>
      <c r="C75" s="25">
        <v>1</v>
      </c>
      <c r="D75" s="25">
        <v>1</v>
      </c>
      <c r="E75" s="16">
        <f t="shared" si="4"/>
        <v>0.46923333523879479</v>
      </c>
      <c r="F75" s="16">
        <f t="shared" si="5"/>
        <v>0.61520228107959229</v>
      </c>
      <c r="G75" s="16">
        <f t="shared" si="6"/>
        <v>0.61520228107959229</v>
      </c>
      <c r="H75" s="16">
        <f t="shared" si="7"/>
        <v>-0.48580415293087947</v>
      </c>
    </row>
    <row r="76" spans="1:8" ht="15.75" x14ac:dyDescent="0.25">
      <c r="A76" s="25">
        <v>72</v>
      </c>
      <c r="B76" s="24">
        <v>2.323</v>
      </c>
      <c r="C76" s="25">
        <v>1</v>
      </c>
      <c r="D76" s="25">
        <v>0</v>
      </c>
      <c r="E76" s="16">
        <f t="shared" si="4"/>
        <v>0.44257174876884403</v>
      </c>
      <c r="F76" s="16">
        <f t="shared" si="5"/>
        <v>0.60887165609577898</v>
      </c>
      <c r="G76" s="16">
        <f t="shared" si="6"/>
        <v>0.39112834390422102</v>
      </c>
      <c r="H76" s="16">
        <f t="shared" si="7"/>
        <v>-0.93871952757812926</v>
      </c>
    </row>
    <row r="77" spans="1:8" ht="15.75" x14ac:dyDescent="0.25">
      <c r="A77" s="23">
        <v>73</v>
      </c>
      <c r="B77" s="24">
        <v>1.8779999999999999</v>
      </c>
      <c r="C77" s="25">
        <v>1</v>
      </c>
      <c r="D77" s="25">
        <v>0</v>
      </c>
      <c r="E77" s="16">
        <f t="shared" si="4"/>
        <v>0.40915088685580725</v>
      </c>
      <c r="F77" s="16">
        <f t="shared" si="5"/>
        <v>0.60088425997971695</v>
      </c>
      <c r="G77" s="16">
        <f t="shared" si="6"/>
        <v>0.39911574002028305</v>
      </c>
      <c r="H77" s="16">
        <f t="shared" si="7"/>
        <v>-0.91850382891715687</v>
      </c>
    </row>
    <row r="78" spans="1:8" ht="15.75" x14ac:dyDescent="0.25">
      <c r="A78" s="23">
        <v>74</v>
      </c>
      <c r="B78" s="24">
        <v>2.6779999999999999</v>
      </c>
      <c r="C78" s="25">
        <v>1</v>
      </c>
      <c r="D78" s="25">
        <v>1</v>
      </c>
      <c r="E78" s="16">
        <f t="shared" si="4"/>
        <v>0.46923333523879479</v>
      </c>
      <c r="F78" s="16">
        <f t="shared" si="5"/>
        <v>0.61520228107959229</v>
      </c>
      <c r="G78" s="16">
        <f t="shared" si="6"/>
        <v>0.61520228107959229</v>
      </c>
      <c r="H78" s="16">
        <f t="shared" si="7"/>
        <v>-0.48580415293087947</v>
      </c>
    </row>
    <row r="79" spans="1:8" ht="15.75" x14ac:dyDescent="0.25">
      <c r="A79" s="25">
        <v>75</v>
      </c>
      <c r="B79" s="24">
        <v>6.1790000000000003</v>
      </c>
      <c r="C79" s="25">
        <v>1</v>
      </c>
      <c r="D79" s="25">
        <v>1</v>
      </c>
      <c r="E79" s="16">
        <f t="shared" si="4"/>
        <v>0.73216914997484395</v>
      </c>
      <c r="F79" s="16">
        <f t="shared" si="5"/>
        <v>0.67528109700420447</v>
      </c>
      <c r="G79" s="16">
        <f t="shared" si="6"/>
        <v>0.67528109700420447</v>
      </c>
      <c r="H79" s="16">
        <f t="shared" si="7"/>
        <v>-0.392626234790452</v>
      </c>
    </row>
    <row r="80" spans="1:8" ht="15.75" x14ac:dyDescent="0.25">
      <c r="A80" s="23">
        <v>76</v>
      </c>
      <c r="B80" s="24">
        <v>3.411</v>
      </c>
      <c r="C80" s="25">
        <v>1</v>
      </c>
      <c r="D80" s="25">
        <v>1</v>
      </c>
      <c r="E80" s="16">
        <f t="shared" si="4"/>
        <v>0.52428387856970704</v>
      </c>
      <c r="F80" s="16">
        <f t="shared" si="5"/>
        <v>0.62814893354689361</v>
      </c>
      <c r="G80" s="16">
        <f t="shared" si="6"/>
        <v>0.62814893354689361</v>
      </c>
      <c r="H80" s="16">
        <f t="shared" si="7"/>
        <v>-0.4649779853013698</v>
      </c>
    </row>
    <row r="81" spans="1:8" ht="15.75" x14ac:dyDescent="0.25">
      <c r="A81" s="23">
        <v>77</v>
      </c>
      <c r="B81" s="24">
        <v>5.9909999999999997</v>
      </c>
      <c r="C81" s="25">
        <v>0</v>
      </c>
      <c r="D81" s="25">
        <v>1</v>
      </c>
      <c r="E81" s="16">
        <f t="shared" si="4"/>
        <v>0.48107943206455395</v>
      </c>
      <c r="F81" s="16">
        <f t="shared" si="5"/>
        <v>0.61800273451495802</v>
      </c>
      <c r="G81" s="16">
        <f t="shared" si="6"/>
        <v>0.61800273451495802</v>
      </c>
      <c r="H81" s="16">
        <f t="shared" si="7"/>
        <v>-0.48126239675275012</v>
      </c>
    </row>
    <row r="82" spans="1:8" ht="15.75" x14ac:dyDescent="0.25">
      <c r="A82" s="25">
        <v>78</v>
      </c>
      <c r="B82" s="24">
        <v>7.0759999999999996</v>
      </c>
      <c r="C82" s="25">
        <v>1</v>
      </c>
      <c r="D82" s="25">
        <v>1</v>
      </c>
      <c r="E82" s="16">
        <f t="shared" si="4"/>
        <v>0.79953659522426856</v>
      </c>
      <c r="F82" s="16">
        <f t="shared" si="5"/>
        <v>0.68987534562704178</v>
      </c>
      <c r="G82" s="16">
        <f t="shared" si="6"/>
        <v>0.68987534562704178</v>
      </c>
      <c r="H82" s="16">
        <f t="shared" si="7"/>
        <v>-0.37124435622308022</v>
      </c>
    </row>
    <row r="83" spans="1:8" ht="15.75" x14ac:dyDescent="0.25">
      <c r="A83" s="23">
        <v>79</v>
      </c>
      <c r="B83" s="24">
        <v>3.2549999999999999</v>
      </c>
      <c r="C83" s="25">
        <v>1</v>
      </c>
      <c r="D83" s="25">
        <v>1</v>
      </c>
      <c r="E83" s="16">
        <f t="shared" si="4"/>
        <v>0.51256780113502454</v>
      </c>
      <c r="F83" s="16">
        <f t="shared" si="5"/>
        <v>0.62540823381564759</v>
      </c>
      <c r="G83" s="16">
        <f t="shared" si="6"/>
        <v>0.62540823381564759</v>
      </c>
      <c r="H83" s="16">
        <f t="shared" si="7"/>
        <v>-0.46935066836606137</v>
      </c>
    </row>
    <row r="84" spans="1:8" ht="15.75" x14ac:dyDescent="0.25">
      <c r="A84" s="23">
        <v>80</v>
      </c>
      <c r="B84" s="24">
        <v>2.1480000000000001</v>
      </c>
      <c r="C84" s="25">
        <v>1</v>
      </c>
      <c r="D84" s="25">
        <v>0</v>
      </c>
      <c r="E84" s="16">
        <f t="shared" si="4"/>
        <v>0.42942871318506554</v>
      </c>
      <c r="F84" s="16">
        <f t="shared" si="5"/>
        <v>0.60573724216749936</v>
      </c>
      <c r="G84" s="16">
        <f t="shared" si="6"/>
        <v>0.39426275783250064</v>
      </c>
      <c r="H84" s="16">
        <f t="shared" si="7"/>
        <v>-0.93073769390985817</v>
      </c>
    </row>
    <row r="85" spans="1:8" ht="15.75" x14ac:dyDescent="0.25">
      <c r="A85" s="25">
        <v>81</v>
      </c>
      <c r="B85" s="24">
        <v>5.5010000000000003</v>
      </c>
      <c r="C85" s="25">
        <v>1</v>
      </c>
      <c r="D85" s="25">
        <v>1</v>
      </c>
      <c r="E85" s="16">
        <f t="shared" si="4"/>
        <v>0.68124927497026189</v>
      </c>
      <c r="F85" s="16">
        <f t="shared" si="5"/>
        <v>0.66401746557435959</v>
      </c>
      <c r="G85" s="16">
        <f t="shared" si="6"/>
        <v>0.66401746557435959</v>
      </c>
      <c r="H85" s="16">
        <f t="shared" si="7"/>
        <v>-0.40944682627579343</v>
      </c>
    </row>
    <row r="86" spans="1:8" ht="15.75" x14ac:dyDescent="0.25">
      <c r="A86" s="23">
        <v>82</v>
      </c>
      <c r="B86" s="24">
        <v>5.9909999999999997</v>
      </c>
      <c r="C86" s="25">
        <v>1</v>
      </c>
      <c r="D86" s="25">
        <v>1</v>
      </c>
      <c r="E86" s="16">
        <f t="shared" si="4"/>
        <v>0.71804977460484176</v>
      </c>
      <c r="F86" s="16">
        <f t="shared" si="5"/>
        <v>0.67217741966374511</v>
      </c>
      <c r="G86" s="16">
        <f t="shared" si="6"/>
        <v>0.67217741966374511</v>
      </c>
      <c r="H86" s="16">
        <f t="shared" si="7"/>
        <v>-0.39723295594867303</v>
      </c>
    </row>
    <row r="87" spans="1:8" ht="15.75" x14ac:dyDescent="0.25">
      <c r="A87" s="23">
        <v>83</v>
      </c>
      <c r="B87" s="24">
        <v>2.3719999999999999</v>
      </c>
      <c r="C87" s="25">
        <v>1</v>
      </c>
      <c r="D87" s="25">
        <v>0</v>
      </c>
      <c r="E87" s="16">
        <f t="shared" si="4"/>
        <v>0.44625179873230203</v>
      </c>
      <c r="F87" s="16">
        <f t="shared" si="5"/>
        <v>0.60974769683928365</v>
      </c>
      <c r="G87" s="16">
        <f t="shared" si="6"/>
        <v>0.39025230316071635</v>
      </c>
      <c r="H87" s="16">
        <f t="shared" si="7"/>
        <v>-0.94096181784689026</v>
      </c>
    </row>
    <row r="88" spans="1:8" ht="15.75" x14ac:dyDescent="0.25">
      <c r="A88" s="25">
        <v>84</v>
      </c>
      <c r="B88" s="24">
        <v>3.9950000000000001</v>
      </c>
      <c r="C88" s="25">
        <v>1</v>
      </c>
      <c r="D88" s="25">
        <v>0</v>
      </c>
      <c r="E88" s="16">
        <f t="shared" si="4"/>
        <v>0.56814406588928801</v>
      </c>
      <c r="F88" s="16">
        <f t="shared" si="5"/>
        <v>0.638334817844327</v>
      </c>
      <c r="G88" s="16">
        <f t="shared" si="6"/>
        <v>0.361665182155673</v>
      </c>
      <c r="H88" s="16">
        <f t="shared" si="7"/>
        <v>-1.017036406322803</v>
      </c>
    </row>
    <row r="89" spans="1:8" ht="15.75" x14ac:dyDescent="0.25">
      <c r="A89" s="23">
        <v>85</v>
      </c>
      <c r="B89" s="24">
        <v>2.1349999999999998</v>
      </c>
      <c r="C89" s="25">
        <v>0</v>
      </c>
      <c r="D89" s="25">
        <v>1</v>
      </c>
      <c r="E89" s="16">
        <f t="shared" si="4"/>
        <v>0.19148203085855414</v>
      </c>
      <c r="F89" s="16">
        <f t="shared" si="5"/>
        <v>0.54772477620556059</v>
      </c>
      <c r="G89" s="16">
        <f t="shared" si="6"/>
        <v>0.54772477620556059</v>
      </c>
      <c r="H89" s="16">
        <f t="shared" si="7"/>
        <v>-0.60198235139699097</v>
      </c>
    </row>
    <row r="90" spans="1:8" ht="15.75" x14ac:dyDescent="0.25">
      <c r="A90" s="23">
        <v>86</v>
      </c>
      <c r="B90" s="24">
        <v>6.7370000000000001</v>
      </c>
      <c r="C90" s="25">
        <v>1</v>
      </c>
      <c r="D90" s="25">
        <v>1</v>
      </c>
      <c r="E90" s="16">
        <f t="shared" si="4"/>
        <v>0.77407665772197753</v>
      </c>
      <c r="F90" s="16">
        <f t="shared" si="5"/>
        <v>0.68440209617358327</v>
      </c>
      <c r="G90" s="16">
        <f t="shared" si="6"/>
        <v>0.68440209617358327</v>
      </c>
      <c r="H90" s="16">
        <f t="shared" si="7"/>
        <v>-0.37920967417863222</v>
      </c>
    </row>
    <row r="91" spans="1:8" ht="15.75" x14ac:dyDescent="0.25">
      <c r="A91" s="25">
        <v>87</v>
      </c>
      <c r="B91" s="24">
        <v>6.4859999999999998</v>
      </c>
      <c r="C91" s="25">
        <v>1</v>
      </c>
      <c r="D91" s="25">
        <v>1</v>
      </c>
      <c r="E91" s="16">
        <f t="shared" si="4"/>
        <v>0.7552257895418153</v>
      </c>
      <c r="F91" s="16">
        <f t="shared" si="5"/>
        <v>0.68031630476892091</v>
      </c>
      <c r="G91" s="16">
        <f t="shared" si="6"/>
        <v>0.68031630476892091</v>
      </c>
      <c r="H91" s="16">
        <f t="shared" si="7"/>
        <v>-0.38519743489066099</v>
      </c>
    </row>
    <row r="92" spans="1:8" ht="15.75" x14ac:dyDescent="0.25">
      <c r="A92" s="23">
        <v>88</v>
      </c>
      <c r="B92" s="24">
        <v>2.4289999999999998</v>
      </c>
      <c r="C92" s="25">
        <v>1</v>
      </c>
      <c r="D92" s="25">
        <v>0</v>
      </c>
      <c r="E92" s="16">
        <f t="shared" si="4"/>
        <v>0.45053267317958989</v>
      </c>
      <c r="F92" s="16">
        <f t="shared" si="5"/>
        <v>0.61076587430388685</v>
      </c>
      <c r="G92" s="16">
        <f t="shared" si="6"/>
        <v>0.38923412569611315</v>
      </c>
      <c r="H92" s="16">
        <f t="shared" si="7"/>
        <v>-0.94357425086940827</v>
      </c>
    </row>
    <row r="93" spans="1:8" ht="15.75" x14ac:dyDescent="0.25">
      <c r="A93" s="23">
        <v>89</v>
      </c>
      <c r="B93" s="24">
        <v>4.7009999999999996</v>
      </c>
      <c r="C93" s="25">
        <v>1</v>
      </c>
      <c r="D93" s="25">
        <v>1</v>
      </c>
      <c r="E93" s="16">
        <f t="shared" si="4"/>
        <v>0.62116682658727451</v>
      </c>
      <c r="F93" s="16">
        <f t="shared" si="5"/>
        <v>0.65048387852734291</v>
      </c>
      <c r="G93" s="16">
        <f t="shared" si="6"/>
        <v>0.65048387852734291</v>
      </c>
      <c r="H93" s="16">
        <f t="shared" si="7"/>
        <v>-0.43003876453831075</v>
      </c>
    </row>
    <row r="94" spans="1:8" ht="15.75" x14ac:dyDescent="0.25">
      <c r="A94" s="25">
        <v>90</v>
      </c>
      <c r="B94" s="24">
        <v>6.4039999999999999</v>
      </c>
      <c r="C94" s="25">
        <v>1</v>
      </c>
      <c r="D94" s="25">
        <v>0</v>
      </c>
      <c r="E94" s="16">
        <f t="shared" si="4"/>
        <v>0.74906733858255903</v>
      </c>
      <c r="F94" s="16">
        <f t="shared" si="5"/>
        <v>0.67897544296962498</v>
      </c>
      <c r="G94" s="16">
        <f t="shared" si="6"/>
        <v>0.32102455703037502</v>
      </c>
      <c r="H94" s="16">
        <f t="shared" si="7"/>
        <v>-1.1362376571259647</v>
      </c>
    </row>
    <row r="95" spans="1:8" ht="15.75" x14ac:dyDescent="0.25">
      <c r="A95" s="23">
        <v>91</v>
      </c>
      <c r="B95" s="24">
        <v>1.1299999999999999</v>
      </c>
      <c r="C95" s="25">
        <v>1</v>
      </c>
      <c r="D95" s="25">
        <v>0</v>
      </c>
      <c r="E95" s="16">
        <f t="shared" si="4"/>
        <v>0.35297379761771391</v>
      </c>
      <c r="F95" s="16">
        <f t="shared" si="5"/>
        <v>0.58733853085656862</v>
      </c>
      <c r="G95" s="16">
        <f t="shared" si="6"/>
        <v>0.41266146914343138</v>
      </c>
      <c r="H95" s="16">
        <f t="shared" si="7"/>
        <v>-0.88512770945247488</v>
      </c>
    </row>
    <row r="96" spans="1:8" ht="15.75" x14ac:dyDescent="0.25">
      <c r="A96" s="23">
        <v>92</v>
      </c>
      <c r="B96" s="24">
        <v>1.911</v>
      </c>
      <c r="C96" s="25">
        <v>1</v>
      </c>
      <c r="D96" s="25">
        <v>1</v>
      </c>
      <c r="E96" s="16">
        <f t="shared" si="4"/>
        <v>0.41162928785160552</v>
      </c>
      <c r="F96" s="16">
        <f t="shared" si="5"/>
        <v>0.60147848709089125</v>
      </c>
      <c r="G96" s="16">
        <f t="shared" si="6"/>
        <v>0.60147848709089125</v>
      </c>
      <c r="H96" s="16">
        <f t="shared" si="7"/>
        <v>-0.50836450964192914</v>
      </c>
    </row>
    <row r="97" spans="1:8" ht="15.75" x14ac:dyDescent="0.25">
      <c r="A97" s="25">
        <v>93</v>
      </c>
      <c r="B97" s="24">
        <v>4.9589999999999996</v>
      </c>
      <c r="C97" s="25">
        <v>1</v>
      </c>
      <c r="D97" s="25">
        <v>1</v>
      </c>
      <c r="E97" s="16">
        <f t="shared" si="4"/>
        <v>0.64054341619078792</v>
      </c>
      <c r="F97" s="16">
        <f t="shared" si="5"/>
        <v>0.6548762902463402</v>
      </c>
      <c r="G97" s="16">
        <f t="shared" si="6"/>
        <v>0.6548762902463402</v>
      </c>
      <c r="H97" s="16">
        <f t="shared" si="7"/>
        <v>-0.42330893103795764</v>
      </c>
    </row>
    <row r="98" spans="1:8" ht="15.75" x14ac:dyDescent="0.25">
      <c r="A98" s="23">
        <v>94</v>
      </c>
      <c r="B98" s="24">
        <v>6.0730000000000004</v>
      </c>
      <c r="C98" s="25">
        <v>1</v>
      </c>
      <c r="D98" s="25">
        <v>1</v>
      </c>
      <c r="E98" s="16">
        <f t="shared" si="4"/>
        <v>0.72420822556409803</v>
      </c>
      <c r="F98" s="16">
        <f t="shared" si="5"/>
        <v>0.67353302303838292</v>
      </c>
      <c r="G98" s="16">
        <f t="shared" si="6"/>
        <v>0.67353302303838292</v>
      </c>
      <c r="H98" s="16">
        <f t="shared" si="7"/>
        <v>-0.39521825235396502</v>
      </c>
    </row>
    <row r="99" spans="1:8" ht="15.75" x14ac:dyDescent="0.25">
      <c r="A99" s="23">
        <v>95</v>
      </c>
      <c r="B99" s="24">
        <v>1.403</v>
      </c>
      <c r="C99" s="25">
        <v>1</v>
      </c>
      <c r="D99" s="25">
        <v>0</v>
      </c>
      <c r="E99" s="16">
        <f t="shared" si="4"/>
        <v>0.37347693312840841</v>
      </c>
      <c r="F99" s="16">
        <f t="shared" si="5"/>
        <v>0.59229886013103172</v>
      </c>
      <c r="G99" s="16">
        <f t="shared" si="6"/>
        <v>0.40770113986896828</v>
      </c>
      <c r="H99" s="16">
        <f t="shared" si="7"/>
        <v>-0.89722087330857314</v>
      </c>
    </row>
    <row r="100" spans="1:8" ht="15.75" x14ac:dyDescent="0.25">
      <c r="A100" s="25">
        <v>96</v>
      </c>
      <c r="B100" s="24">
        <v>3.3180000000000001</v>
      </c>
      <c r="C100" s="25">
        <v>0</v>
      </c>
      <c r="D100" s="25">
        <v>0</v>
      </c>
      <c r="E100" s="16">
        <f t="shared" si="4"/>
        <v>0.28032895140489694</v>
      </c>
      <c r="F100" s="16">
        <f t="shared" si="5"/>
        <v>0.5696268689130034</v>
      </c>
      <c r="G100" s="16">
        <f t="shared" si="6"/>
        <v>0.4303731310869966</v>
      </c>
      <c r="H100" s="16">
        <f t="shared" si="7"/>
        <v>-0.84310269985510489</v>
      </c>
    </row>
    <row r="101" spans="1:8" ht="15.75" x14ac:dyDescent="0.25">
      <c r="A101" s="23">
        <v>97</v>
      </c>
      <c r="B101" s="24">
        <v>2.4209999999999998</v>
      </c>
      <c r="C101" s="25">
        <v>1</v>
      </c>
      <c r="D101" s="25">
        <v>0</v>
      </c>
      <c r="E101" s="16">
        <f t="shared" si="4"/>
        <v>0.44993184869576003</v>
      </c>
      <c r="F101" s="16">
        <f t="shared" si="5"/>
        <v>0.61062303024383624</v>
      </c>
      <c r="G101" s="16">
        <f t="shared" si="6"/>
        <v>0.38937696975616376</v>
      </c>
      <c r="H101" s="16">
        <f t="shared" si="7"/>
        <v>-0.94320733068939155</v>
      </c>
    </row>
    <row r="102" spans="1:8" ht="15.75" x14ac:dyDescent="0.25">
      <c r="A102" s="23">
        <v>98</v>
      </c>
      <c r="B102" s="24">
        <v>6.0730000000000004</v>
      </c>
      <c r="C102" s="25">
        <v>0</v>
      </c>
      <c r="D102" s="25">
        <v>0</v>
      </c>
      <c r="E102" s="16">
        <f t="shared" si="4"/>
        <v>0.48723788302381021</v>
      </c>
      <c r="F102" s="16">
        <f t="shared" si="5"/>
        <v>0.61945553264879138</v>
      </c>
      <c r="G102" s="16">
        <f t="shared" si="6"/>
        <v>0.38054446735120862</v>
      </c>
      <c r="H102" s="16">
        <f t="shared" si="7"/>
        <v>-0.96615224293385316</v>
      </c>
    </row>
    <row r="103" spans="1:8" ht="15.75" x14ac:dyDescent="0.25">
      <c r="A103" s="25">
        <v>99</v>
      </c>
      <c r="B103" s="24">
        <v>2.63</v>
      </c>
      <c r="C103" s="25">
        <v>1</v>
      </c>
      <c r="D103" s="25">
        <v>0</v>
      </c>
      <c r="E103" s="16">
        <f t="shared" si="4"/>
        <v>0.46562838833581549</v>
      </c>
      <c r="F103" s="16">
        <f t="shared" si="5"/>
        <v>0.61434853400807232</v>
      </c>
      <c r="G103" s="16">
        <f t="shared" si="6"/>
        <v>0.38565146599192768</v>
      </c>
      <c r="H103" s="16">
        <f t="shared" si="7"/>
        <v>-0.9528212552559826</v>
      </c>
    </row>
    <row r="104" spans="1:8" ht="15.75" x14ac:dyDescent="0.25">
      <c r="A104" s="23">
        <v>100</v>
      </c>
      <c r="B104" s="24">
        <v>3.411</v>
      </c>
      <c r="C104" s="25">
        <v>0</v>
      </c>
      <c r="D104" s="25">
        <v>1</v>
      </c>
      <c r="E104" s="16">
        <f t="shared" si="4"/>
        <v>0.28731353602941923</v>
      </c>
      <c r="F104" s="16">
        <f t="shared" si="5"/>
        <v>0.57133831523596501</v>
      </c>
      <c r="G104" s="16">
        <f t="shared" si="6"/>
        <v>0.57133831523596501</v>
      </c>
      <c r="H104" s="16">
        <f t="shared" si="7"/>
        <v>-0.55977374874763619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1EAA5-611D-48B3-9076-39A6E3DB8EF7}">
  <dimension ref="A1:S104"/>
  <sheetViews>
    <sheetView topLeftCell="C2" zoomScaleNormal="100" workbookViewId="0">
      <selection activeCell="K13" sqref="K13"/>
    </sheetView>
  </sheetViews>
  <sheetFormatPr defaultRowHeight="15" x14ac:dyDescent="0.25"/>
  <cols>
    <col min="1" max="1" width="10.28515625" bestFit="1" customWidth="1"/>
    <col min="6" max="6" width="12.28515625" bestFit="1" customWidth="1"/>
    <col min="7" max="7" width="12.42578125" customWidth="1"/>
    <col min="8" max="8" width="17.5703125" customWidth="1"/>
    <col min="9" max="9" width="11.5703125" customWidth="1"/>
    <col min="10" max="10" width="22.140625" customWidth="1"/>
    <col min="11" max="11" width="13.42578125" bestFit="1" customWidth="1"/>
    <col min="12" max="12" width="11.85546875" customWidth="1"/>
    <col min="15" max="15" width="12" customWidth="1"/>
    <col min="16" max="16" width="13.140625" bestFit="1" customWidth="1"/>
    <col min="17" max="17" width="21" bestFit="1" customWidth="1"/>
    <col min="18" max="18" width="19.28515625" bestFit="1" customWidth="1"/>
    <col min="19" max="23" width="12" bestFit="1" customWidth="1"/>
    <col min="24" max="24" width="11.28515625" bestFit="1" customWidth="1"/>
  </cols>
  <sheetData>
    <row r="1" spans="1:19" ht="42" customHeight="1" x14ac:dyDescent="0.25">
      <c r="A1" s="6" t="s">
        <v>21</v>
      </c>
      <c r="H1" s="27" t="s">
        <v>52</v>
      </c>
      <c r="J1" s="27" t="s">
        <v>80</v>
      </c>
      <c r="L1" t="s">
        <v>50</v>
      </c>
      <c r="M1" s="12">
        <f>COUNTIF(J5:J104,"Correct")</f>
        <v>72</v>
      </c>
      <c r="N1" s="30"/>
      <c r="P1" t="s">
        <v>74</v>
      </c>
      <c r="Q1" t="s">
        <v>77</v>
      </c>
      <c r="R1" t="s">
        <v>78</v>
      </c>
      <c r="S1" t="s">
        <v>79</v>
      </c>
    </row>
    <row r="2" spans="1:19" x14ac:dyDescent="0.25">
      <c r="A2" s="8" t="s">
        <v>15</v>
      </c>
      <c r="B2" t="s">
        <v>28</v>
      </c>
      <c r="C2" t="s">
        <v>2</v>
      </c>
      <c r="H2" s="30">
        <f>SUM(H5:H104)</f>
        <v>-60.486947959181876</v>
      </c>
      <c r="I2" s="30"/>
      <c r="J2" s="30">
        <v>0.5</v>
      </c>
      <c r="L2" t="s">
        <v>51</v>
      </c>
      <c r="M2" s="12">
        <f>COUNTA(J5:J104)</f>
        <v>100</v>
      </c>
      <c r="N2" s="31">
        <f>M1/M2</f>
        <v>0.72</v>
      </c>
      <c r="P2" t="s">
        <v>75</v>
      </c>
      <c r="Q2">
        <f>EXP(B3)</f>
        <v>1.4072559115476677</v>
      </c>
      <c r="R2">
        <f>EXP(S2*B3)</f>
        <v>2.7868862645713763</v>
      </c>
      <c r="S2">
        <v>3</v>
      </c>
    </row>
    <row r="3" spans="1:19" ht="15.75" thickBot="1" x14ac:dyDescent="0.3">
      <c r="A3">
        <v>-2.1463779674612198</v>
      </c>
      <c r="B3">
        <v>0.34164164613318471</v>
      </c>
      <c r="C3" s="5">
        <v>1.0987573042446197</v>
      </c>
      <c r="P3" t="s">
        <v>76</v>
      </c>
      <c r="Q3">
        <f>EXP(C3)</f>
        <v>3.0004350782753311</v>
      </c>
    </row>
    <row r="4" spans="1:19" ht="78.75" x14ac:dyDescent="0.25">
      <c r="A4" s="1" t="s">
        <v>0</v>
      </c>
      <c r="B4" s="1" t="s">
        <v>1</v>
      </c>
      <c r="C4" s="1" t="s">
        <v>2</v>
      </c>
      <c r="D4" s="1" t="s">
        <v>3</v>
      </c>
      <c r="E4" s="1" t="s">
        <v>29</v>
      </c>
      <c r="F4" s="9" t="s">
        <v>30</v>
      </c>
      <c r="G4" s="9" t="s">
        <v>31</v>
      </c>
      <c r="H4" s="9" t="s">
        <v>32</v>
      </c>
      <c r="I4" s="9" t="s">
        <v>48</v>
      </c>
      <c r="J4" s="9" t="s">
        <v>49</v>
      </c>
      <c r="O4" t="s">
        <v>58</v>
      </c>
      <c r="P4" t="s">
        <v>59</v>
      </c>
      <c r="Q4" s="15"/>
    </row>
    <row r="5" spans="1:19" ht="15.75" x14ac:dyDescent="0.25">
      <c r="A5" s="2">
        <v>1</v>
      </c>
      <c r="B5" s="3">
        <v>2.2909999999999999</v>
      </c>
      <c r="C5" s="4">
        <v>1</v>
      </c>
      <c r="D5" s="4">
        <v>0</v>
      </c>
      <c r="E5" s="14">
        <f>$A$3+SUMPRODUCT($B$3:$C$3,B5:C5)</f>
        <v>-0.26491965192547395</v>
      </c>
      <c r="F5">
        <f>EXP(E5)/(1+EXP(E5))</f>
        <v>0.43415473566169327</v>
      </c>
      <c r="G5">
        <f>IF(D5=1,F5,1-F5)</f>
        <v>0.56584526433830673</v>
      </c>
      <c r="H5">
        <f>LN(G5)</f>
        <v>-0.56943462271662104</v>
      </c>
      <c r="I5">
        <f>IF(F5&gt;=$J$2,1,0)</f>
        <v>0</v>
      </c>
      <c r="J5" s="32" t="str">
        <f>IF(D5=I5,"Correct","Wrong")</f>
        <v>Correct</v>
      </c>
      <c r="M5" t="s">
        <v>60</v>
      </c>
      <c r="O5">
        <f>LN(G5)</f>
        <v>-0.56943462271662104</v>
      </c>
      <c r="P5">
        <f>LOG(G5,2.7182)</f>
        <v>-0.56945176518556317</v>
      </c>
    </row>
    <row r="6" spans="1:19" ht="15.75" x14ac:dyDescent="0.25">
      <c r="A6" s="2">
        <v>2</v>
      </c>
      <c r="B6" s="3">
        <v>3.2149999999999999</v>
      </c>
      <c r="C6" s="4">
        <v>1</v>
      </c>
      <c r="D6" s="4">
        <v>0</v>
      </c>
      <c r="E6">
        <f>$A$3+SUMPRODUCT($B$3:$C$3,B6:C6)</f>
        <v>5.0757229101588752E-2</v>
      </c>
      <c r="F6">
        <f>EXP(E6)/(1+EXP(E6))</f>
        <v>0.51268658369244913</v>
      </c>
      <c r="G6">
        <f t="shared" ref="G6:G69" si="0">IF(D6=1,F6,1-F6)</f>
        <v>0.48731341630755087</v>
      </c>
      <c r="H6">
        <f>LN(G6)</f>
        <v>-0.71884779758565032</v>
      </c>
      <c r="I6">
        <f t="shared" ref="I6:I69" si="1">IF(F6&gt;=$J$2,1,0)</f>
        <v>1</v>
      </c>
      <c r="J6" t="str">
        <f t="shared" ref="J6:J69" si="2">IF(D6=I6,"Correct","Wrong")</f>
        <v>Wrong</v>
      </c>
    </row>
    <row r="7" spans="1:19" ht="15.75" x14ac:dyDescent="0.25">
      <c r="A7" s="4">
        <v>3</v>
      </c>
      <c r="B7" s="3">
        <v>2.1349999999999998</v>
      </c>
      <c r="C7" s="4">
        <v>1</v>
      </c>
      <c r="D7" s="4">
        <v>0</v>
      </c>
      <c r="E7">
        <f t="shared" ref="E7:E69" si="3">$A$3+SUMPRODUCT($B$3:$C$3,B7:C7)</f>
        <v>-0.31821574872225078</v>
      </c>
      <c r="F7">
        <f t="shared" ref="F7:F69" si="4">EXP(E7)/(1+EXP(E7))</f>
        <v>0.42111064499792256</v>
      </c>
      <c r="G7">
        <f t="shared" si="0"/>
        <v>0.5788893550020775</v>
      </c>
      <c r="H7">
        <f t="shared" ref="H7:H69" si="5">LN(G7)</f>
        <v>-0.5466439163853376</v>
      </c>
      <c r="I7">
        <f t="shared" si="1"/>
        <v>0</v>
      </c>
      <c r="J7" t="str">
        <f t="shared" si="2"/>
        <v>Correct</v>
      </c>
      <c r="L7" t="s">
        <v>55</v>
      </c>
      <c r="M7" t="s">
        <v>56</v>
      </c>
      <c r="P7" t="s">
        <v>61</v>
      </c>
      <c r="Q7" t="s">
        <v>47</v>
      </c>
      <c r="R7" t="s">
        <v>2</v>
      </c>
      <c r="S7" t="s">
        <v>64</v>
      </c>
    </row>
    <row r="8" spans="1:19" ht="15.75" x14ac:dyDescent="0.25">
      <c r="A8" s="2">
        <v>4</v>
      </c>
      <c r="B8" s="3">
        <v>3.9239999999999999</v>
      </c>
      <c r="C8" s="4">
        <v>0</v>
      </c>
      <c r="D8" s="4">
        <v>0</v>
      </c>
      <c r="E8">
        <f t="shared" si="3"/>
        <v>-0.80577614803460307</v>
      </c>
      <c r="F8">
        <f t="shared" si="4"/>
        <v>0.30879130256190601</v>
      </c>
      <c r="G8">
        <f t="shared" si="0"/>
        <v>0.69120869743809399</v>
      </c>
      <c r="H8">
        <f t="shared" si="5"/>
        <v>-0.3693134784723634</v>
      </c>
      <c r="I8">
        <f t="shared" si="1"/>
        <v>0</v>
      </c>
      <c r="J8" t="str">
        <f t="shared" si="2"/>
        <v>Correct</v>
      </c>
      <c r="K8" t="s">
        <v>53</v>
      </c>
      <c r="L8" s="26" cm="1">
        <f t="array" ref="L8">SUM((D5:D104=0)*(I5:I104=0))</f>
        <v>52</v>
      </c>
      <c r="M8" s="34" cm="1">
        <f t="array" ref="M8">SUMPRODUCT((D5:D104=0)*(I5:I104=1))</f>
        <v>8</v>
      </c>
      <c r="P8" t="s">
        <v>62</v>
      </c>
      <c r="Q8" cm="1">
        <f t="array" ref="Q8">SUM((D5:D104=0)*(C5:C104=0))</f>
        <v>36</v>
      </c>
      <c r="R8" cm="1">
        <f t="array" ref="R8">SUMPRODUCT((D5:D104=0)*(C5:C104=1))</f>
        <v>24</v>
      </c>
      <c r="S8">
        <f>SUM(Q8:R8)</f>
        <v>60</v>
      </c>
    </row>
    <row r="9" spans="1:19" ht="15.75" x14ac:dyDescent="0.25">
      <c r="A9" s="2">
        <v>5</v>
      </c>
      <c r="B9" s="3">
        <v>2.528</v>
      </c>
      <c r="C9" s="4">
        <v>1</v>
      </c>
      <c r="D9" s="4">
        <v>0</v>
      </c>
      <c r="E9">
        <f t="shared" si="3"/>
        <v>-0.18395058179190915</v>
      </c>
      <c r="F9">
        <f t="shared" si="4"/>
        <v>0.45414159404389837</v>
      </c>
      <c r="G9">
        <f t="shared" si="0"/>
        <v>0.54585840595610158</v>
      </c>
      <c r="H9">
        <f t="shared" si="5"/>
        <v>-0.60539566661973609</v>
      </c>
      <c r="I9">
        <f t="shared" si="1"/>
        <v>0</v>
      </c>
      <c r="J9" t="str">
        <f t="shared" si="2"/>
        <v>Correct</v>
      </c>
      <c r="K9" t="s">
        <v>54</v>
      </c>
      <c r="L9" s="33" cm="1">
        <f t="array" ref="L9">SUMPRODUCT((D5:D104=1)*(I5:I104=0))</f>
        <v>20</v>
      </c>
      <c r="M9" s="26" cm="1">
        <f t="array" ref="M9">SUMPRODUCT((D5:D104=1)*(I5:I104=1))</f>
        <v>20</v>
      </c>
      <c r="P9" t="s">
        <v>3</v>
      </c>
      <c r="Q9" cm="1">
        <f t="array" ref="Q9">SUMPRODUCT((D5:D104=1)*(C5:C104=0))</f>
        <v>14</v>
      </c>
      <c r="R9" cm="1">
        <f t="array" ref="R9">SUMPRODUCT((D5:D104=1)*(C5:C104=1))</f>
        <v>26</v>
      </c>
      <c r="S9">
        <f>SUM(Q9:R9)</f>
        <v>40</v>
      </c>
    </row>
    <row r="10" spans="1:19" ht="15.75" x14ac:dyDescent="0.25">
      <c r="A10" s="4">
        <v>6</v>
      </c>
      <c r="B10" s="3">
        <v>2.4729999999999999</v>
      </c>
      <c r="C10" s="4">
        <v>0</v>
      </c>
      <c r="D10" s="4">
        <v>1</v>
      </c>
      <c r="E10">
        <f t="shared" si="3"/>
        <v>-1.301498176573854</v>
      </c>
      <c r="F10">
        <f t="shared" si="4"/>
        <v>0.21391298426879332</v>
      </c>
      <c r="G10">
        <f t="shared" si="0"/>
        <v>0.21391298426879332</v>
      </c>
      <c r="H10">
        <f t="shared" si="5"/>
        <v>-1.5421859622171976</v>
      </c>
      <c r="I10">
        <f t="shared" si="1"/>
        <v>0</v>
      </c>
      <c r="J10" t="str">
        <f t="shared" si="2"/>
        <v>Wrong</v>
      </c>
    </row>
    <row r="11" spans="1:19" ht="15.75" x14ac:dyDescent="0.25">
      <c r="A11" s="2">
        <v>7</v>
      </c>
      <c r="B11" s="3">
        <v>2.3839999999999999</v>
      </c>
      <c r="C11" s="4">
        <v>0</v>
      </c>
      <c r="D11" s="4">
        <v>0</v>
      </c>
      <c r="E11">
        <f t="shared" si="3"/>
        <v>-1.3319042830797074</v>
      </c>
      <c r="F11">
        <f t="shared" si="4"/>
        <v>0.20884454891756682</v>
      </c>
      <c r="G11">
        <f t="shared" si="0"/>
        <v>0.79115545108243324</v>
      </c>
      <c r="H11">
        <f t="shared" si="5"/>
        <v>-0.23426080576639069</v>
      </c>
      <c r="I11">
        <f t="shared" si="1"/>
        <v>0</v>
      </c>
      <c r="J11" t="str">
        <f t="shared" si="2"/>
        <v>Correct</v>
      </c>
    </row>
    <row r="12" spans="1:19" ht="15.75" x14ac:dyDescent="0.25">
      <c r="A12" s="2">
        <v>8</v>
      </c>
      <c r="B12" s="3">
        <v>7.0759999999999996</v>
      </c>
      <c r="C12" s="4">
        <v>0</v>
      </c>
      <c r="D12" s="4">
        <v>0</v>
      </c>
      <c r="E12">
        <f t="shared" si="3"/>
        <v>0.27107832057719516</v>
      </c>
      <c r="F12">
        <f t="shared" si="4"/>
        <v>0.56735761191849765</v>
      </c>
      <c r="G12">
        <f t="shared" si="0"/>
        <v>0.43264238808150235</v>
      </c>
      <c r="H12">
        <f t="shared" si="5"/>
        <v>-0.83784378579385099</v>
      </c>
      <c r="I12">
        <f t="shared" si="1"/>
        <v>1</v>
      </c>
      <c r="J12" t="str">
        <f t="shared" si="2"/>
        <v>Wrong</v>
      </c>
    </row>
    <row r="13" spans="1:19" ht="15.75" x14ac:dyDescent="0.25">
      <c r="A13" s="4">
        <v>9</v>
      </c>
      <c r="B13" s="3">
        <v>1.1819999999999999</v>
      </c>
      <c r="C13" s="4">
        <v>1</v>
      </c>
      <c r="D13" s="4">
        <v>1</v>
      </c>
      <c r="E13">
        <f t="shared" si="3"/>
        <v>-0.64380023748717585</v>
      </c>
      <c r="F13">
        <f t="shared" si="4"/>
        <v>0.34438799645920282</v>
      </c>
      <c r="G13">
        <f t="shared" si="0"/>
        <v>0.34438799645920282</v>
      </c>
      <c r="H13">
        <f t="shared" si="5"/>
        <v>-1.0659863605225934</v>
      </c>
      <c r="I13">
        <f t="shared" si="1"/>
        <v>0</v>
      </c>
      <c r="J13" t="str">
        <f t="shared" si="2"/>
        <v>Wrong</v>
      </c>
    </row>
    <row r="14" spans="1:19" ht="15.75" x14ac:dyDescent="0.25">
      <c r="A14" s="2">
        <v>10</v>
      </c>
      <c r="B14" s="3">
        <v>3.3450000000000002</v>
      </c>
      <c r="C14" s="4">
        <v>0</v>
      </c>
      <c r="D14" s="4">
        <v>0</v>
      </c>
      <c r="E14">
        <f t="shared" si="3"/>
        <v>-1.0035866611457169</v>
      </c>
      <c r="F14">
        <f t="shared" si="4"/>
        <v>0.26823682566236201</v>
      </c>
      <c r="G14">
        <f t="shared" si="0"/>
        <v>0.73176317433763804</v>
      </c>
      <c r="H14">
        <f t="shared" si="5"/>
        <v>-0.31229834969433057</v>
      </c>
      <c r="I14">
        <f t="shared" si="1"/>
        <v>0</v>
      </c>
      <c r="J14" t="str">
        <f t="shared" si="2"/>
        <v>Correct</v>
      </c>
    </row>
    <row r="15" spans="1:19" ht="15.75" x14ac:dyDescent="0.25">
      <c r="A15" s="2">
        <v>11</v>
      </c>
      <c r="B15" s="3">
        <v>2.14</v>
      </c>
      <c r="C15" s="4">
        <v>1</v>
      </c>
      <c r="D15" s="4">
        <v>0</v>
      </c>
      <c r="E15">
        <f t="shared" si="3"/>
        <v>-0.31650754049158492</v>
      </c>
      <c r="F15">
        <f t="shared" si="4"/>
        <v>0.42152712199278747</v>
      </c>
      <c r="G15">
        <f t="shared" si="0"/>
        <v>0.57847287800721259</v>
      </c>
      <c r="H15">
        <f t="shared" si="5"/>
        <v>-0.54736361675392287</v>
      </c>
      <c r="I15">
        <f t="shared" si="1"/>
        <v>0</v>
      </c>
      <c r="J15" t="str">
        <f t="shared" si="2"/>
        <v>Correct</v>
      </c>
    </row>
    <row r="16" spans="1:19" ht="15.75" x14ac:dyDescent="0.25">
      <c r="A16" s="4">
        <v>12</v>
      </c>
      <c r="B16" s="3">
        <v>3.2549999999999999</v>
      </c>
      <c r="C16" s="4">
        <v>0</v>
      </c>
      <c r="D16" s="4">
        <v>1</v>
      </c>
      <c r="E16">
        <f t="shared" si="3"/>
        <v>-1.0343344092977036</v>
      </c>
      <c r="F16">
        <f t="shared" si="4"/>
        <v>0.2622446518556148</v>
      </c>
      <c r="G16">
        <f t="shared" si="0"/>
        <v>0.2622446518556148</v>
      </c>
      <c r="H16">
        <f t="shared" si="5"/>
        <v>-1.3384774252192448</v>
      </c>
      <c r="I16">
        <f t="shared" si="1"/>
        <v>0</v>
      </c>
      <c r="J16" t="str">
        <f t="shared" si="2"/>
        <v>Wrong</v>
      </c>
    </row>
    <row r="17" spans="1:10" ht="15.75" x14ac:dyDescent="0.25">
      <c r="A17" s="2">
        <v>13</v>
      </c>
      <c r="B17" s="3">
        <v>1.512</v>
      </c>
      <c r="C17" s="4">
        <v>0</v>
      </c>
      <c r="D17" s="4">
        <v>0</v>
      </c>
      <c r="E17">
        <f t="shared" si="3"/>
        <v>-1.6298157985078445</v>
      </c>
      <c r="F17">
        <f t="shared" si="4"/>
        <v>0.16385559654354764</v>
      </c>
      <c r="G17">
        <f t="shared" si="0"/>
        <v>0.83614440345645236</v>
      </c>
      <c r="H17">
        <f t="shared" si="5"/>
        <v>-0.17895394940654763</v>
      </c>
      <c r="I17">
        <f t="shared" si="1"/>
        <v>0</v>
      </c>
      <c r="J17" t="str">
        <f t="shared" si="2"/>
        <v>Correct</v>
      </c>
    </row>
    <row r="18" spans="1:10" ht="15.75" x14ac:dyDescent="0.25">
      <c r="A18" s="2">
        <v>14</v>
      </c>
      <c r="B18" s="3">
        <v>2.1480000000000001</v>
      </c>
      <c r="C18" s="4">
        <v>0</v>
      </c>
      <c r="D18" s="4">
        <v>1</v>
      </c>
      <c r="E18">
        <f t="shared" si="3"/>
        <v>-1.412531711567139</v>
      </c>
      <c r="F18">
        <f t="shared" si="4"/>
        <v>0.19583504606154689</v>
      </c>
      <c r="G18">
        <f t="shared" si="0"/>
        <v>0.19583504606154689</v>
      </c>
      <c r="H18">
        <f t="shared" si="5"/>
        <v>-1.6304825758239805</v>
      </c>
      <c r="I18">
        <f t="shared" si="1"/>
        <v>0</v>
      </c>
      <c r="J18" t="str">
        <f t="shared" si="2"/>
        <v>Wrong</v>
      </c>
    </row>
    <row r="19" spans="1:10" ht="15.75" x14ac:dyDescent="0.25">
      <c r="A19" s="4">
        <v>15</v>
      </c>
      <c r="B19" s="3">
        <v>6.7370000000000001</v>
      </c>
      <c r="C19" s="4">
        <v>0</v>
      </c>
      <c r="D19" s="4">
        <v>0</v>
      </c>
      <c r="E19">
        <f t="shared" si="3"/>
        <v>0.15526180253804567</v>
      </c>
      <c r="F19">
        <f t="shared" si="4"/>
        <v>0.53873766363783326</v>
      </c>
      <c r="G19">
        <f t="shared" si="0"/>
        <v>0.46126233636216674</v>
      </c>
      <c r="H19">
        <f t="shared" si="5"/>
        <v>-0.77378833848442219</v>
      </c>
      <c r="I19">
        <f t="shared" si="1"/>
        <v>1</v>
      </c>
      <c r="J19" t="str">
        <f t="shared" si="2"/>
        <v>Wrong</v>
      </c>
    </row>
    <row r="20" spans="1:10" ht="15.75" x14ac:dyDescent="0.25">
      <c r="A20" s="2">
        <v>16</v>
      </c>
      <c r="B20" s="3">
        <v>6.4859999999999998</v>
      </c>
      <c r="C20" s="4">
        <v>0</v>
      </c>
      <c r="D20" s="4">
        <v>0</v>
      </c>
      <c r="E20">
        <f t="shared" si="3"/>
        <v>6.9509749358616091E-2</v>
      </c>
      <c r="F20">
        <f t="shared" si="4"/>
        <v>0.51737044397541998</v>
      </c>
      <c r="G20">
        <f t="shared" si="0"/>
        <v>0.48262955602458002</v>
      </c>
      <c r="H20">
        <f t="shared" si="5"/>
        <v>-0.72850588434992414</v>
      </c>
      <c r="I20">
        <f t="shared" si="1"/>
        <v>1</v>
      </c>
      <c r="J20" t="str">
        <f t="shared" si="2"/>
        <v>Wrong</v>
      </c>
    </row>
    <row r="21" spans="1:10" ht="15.75" x14ac:dyDescent="0.25">
      <c r="A21" s="2">
        <v>17</v>
      </c>
      <c r="B21" s="3">
        <v>1.3069999999999999</v>
      </c>
      <c r="C21" s="4">
        <v>0</v>
      </c>
      <c r="D21" s="4">
        <v>0</v>
      </c>
      <c r="E21">
        <f t="shared" si="3"/>
        <v>-1.6998523359651474</v>
      </c>
      <c r="F21">
        <f t="shared" si="4"/>
        <v>0.15448455183914075</v>
      </c>
      <c r="G21">
        <f t="shared" si="0"/>
        <v>0.84551544816085922</v>
      </c>
      <c r="H21">
        <f t="shared" si="5"/>
        <v>-0.16780883977450858</v>
      </c>
      <c r="I21">
        <f t="shared" si="1"/>
        <v>0</v>
      </c>
      <c r="J21" t="str">
        <f t="shared" si="2"/>
        <v>Correct</v>
      </c>
    </row>
    <row r="22" spans="1:10" ht="15.75" x14ac:dyDescent="0.25">
      <c r="A22" s="4">
        <v>18</v>
      </c>
      <c r="B22" s="3">
        <v>3.47</v>
      </c>
      <c r="C22" s="4">
        <v>1</v>
      </c>
      <c r="D22" s="4">
        <v>0</v>
      </c>
      <c r="E22">
        <f t="shared" si="3"/>
        <v>0.13787584886555093</v>
      </c>
      <c r="F22">
        <f t="shared" si="4"/>
        <v>0.53441446195566134</v>
      </c>
      <c r="G22">
        <f t="shared" si="0"/>
        <v>0.46558553804433866</v>
      </c>
      <c r="H22">
        <f t="shared" si="5"/>
        <v>-0.76445944394864329</v>
      </c>
      <c r="I22">
        <f t="shared" si="1"/>
        <v>1</v>
      </c>
      <c r="J22" t="str">
        <f t="shared" si="2"/>
        <v>Wrong</v>
      </c>
    </row>
    <row r="23" spans="1:10" ht="15.75" x14ac:dyDescent="0.25">
      <c r="A23" s="2">
        <v>19</v>
      </c>
      <c r="B23" s="3">
        <v>2.9359999999999999</v>
      </c>
      <c r="C23" s="4">
        <v>0</v>
      </c>
      <c r="D23" s="4">
        <v>0</v>
      </c>
      <c r="E23">
        <f t="shared" si="3"/>
        <v>-1.1433180944141894</v>
      </c>
      <c r="F23">
        <f t="shared" si="4"/>
        <v>0.24171167585556944</v>
      </c>
      <c r="G23">
        <f t="shared" si="0"/>
        <v>0.75828832414443059</v>
      </c>
      <c r="H23">
        <f t="shared" si="5"/>
        <v>-0.27669159080321676</v>
      </c>
      <c r="I23">
        <f t="shared" si="1"/>
        <v>0</v>
      </c>
      <c r="J23" t="str">
        <f t="shared" si="2"/>
        <v>Correct</v>
      </c>
    </row>
    <row r="24" spans="1:10" ht="15.75" x14ac:dyDescent="0.25">
      <c r="A24" s="2">
        <v>20</v>
      </c>
      <c r="B24" s="3">
        <v>6.4039999999999999</v>
      </c>
      <c r="C24" s="4">
        <v>0</v>
      </c>
      <c r="D24" s="4">
        <v>1</v>
      </c>
      <c r="E24">
        <f t="shared" si="3"/>
        <v>4.1495134375694853E-2</v>
      </c>
      <c r="F24">
        <f t="shared" si="4"/>
        <v>0.51037229534520845</v>
      </c>
      <c r="G24">
        <f t="shared" si="0"/>
        <v>0.51037229534520845</v>
      </c>
      <c r="H24">
        <f t="shared" si="5"/>
        <v>-0.67261482870454858</v>
      </c>
      <c r="I24">
        <f t="shared" si="1"/>
        <v>1</v>
      </c>
      <c r="J24" t="str">
        <f t="shared" si="2"/>
        <v>Correct</v>
      </c>
    </row>
    <row r="25" spans="1:10" ht="15.75" x14ac:dyDescent="0.25">
      <c r="A25" s="4">
        <v>21</v>
      </c>
      <c r="B25" s="3">
        <v>2.2290000000000001</v>
      </c>
      <c r="C25" s="4">
        <v>0</v>
      </c>
      <c r="D25" s="4">
        <v>0</v>
      </c>
      <c r="E25">
        <f t="shared" si="3"/>
        <v>-1.384858738230351</v>
      </c>
      <c r="F25">
        <f t="shared" si="4"/>
        <v>0.2002297985940947</v>
      </c>
      <c r="G25">
        <f t="shared" si="0"/>
        <v>0.79977020140590527</v>
      </c>
      <c r="H25">
        <f t="shared" si="5"/>
        <v>-0.22343084082050674</v>
      </c>
      <c r="I25">
        <f t="shared" si="1"/>
        <v>0</v>
      </c>
      <c r="J25" t="str">
        <f t="shared" si="2"/>
        <v>Correct</v>
      </c>
    </row>
    <row r="26" spans="1:10" ht="15.75" x14ac:dyDescent="0.25">
      <c r="A26" s="2">
        <v>22</v>
      </c>
      <c r="B26" s="3">
        <v>2.9329999999999998</v>
      </c>
      <c r="C26" s="4">
        <v>0</v>
      </c>
      <c r="D26" s="4">
        <v>0</v>
      </c>
      <c r="E26">
        <f t="shared" si="3"/>
        <v>-1.1443430193525892</v>
      </c>
      <c r="F26">
        <f t="shared" si="4"/>
        <v>0.24152387002679804</v>
      </c>
      <c r="G26">
        <f t="shared" si="0"/>
        <v>0.75847612997320191</v>
      </c>
      <c r="H26">
        <f t="shared" si="5"/>
        <v>-0.27644395073066463</v>
      </c>
      <c r="I26">
        <f t="shared" si="1"/>
        <v>0</v>
      </c>
      <c r="J26" t="str">
        <f t="shared" si="2"/>
        <v>Correct</v>
      </c>
    </row>
    <row r="27" spans="1:10" ht="15.75" x14ac:dyDescent="0.25">
      <c r="A27" s="2">
        <v>23</v>
      </c>
      <c r="B27" s="3">
        <v>2.1179999999999999</v>
      </c>
      <c r="C27" s="4">
        <v>0</v>
      </c>
      <c r="D27" s="4">
        <v>0</v>
      </c>
      <c r="E27">
        <f t="shared" si="3"/>
        <v>-1.4227809609511346</v>
      </c>
      <c r="F27">
        <f t="shared" si="4"/>
        <v>0.19422598681054595</v>
      </c>
      <c r="G27">
        <f t="shared" si="0"/>
        <v>0.80577401318945407</v>
      </c>
      <c r="H27">
        <f t="shared" si="5"/>
        <v>-0.21595195644775986</v>
      </c>
      <c r="I27">
        <f t="shared" si="1"/>
        <v>0</v>
      </c>
      <c r="J27" t="str">
        <f t="shared" si="2"/>
        <v>Correct</v>
      </c>
    </row>
    <row r="28" spans="1:10" ht="15.75" x14ac:dyDescent="0.25">
      <c r="A28" s="4">
        <v>24</v>
      </c>
      <c r="B28" s="3">
        <v>2.0499999999999998</v>
      </c>
      <c r="C28" s="4">
        <v>0</v>
      </c>
      <c r="D28" s="4">
        <v>0</v>
      </c>
      <c r="E28">
        <f t="shared" si="3"/>
        <v>-1.4460125928881911</v>
      </c>
      <c r="F28">
        <f t="shared" si="4"/>
        <v>0.19061599051117015</v>
      </c>
      <c r="G28">
        <f t="shared" si="0"/>
        <v>0.80938400948882983</v>
      </c>
      <c r="H28">
        <f t="shared" si="5"/>
        <v>-0.21148180274141778</v>
      </c>
      <c r="I28">
        <f t="shared" si="1"/>
        <v>0</v>
      </c>
      <c r="J28" t="str">
        <f t="shared" si="2"/>
        <v>Correct</v>
      </c>
    </row>
    <row r="29" spans="1:10" ht="15.75" x14ac:dyDescent="0.25">
      <c r="A29" s="2">
        <v>25</v>
      </c>
      <c r="B29" s="3">
        <v>4.9980000000000002</v>
      </c>
      <c r="C29" s="4">
        <v>0</v>
      </c>
      <c r="D29" s="4">
        <v>1</v>
      </c>
      <c r="E29">
        <f t="shared" si="3"/>
        <v>-0.43885302008756244</v>
      </c>
      <c r="F29">
        <f t="shared" si="4"/>
        <v>0.39201430551712901</v>
      </c>
      <c r="G29">
        <f t="shared" si="0"/>
        <v>0.39201430551712901</v>
      </c>
      <c r="H29">
        <f t="shared" si="5"/>
        <v>-0.93645694619140674</v>
      </c>
      <c r="I29">
        <f t="shared" si="1"/>
        <v>0</v>
      </c>
      <c r="J29" t="str">
        <f t="shared" si="2"/>
        <v>Wrong</v>
      </c>
    </row>
    <row r="30" spans="1:10" ht="15.75" x14ac:dyDescent="0.25">
      <c r="A30" s="2">
        <v>26</v>
      </c>
      <c r="B30" s="3">
        <v>1.3939999999999999</v>
      </c>
      <c r="C30" s="4">
        <v>0</v>
      </c>
      <c r="D30" s="4">
        <v>0</v>
      </c>
      <c r="E30">
        <f t="shared" si="3"/>
        <v>-1.6701295127515603</v>
      </c>
      <c r="F30">
        <f t="shared" si="4"/>
        <v>0.15840691219710215</v>
      </c>
      <c r="G30">
        <f t="shared" si="0"/>
        <v>0.84159308780289788</v>
      </c>
      <c r="H30">
        <f t="shared" si="5"/>
        <v>-0.17245865019437578</v>
      </c>
      <c r="I30">
        <f t="shared" si="1"/>
        <v>0</v>
      </c>
      <c r="J30" t="str">
        <f t="shared" si="2"/>
        <v>Correct</v>
      </c>
    </row>
    <row r="31" spans="1:10" ht="15.75" x14ac:dyDescent="0.25">
      <c r="A31" s="4">
        <v>27</v>
      </c>
      <c r="B31" s="3">
        <v>3.9929999999999999</v>
      </c>
      <c r="C31" s="4">
        <v>1</v>
      </c>
      <c r="D31" s="4">
        <v>1</v>
      </c>
      <c r="E31">
        <f t="shared" si="3"/>
        <v>0.31655442979320636</v>
      </c>
      <c r="F31">
        <f t="shared" si="4"/>
        <v>0.57848431154657409</v>
      </c>
      <c r="G31">
        <f t="shared" si="0"/>
        <v>0.57848431154657409</v>
      </c>
      <c r="H31">
        <f t="shared" si="5"/>
        <v>-0.54734385190961388</v>
      </c>
      <c r="I31">
        <f t="shared" si="1"/>
        <v>1</v>
      </c>
      <c r="J31" t="str">
        <f t="shared" si="2"/>
        <v>Correct</v>
      </c>
    </row>
    <row r="32" spans="1:10" ht="15.75" x14ac:dyDescent="0.25">
      <c r="A32" s="2">
        <v>28</v>
      </c>
      <c r="B32" s="3">
        <v>2.0590000000000002</v>
      </c>
      <c r="C32" s="4">
        <v>0</v>
      </c>
      <c r="D32" s="4">
        <v>1</v>
      </c>
      <c r="E32">
        <f t="shared" si="3"/>
        <v>-1.4429378180729924</v>
      </c>
      <c r="F32">
        <f t="shared" si="4"/>
        <v>0.1910908228157335</v>
      </c>
      <c r="G32">
        <f t="shared" si="0"/>
        <v>0.1910908228157335</v>
      </c>
      <c r="H32">
        <f t="shared" si="5"/>
        <v>-1.6550064518313112</v>
      </c>
      <c r="I32">
        <f t="shared" si="1"/>
        <v>0</v>
      </c>
      <c r="J32" t="str">
        <f t="shared" si="2"/>
        <v>Wrong</v>
      </c>
    </row>
    <row r="33" spans="1:10" ht="15.75" x14ac:dyDescent="0.25">
      <c r="A33" s="2">
        <v>29</v>
      </c>
      <c r="B33" s="3">
        <v>1.677</v>
      </c>
      <c r="C33" s="4">
        <v>0</v>
      </c>
      <c r="D33" s="4">
        <v>0</v>
      </c>
      <c r="E33">
        <f t="shared" si="3"/>
        <v>-1.573444926895869</v>
      </c>
      <c r="F33">
        <f t="shared" si="4"/>
        <v>0.17172584457511225</v>
      </c>
      <c r="G33">
        <f t="shared" si="0"/>
        <v>0.8282741554248878</v>
      </c>
      <c r="H33">
        <f t="shared" si="5"/>
        <v>-0.18841107381462169</v>
      </c>
      <c r="I33">
        <f t="shared" si="1"/>
        <v>0</v>
      </c>
      <c r="J33" t="str">
        <f t="shared" si="2"/>
        <v>Correct</v>
      </c>
    </row>
    <row r="34" spans="1:10" ht="15.75" x14ac:dyDescent="0.25">
      <c r="A34" s="4">
        <v>30</v>
      </c>
      <c r="B34" s="3">
        <v>2.2290000000000001</v>
      </c>
      <c r="C34" s="4">
        <v>0</v>
      </c>
      <c r="D34" s="4">
        <v>1</v>
      </c>
      <c r="E34">
        <f t="shared" si="3"/>
        <v>-1.384858738230351</v>
      </c>
      <c r="F34">
        <f t="shared" si="4"/>
        <v>0.2002297985940947</v>
      </c>
      <c r="G34">
        <f t="shared" si="0"/>
        <v>0.2002297985940947</v>
      </c>
      <c r="H34">
        <f t="shared" si="5"/>
        <v>-1.6082895790508576</v>
      </c>
      <c r="I34">
        <f t="shared" si="1"/>
        <v>0</v>
      </c>
      <c r="J34" t="str">
        <f t="shared" si="2"/>
        <v>Wrong</v>
      </c>
    </row>
    <row r="35" spans="1:10" ht="15.75" x14ac:dyDescent="0.25">
      <c r="A35" s="2">
        <v>31</v>
      </c>
      <c r="B35" s="3">
        <v>1.1379999999999999</v>
      </c>
      <c r="C35" s="4">
        <v>0</v>
      </c>
      <c r="D35" s="4">
        <v>0</v>
      </c>
      <c r="E35">
        <f t="shared" si="3"/>
        <v>-1.7575897741616555</v>
      </c>
      <c r="F35">
        <f t="shared" si="4"/>
        <v>0.14709246061540013</v>
      </c>
      <c r="G35">
        <f t="shared" si="0"/>
        <v>0.85290753938459984</v>
      </c>
      <c r="H35">
        <f t="shared" si="5"/>
        <v>-0.15910413199090245</v>
      </c>
      <c r="I35">
        <f t="shared" si="1"/>
        <v>0</v>
      </c>
      <c r="J35" t="str">
        <f t="shared" si="2"/>
        <v>Correct</v>
      </c>
    </row>
    <row r="36" spans="1:10" ht="15.75" x14ac:dyDescent="0.25">
      <c r="A36" s="2">
        <v>32</v>
      </c>
      <c r="B36" s="3">
        <v>2.9329999999999998</v>
      </c>
      <c r="C36" s="4">
        <v>1</v>
      </c>
      <c r="D36" s="4">
        <v>0</v>
      </c>
      <c r="E36">
        <f t="shared" si="3"/>
        <v>-4.5585715107969271E-2</v>
      </c>
      <c r="F36">
        <f t="shared" si="4"/>
        <v>0.4886055443490987</v>
      </c>
      <c r="G36">
        <f t="shared" si="0"/>
        <v>0.51139445565090136</v>
      </c>
      <c r="H36">
        <f t="shared" si="5"/>
        <v>-0.67061405769555027</v>
      </c>
      <c r="I36">
        <f t="shared" si="1"/>
        <v>0</v>
      </c>
      <c r="J36" t="str">
        <f t="shared" si="2"/>
        <v>Correct</v>
      </c>
    </row>
    <row r="37" spans="1:10" ht="15.75" x14ac:dyDescent="0.25">
      <c r="A37" s="4">
        <v>33</v>
      </c>
      <c r="B37" s="3">
        <v>5.3650000000000002</v>
      </c>
      <c r="C37" s="4">
        <v>1</v>
      </c>
      <c r="D37" s="4">
        <v>1</v>
      </c>
      <c r="E37">
        <f t="shared" si="3"/>
        <v>0.78528676828793564</v>
      </c>
      <c r="F37">
        <f t="shared" si="4"/>
        <v>0.6868184134859292</v>
      </c>
      <c r="G37">
        <f t="shared" si="0"/>
        <v>0.6868184134859292</v>
      </c>
      <c r="H37">
        <f t="shared" si="5"/>
        <v>-0.3756853397679375</v>
      </c>
      <c r="I37">
        <f t="shared" si="1"/>
        <v>1</v>
      </c>
      <c r="J37" t="str">
        <f t="shared" si="2"/>
        <v>Correct</v>
      </c>
    </row>
    <row r="38" spans="1:10" ht="15.75" x14ac:dyDescent="0.25">
      <c r="A38" s="2">
        <v>34</v>
      </c>
      <c r="B38" s="3">
        <v>5.3650000000000002</v>
      </c>
      <c r="C38" s="4">
        <v>0</v>
      </c>
      <c r="D38" s="4">
        <v>0</v>
      </c>
      <c r="E38">
        <f t="shared" si="3"/>
        <v>-0.31347053595668384</v>
      </c>
      <c r="F38">
        <f t="shared" si="4"/>
        <v>0.42226784723726157</v>
      </c>
      <c r="G38">
        <f t="shared" si="0"/>
        <v>0.57773215276273837</v>
      </c>
      <c r="H38">
        <f t="shared" si="5"/>
        <v>-0.54864492123902942</v>
      </c>
      <c r="I38">
        <f t="shared" si="1"/>
        <v>0</v>
      </c>
      <c r="J38" t="str">
        <f t="shared" si="2"/>
        <v>Correct</v>
      </c>
    </row>
    <row r="39" spans="1:10" ht="15.75" x14ac:dyDescent="0.25">
      <c r="A39" s="2">
        <v>35</v>
      </c>
      <c r="B39" s="3">
        <v>6.1790000000000003</v>
      </c>
      <c r="C39" s="4">
        <v>0</v>
      </c>
      <c r="D39" s="4">
        <v>0</v>
      </c>
      <c r="E39">
        <f t="shared" si="3"/>
        <v>-3.5374236004271253E-2</v>
      </c>
      <c r="F39">
        <f t="shared" si="4"/>
        <v>0.49115736307261765</v>
      </c>
      <c r="G39">
        <f t="shared" si="0"/>
        <v>0.50884263692738241</v>
      </c>
      <c r="H39">
        <f t="shared" si="5"/>
        <v>-0.67561647147466719</v>
      </c>
      <c r="I39">
        <f t="shared" si="1"/>
        <v>0</v>
      </c>
      <c r="J39" t="str">
        <f t="shared" si="2"/>
        <v>Correct</v>
      </c>
    </row>
    <row r="40" spans="1:10" ht="15.75" x14ac:dyDescent="0.25">
      <c r="A40" s="4">
        <v>36</v>
      </c>
      <c r="B40" s="3">
        <v>1.98</v>
      </c>
      <c r="C40" s="4">
        <v>1</v>
      </c>
      <c r="D40" s="4">
        <v>0</v>
      </c>
      <c r="E40">
        <f t="shared" si="3"/>
        <v>-0.37117020387289434</v>
      </c>
      <c r="F40">
        <f t="shared" si="4"/>
        <v>0.40825828934754582</v>
      </c>
      <c r="G40">
        <f t="shared" si="0"/>
        <v>0.59174171065245418</v>
      </c>
      <c r="H40">
        <f t="shared" si="5"/>
        <v>-0.52468503887804074</v>
      </c>
      <c r="I40">
        <f t="shared" si="1"/>
        <v>0</v>
      </c>
      <c r="J40" t="str">
        <f t="shared" si="2"/>
        <v>Correct</v>
      </c>
    </row>
    <row r="41" spans="1:10" ht="15.75" x14ac:dyDescent="0.25">
      <c r="A41" s="2">
        <v>37</v>
      </c>
      <c r="B41" s="3">
        <v>1.0580000000000001</v>
      </c>
      <c r="C41" s="4">
        <v>1</v>
      </c>
      <c r="D41" s="4">
        <v>0</v>
      </c>
      <c r="E41">
        <f t="shared" si="3"/>
        <v>-0.68616380160769053</v>
      </c>
      <c r="F41">
        <f t="shared" si="4"/>
        <v>0.33488699731274763</v>
      </c>
      <c r="G41">
        <f t="shared" si="0"/>
        <v>0.66511300268725237</v>
      </c>
      <c r="H41">
        <f t="shared" si="5"/>
        <v>-0.40779832390954396</v>
      </c>
      <c r="I41">
        <f t="shared" si="1"/>
        <v>0</v>
      </c>
      <c r="J41" t="str">
        <f t="shared" si="2"/>
        <v>Correct</v>
      </c>
    </row>
    <row r="42" spans="1:10" ht="15.75" x14ac:dyDescent="0.25">
      <c r="A42" s="2">
        <v>38</v>
      </c>
      <c r="B42" s="3">
        <v>6.851</v>
      </c>
      <c r="C42" s="4">
        <v>1</v>
      </c>
      <c r="D42" s="4">
        <v>1</v>
      </c>
      <c r="E42">
        <f t="shared" si="3"/>
        <v>1.2929662544418483</v>
      </c>
      <c r="F42">
        <f t="shared" si="4"/>
        <v>0.7846488353345924</v>
      </c>
      <c r="G42">
        <f t="shared" si="0"/>
        <v>0.7846488353345924</v>
      </c>
      <c r="H42">
        <f t="shared" si="5"/>
        <v>-0.24251900481050481</v>
      </c>
      <c r="I42">
        <f t="shared" si="1"/>
        <v>1</v>
      </c>
      <c r="J42" t="str">
        <f t="shared" si="2"/>
        <v>Correct</v>
      </c>
    </row>
    <row r="43" spans="1:10" ht="15.75" x14ac:dyDescent="0.25">
      <c r="A43" s="4">
        <v>39</v>
      </c>
      <c r="B43" s="3">
        <v>1.1240000000000001</v>
      </c>
      <c r="C43" s="4">
        <v>0</v>
      </c>
      <c r="D43" s="4">
        <v>0</v>
      </c>
      <c r="E43">
        <f t="shared" si="3"/>
        <v>-1.7623727572075201</v>
      </c>
      <c r="F43">
        <f t="shared" si="4"/>
        <v>0.14649341770643656</v>
      </c>
      <c r="G43">
        <f t="shared" si="0"/>
        <v>0.85350658229356346</v>
      </c>
      <c r="H43">
        <f t="shared" si="5"/>
        <v>-0.15840202465838354</v>
      </c>
      <c r="I43">
        <f t="shared" si="1"/>
        <v>0</v>
      </c>
      <c r="J43" t="str">
        <f t="shared" si="2"/>
        <v>Correct</v>
      </c>
    </row>
    <row r="44" spans="1:10" ht="15.75" x14ac:dyDescent="0.25">
      <c r="A44" s="2">
        <v>40</v>
      </c>
      <c r="B44" s="3">
        <v>1.911</v>
      </c>
      <c r="C44" s="4">
        <v>0</v>
      </c>
      <c r="D44" s="4">
        <v>0</v>
      </c>
      <c r="E44">
        <f t="shared" si="3"/>
        <v>-1.4935007817007038</v>
      </c>
      <c r="F44">
        <f t="shared" si="4"/>
        <v>0.18339686056315582</v>
      </c>
      <c r="G44">
        <f t="shared" si="0"/>
        <v>0.81660313943684415</v>
      </c>
      <c r="H44">
        <f t="shared" si="5"/>
        <v>-0.20260205558183267</v>
      </c>
      <c r="I44">
        <f t="shared" si="1"/>
        <v>0</v>
      </c>
      <c r="J44" t="str">
        <f t="shared" si="2"/>
        <v>Correct</v>
      </c>
    </row>
    <row r="45" spans="1:10" ht="15.75" x14ac:dyDescent="0.25">
      <c r="A45" s="2">
        <v>41</v>
      </c>
      <c r="B45" s="3">
        <v>3.2530000000000001</v>
      </c>
      <c r="C45" s="4">
        <v>0</v>
      </c>
      <c r="D45" s="4">
        <v>0</v>
      </c>
      <c r="E45">
        <f t="shared" si="3"/>
        <v>-1.0350176925899699</v>
      </c>
      <c r="F45">
        <f t="shared" si="4"/>
        <v>0.26211247687851702</v>
      </c>
      <c r="G45">
        <f t="shared" si="0"/>
        <v>0.73788752312148298</v>
      </c>
      <c r="H45">
        <f t="shared" si="5"/>
        <v>-0.30396387369136491</v>
      </c>
      <c r="I45">
        <f t="shared" si="1"/>
        <v>0</v>
      </c>
      <c r="J45" t="str">
        <f t="shared" si="2"/>
        <v>Correct</v>
      </c>
    </row>
    <row r="46" spans="1:10" ht="15.75" x14ac:dyDescent="0.25">
      <c r="A46" s="4">
        <v>42</v>
      </c>
      <c r="B46" s="3">
        <v>1.839</v>
      </c>
      <c r="C46" s="4">
        <v>0</v>
      </c>
      <c r="D46" s="4">
        <v>0</v>
      </c>
      <c r="E46">
        <f t="shared" si="3"/>
        <v>-1.5180989802222933</v>
      </c>
      <c r="F46">
        <f t="shared" si="4"/>
        <v>0.17974162482933076</v>
      </c>
      <c r="G46">
        <f t="shared" si="0"/>
        <v>0.82025837517066924</v>
      </c>
      <c r="H46">
        <f t="shared" si="5"/>
        <v>-0.19813589668324588</v>
      </c>
      <c r="I46">
        <f t="shared" si="1"/>
        <v>0</v>
      </c>
      <c r="J46" t="str">
        <f t="shared" si="2"/>
        <v>Correct</v>
      </c>
    </row>
    <row r="47" spans="1:10" ht="15.75" x14ac:dyDescent="0.25">
      <c r="A47" s="2">
        <v>43</v>
      </c>
      <c r="B47" s="3">
        <v>1.657</v>
      </c>
      <c r="C47" s="4">
        <v>1</v>
      </c>
      <c r="D47" s="4">
        <v>0</v>
      </c>
      <c r="E47">
        <f t="shared" si="3"/>
        <v>-0.48152045557391299</v>
      </c>
      <c r="F47">
        <f t="shared" si="4"/>
        <v>0.38189315612340713</v>
      </c>
      <c r="G47">
        <f t="shared" si="0"/>
        <v>0.61810684387659287</v>
      </c>
      <c r="H47">
        <f t="shared" si="5"/>
        <v>-0.48109394993589671</v>
      </c>
      <c r="I47">
        <f t="shared" si="1"/>
        <v>0</v>
      </c>
      <c r="J47" t="str">
        <f t="shared" si="2"/>
        <v>Correct</v>
      </c>
    </row>
    <row r="48" spans="1:10" ht="15.75" x14ac:dyDescent="0.25">
      <c r="A48" s="2">
        <v>44</v>
      </c>
      <c r="B48" s="3">
        <v>1.075</v>
      </c>
      <c r="C48" s="4">
        <v>0</v>
      </c>
      <c r="D48" s="4">
        <v>0</v>
      </c>
      <c r="E48">
        <f t="shared" si="3"/>
        <v>-1.7791131978680461</v>
      </c>
      <c r="F48">
        <f t="shared" si="4"/>
        <v>0.14441267073109743</v>
      </c>
      <c r="G48">
        <f t="shared" si="0"/>
        <v>0.85558732926890257</v>
      </c>
      <c r="H48">
        <f t="shared" si="5"/>
        <v>-0.15596711105967412</v>
      </c>
      <c r="I48">
        <f t="shared" si="1"/>
        <v>0</v>
      </c>
      <c r="J48" t="str">
        <f t="shared" si="2"/>
        <v>Correct</v>
      </c>
    </row>
    <row r="49" spans="1:10" ht="15.75" x14ac:dyDescent="0.25">
      <c r="A49" s="4">
        <v>45</v>
      </c>
      <c r="B49" s="3">
        <v>3.5659999999999998</v>
      </c>
      <c r="C49" s="4">
        <v>0</v>
      </c>
      <c r="D49" s="4">
        <v>0</v>
      </c>
      <c r="E49">
        <f t="shared" si="3"/>
        <v>-0.9280838573502832</v>
      </c>
      <c r="F49">
        <f t="shared" si="4"/>
        <v>0.28331361995464754</v>
      </c>
      <c r="G49">
        <f t="shared" si="0"/>
        <v>0.71668638004535246</v>
      </c>
      <c r="H49">
        <f t="shared" si="5"/>
        <v>-0.33311693986682328</v>
      </c>
      <c r="I49">
        <f t="shared" si="1"/>
        <v>0</v>
      </c>
      <c r="J49" t="str">
        <f t="shared" si="2"/>
        <v>Correct</v>
      </c>
    </row>
    <row r="50" spans="1:10" ht="15.75" x14ac:dyDescent="0.25">
      <c r="A50" s="2">
        <v>46</v>
      </c>
      <c r="B50" s="3">
        <v>2.1179999999999999</v>
      </c>
      <c r="C50" s="4">
        <v>0</v>
      </c>
      <c r="D50" s="4">
        <v>0</v>
      </c>
      <c r="E50">
        <f t="shared" si="3"/>
        <v>-1.4227809609511346</v>
      </c>
      <c r="F50">
        <f t="shared" si="4"/>
        <v>0.19422598681054595</v>
      </c>
      <c r="G50">
        <f t="shared" si="0"/>
        <v>0.80577401318945407</v>
      </c>
      <c r="H50">
        <f t="shared" si="5"/>
        <v>-0.21595195644775986</v>
      </c>
      <c r="I50">
        <f t="shared" si="1"/>
        <v>0</v>
      </c>
      <c r="J50" t="str">
        <f t="shared" si="2"/>
        <v>Correct</v>
      </c>
    </row>
    <row r="51" spans="1:10" ht="15.75" x14ac:dyDescent="0.25">
      <c r="A51" s="2">
        <v>47</v>
      </c>
      <c r="B51" s="3">
        <v>1.554</v>
      </c>
      <c r="C51" s="4">
        <v>1</v>
      </c>
      <c r="D51" s="4">
        <v>0</v>
      </c>
      <c r="E51">
        <f t="shared" si="3"/>
        <v>-0.51670954512563094</v>
      </c>
      <c r="F51">
        <f t="shared" si="4"/>
        <v>0.37362197343199427</v>
      </c>
      <c r="G51">
        <f t="shared" si="0"/>
        <v>0.62637802656800567</v>
      </c>
      <c r="H51">
        <f t="shared" si="5"/>
        <v>-0.46780121383524581</v>
      </c>
      <c r="I51">
        <f t="shared" si="1"/>
        <v>0</v>
      </c>
      <c r="J51" t="str">
        <f t="shared" si="2"/>
        <v>Correct</v>
      </c>
    </row>
    <row r="52" spans="1:10" ht="15.75" x14ac:dyDescent="0.25">
      <c r="A52" s="4">
        <v>48</v>
      </c>
      <c r="B52" s="3">
        <v>4.6310000000000002</v>
      </c>
      <c r="C52" s="4">
        <v>0</v>
      </c>
      <c r="D52" s="4">
        <v>0</v>
      </c>
      <c r="E52">
        <f t="shared" si="3"/>
        <v>-0.56423550421844126</v>
      </c>
      <c r="F52">
        <f t="shared" si="4"/>
        <v>0.36256801330020849</v>
      </c>
      <c r="G52">
        <f t="shared" si="0"/>
        <v>0.63743198669979151</v>
      </c>
      <c r="H52">
        <f t="shared" si="5"/>
        <v>-0.45030769517081398</v>
      </c>
      <c r="I52">
        <f t="shared" si="1"/>
        <v>0</v>
      </c>
      <c r="J52" t="str">
        <f t="shared" si="2"/>
        <v>Correct</v>
      </c>
    </row>
    <row r="53" spans="1:10" ht="15.75" x14ac:dyDescent="0.25">
      <c r="A53" s="2">
        <v>49</v>
      </c>
      <c r="B53" s="3">
        <v>4.3449999999999998</v>
      </c>
      <c r="C53" s="4">
        <v>1</v>
      </c>
      <c r="D53" s="4">
        <v>1</v>
      </c>
      <c r="E53">
        <f t="shared" si="3"/>
        <v>0.43681228923208737</v>
      </c>
      <c r="F53">
        <f t="shared" si="4"/>
        <v>0.60749920150878378</v>
      </c>
      <c r="G53">
        <f t="shared" si="0"/>
        <v>0.60749920150878378</v>
      </c>
      <c r="H53">
        <f t="shared" si="5"/>
        <v>-0.4984044181571306</v>
      </c>
      <c r="I53">
        <f t="shared" si="1"/>
        <v>1</v>
      </c>
      <c r="J53" t="str">
        <f t="shared" si="2"/>
        <v>Correct</v>
      </c>
    </row>
    <row r="54" spans="1:10" ht="15.75" x14ac:dyDescent="0.25">
      <c r="A54" s="2">
        <v>50</v>
      </c>
      <c r="B54" s="3">
        <v>4.0039999999999996</v>
      </c>
      <c r="C54" s="4">
        <v>1</v>
      </c>
      <c r="D54" s="4">
        <v>1</v>
      </c>
      <c r="E54">
        <f t="shared" si="3"/>
        <v>0.32031248790067135</v>
      </c>
      <c r="F54">
        <f t="shared" si="4"/>
        <v>0.57940040595643405</v>
      </c>
      <c r="G54">
        <f t="shared" si="0"/>
        <v>0.57940040595643405</v>
      </c>
      <c r="H54">
        <f t="shared" si="5"/>
        <v>-0.54576149299743615</v>
      </c>
      <c r="I54">
        <f t="shared" si="1"/>
        <v>1</v>
      </c>
      <c r="J54" t="str">
        <f t="shared" si="2"/>
        <v>Correct</v>
      </c>
    </row>
    <row r="55" spans="1:10" ht="15.75" x14ac:dyDescent="0.25">
      <c r="A55" s="4">
        <v>51</v>
      </c>
      <c r="B55" s="3">
        <v>1.0680000000000001</v>
      </c>
      <c r="C55" s="4">
        <v>1</v>
      </c>
      <c r="D55" s="4">
        <v>1</v>
      </c>
      <c r="E55">
        <f t="shared" si="3"/>
        <v>-0.6827473851463588</v>
      </c>
      <c r="F55">
        <f t="shared" si="4"/>
        <v>0.33564839080261277</v>
      </c>
      <c r="G55">
        <f t="shared" si="0"/>
        <v>0.33564839080261277</v>
      </c>
      <c r="H55">
        <f t="shared" si="5"/>
        <v>-1.0916911228808406</v>
      </c>
      <c r="I55">
        <f t="shared" si="1"/>
        <v>0</v>
      </c>
      <c r="J55" t="str">
        <f t="shared" si="2"/>
        <v>Wrong</v>
      </c>
    </row>
    <row r="56" spans="1:10" ht="15.75" x14ac:dyDescent="0.25">
      <c r="A56" s="2">
        <v>52</v>
      </c>
      <c r="B56" s="3">
        <v>2.4209999999999998</v>
      </c>
      <c r="C56" s="4">
        <v>0</v>
      </c>
      <c r="D56" s="4">
        <v>0</v>
      </c>
      <c r="E56">
        <f t="shared" si="3"/>
        <v>-1.3192635421727796</v>
      </c>
      <c r="F56">
        <f t="shared" si="4"/>
        <v>0.2109408469632498</v>
      </c>
      <c r="G56">
        <f t="shared" si="0"/>
        <v>0.78905915303675023</v>
      </c>
      <c r="H56">
        <f t="shared" si="5"/>
        <v>-0.23691398878335346</v>
      </c>
      <c r="I56">
        <f t="shared" si="1"/>
        <v>0</v>
      </c>
      <c r="J56" t="str">
        <f t="shared" si="2"/>
        <v>Correct</v>
      </c>
    </row>
    <row r="57" spans="1:10" ht="15.75" x14ac:dyDescent="0.25">
      <c r="A57" s="2">
        <v>53</v>
      </c>
      <c r="B57" s="3">
        <v>4.4139999999999997</v>
      </c>
      <c r="C57" s="4">
        <v>0</v>
      </c>
      <c r="D57" s="4">
        <v>0</v>
      </c>
      <c r="E57">
        <f t="shared" si="3"/>
        <v>-0.63837174142934261</v>
      </c>
      <c r="F57">
        <f t="shared" si="4"/>
        <v>0.34561470215629497</v>
      </c>
      <c r="G57">
        <f t="shared" si="0"/>
        <v>0.65438529784370503</v>
      </c>
      <c r="H57">
        <f t="shared" si="5"/>
        <v>-0.42405896056623321</v>
      </c>
      <c r="I57">
        <f t="shared" si="1"/>
        <v>0</v>
      </c>
      <c r="J57" t="str">
        <f t="shared" si="2"/>
        <v>Correct</v>
      </c>
    </row>
    <row r="58" spans="1:10" ht="15.75" x14ac:dyDescent="0.25">
      <c r="A58" s="4">
        <v>54</v>
      </c>
      <c r="B58" s="3">
        <v>3.3860000000000001</v>
      </c>
      <c r="C58" s="4">
        <v>1</v>
      </c>
      <c r="D58" s="4">
        <v>1</v>
      </c>
      <c r="E58">
        <f t="shared" si="3"/>
        <v>0.10917795059036361</v>
      </c>
      <c r="F58">
        <f t="shared" si="4"/>
        <v>0.52726740779972403</v>
      </c>
      <c r="G58">
        <f t="shared" si="0"/>
        <v>0.52726740779972403</v>
      </c>
      <c r="H58">
        <f t="shared" si="5"/>
        <v>-0.64004744395258351</v>
      </c>
      <c r="I58">
        <f t="shared" si="1"/>
        <v>1</v>
      </c>
      <c r="J58" t="str">
        <f t="shared" si="2"/>
        <v>Correct</v>
      </c>
    </row>
    <row r="59" spans="1:10" ht="15.75" x14ac:dyDescent="0.25">
      <c r="A59" s="2">
        <v>55</v>
      </c>
      <c r="B59" s="3">
        <v>1.677</v>
      </c>
      <c r="C59" s="4">
        <v>1</v>
      </c>
      <c r="D59" s="4">
        <v>0</v>
      </c>
      <c r="E59">
        <f t="shared" si="3"/>
        <v>-0.47468762265124931</v>
      </c>
      <c r="F59">
        <f t="shared" si="4"/>
        <v>0.38350734799912706</v>
      </c>
      <c r="G59">
        <f t="shared" si="0"/>
        <v>0.61649265200087289</v>
      </c>
      <c r="H59">
        <f t="shared" si="5"/>
        <v>-0.48370887534435197</v>
      </c>
      <c r="I59">
        <f t="shared" si="1"/>
        <v>0</v>
      </c>
      <c r="J59" t="str">
        <f t="shared" si="2"/>
        <v>Correct</v>
      </c>
    </row>
    <row r="60" spans="1:10" ht="15.75" x14ac:dyDescent="0.25">
      <c r="A60" s="2">
        <v>56</v>
      </c>
      <c r="B60" s="3">
        <v>2.0499999999999998</v>
      </c>
      <c r="C60" s="4">
        <v>1</v>
      </c>
      <c r="D60" s="4">
        <v>1</v>
      </c>
      <c r="E60">
        <f t="shared" si="3"/>
        <v>-0.34725528864357136</v>
      </c>
      <c r="F60">
        <f t="shared" si="4"/>
        <v>0.41404816429270674</v>
      </c>
      <c r="G60">
        <f t="shared" si="0"/>
        <v>0.41404816429270674</v>
      </c>
      <c r="H60">
        <f t="shared" si="5"/>
        <v>-0.881772973052392</v>
      </c>
      <c r="I60">
        <f t="shared" si="1"/>
        <v>0</v>
      </c>
      <c r="J60" t="str">
        <f t="shared" si="2"/>
        <v>Wrong</v>
      </c>
    </row>
    <row r="61" spans="1:10" ht="15.75" x14ac:dyDescent="0.25">
      <c r="A61" s="4">
        <v>57</v>
      </c>
      <c r="B61" s="3">
        <v>2.323</v>
      </c>
      <c r="C61" s="4">
        <v>1</v>
      </c>
      <c r="D61" s="4">
        <v>1</v>
      </c>
      <c r="E61">
        <f t="shared" si="3"/>
        <v>-0.25398711924921202</v>
      </c>
      <c r="F61">
        <f t="shared" si="4"/>
        <v>0.43684237769980716</v>
      </c>
      <c r="G61">
        <f t="shared" si="0"/>
        <v>0.43684237769980716</v>
      </c>
      <c r="H61">
        <f t="shared" si="5"/>
        <v>-0.82818284071392168</v>
      </c>
      <c r="I61">
        <f t="shared" si="1"/>
        <v>0</v>
      </c>
      <c r="J61" t="str">
        <f t="shared" si="2"/>
        <v>Wrong</v>
      </c>
    </row>
    <row r="62" spans="1:10" ht="15.75" x14ac:dyDescent="0.25">
      <c r="A62" s="2">
        <v>58</v>
      </c>
      <c r="B62" s="3">
        <v>5.5010000000000003</v>
      </c>
      <c r="C62" s="4">
        <v>0</v>
      </c>
      <c r="D62" s="4">
        <v>0</v>
      </c>
      <c r="E62">
        <f t="shared" si="3"/>
        <v>-0.26700727208257069</v>
      </c>
      <c r="F62">
        <f t="shared" si="4"/>
        <v>0.43364195237931347</v>
      </c>
      <c r="G62">
        <f t="shared" si="0"/>
        <v>0.56635804762068653</v>
      </c>
      <c r="H62">
        <f t="shared" si="5"/>
        <v>-0.56852880781213333</v>
      </c>
      <c r="I62">
        <f t="shared" si="1"/>
        <v>0</v>
      </c>
      <c r="J62" t="str">
        <f t="shared" si="2"/>
        <v>Correct</v>
      </c>
    </row>
    <row r="63" spans="1:10" ht="15.75" x14ac:dyDescent="0.25">
      <c r="A63" s="2">
        <v>59</v>
      </c>
      <c r="B63" s="3">
        <v>3.3450000000000002</v>
      </c>
      <c r="C63" s="4">
        <v>0</v>
      </c>
      <c r="D63" s="4">
        <v>1</v>
      </c>
      <c r="E63">
        <f t="shared" si="3"/>
        <v>-1.0035866611457169</v>
      </c>
      <c r="F63">
        <f t="shared" si="4"/>
        <v>0.26823682566236201</v>
      </c>
      <c r="G63">
        <f t="shared" si="0"/>
        <v>0.26823682566236201</v>
      </c>
      <c r="H63">
        <f t="shared" si="5"/>
        <v>-1.3158850108400475</v>
      </c>
      <c r="I63">
        <f t="shared" si="1"/>
        <v>0</v>
      </c>
      <c r="J63" t="str">
        <f t="shared" si="2"/>
        <v>Wrong</v>
      </c>
    </row>
    <row r="64" spans="1:10" ht="15.75" x14ac:dyDescent="0.25">
      <c r="A64" s="4">
        <v>60</v>
      </c>
      <c r="B64" s="3">
        <v>3.3180000000000001</v>
      </c>
      <c r="C64" s="4">
        <v>1</v>
      </c>
      <c r="D64" s="4">
        <v>1</v>
      </c>
      <c r="E64">
        <f t="shared" si="3"/>
        <v>8.5946318653306708E-2</v>
      </c>
      <c r="F64">
        <f t="shared" si="4"/>
        <v>0.52147336305809278</v>
      </c>
      <c r="G64">
        <f t="shared" si="0"/>
        <v>0.52147336305809278</v>
      </c>
      <c r="H64">
        <f t="shared" si="5"/>
        <v>-0.65109708339501127</v>
      </c>
      <c r="I64">
        <f t="shared" si="1"/>
        <v>1</v>
      </c>
      <c r="J64" t="str">
        <f t="shared" si="2"/>
        <v>Correct</v>
      </c>
    </row>
    <row r="65" spans="1:10" ht="15.75" x14ac:dyDescent="0.25">
      <c r="A65" s="2">
        <v>61</v>
      </c>
      <c r="B65" s="3">
        <v>4.7210000000000001</v>
      </c>
      <c r="C65" s="4">
        <v>0</v>
      </c>
      <c r="D65" s="4">
        <v>1</v>
      </c>
      <c r="E65">
        <f t="shared" si="3"/>
        <v>-0.53348775606645482</v>
      </c>
      <c r="F65">
        <f t="shared" si="4"/>
        <v>0.36970379232545181</v>
      </c>
      <c r="G65">
        <f t="shared" si="0"/>
        <v>0.36970379232545181</v>
      </c>
      <c r="H65">
        <f t="shared" si="5"/>
        <v>-0.99505315524674209</v>
      </c>
      <c r="I65">
        <f t="shared" si="1"/>
        <v>0</v>
      </c>
      <c r="J65" t="str">
        <f t="shared" si="2"/>
        <v>Wrong</v>
      </c>
    </row>
    <row r="66" spans="1:10" ht="15.75" x14ac:dyDescent="0.25">
      <c r="A66" s="2">
        <v>62</v>
      </c>
      <c r="B66" s="3">
        <v>1.6619999999999999</v>
      </c>
      <c r="C66" s="4">
        <v>0</v>
      </c>
      <c r="D66" s="4">
        <v>1</v>
      </c>
      <c r="E66">
        <f t="shared" si="3"/>
        <v>-1.5785695515878668</v>
      </c>
      <c r="F66">
        <f t="shared" si="4"/>
        <v>0.17099816380984431</v>
      </c>
      <c r="G66">
        <f t="shared" si="0"/>
        <v>0.17099816380984431</v>
      </c>
      <c r="H66">
        <f t="shared" si="5"/>
        <v>-1.7661024604912563</v>
      </c>
      <c r="I66">
        <f t="shared" si="1"/>
        <v>0</v>
      </c>
      <c r="J66" t="str">
        <f t="shared" si="2"/>
        <v>Wrong</v>
      </c>
    </row>
    <row r="67" spans="1:10" ht="15.75" x14ac:dyDescent="0.25">
      <c r="A67" s="4">
        <v>63</v>
      </c>
      <c r="B67" s="3">
        <v>2.9359999999999999</v>
      </c>
      <c r="C67" s="4">
        <v>1</v>
      </c>
      <c r="D67" s="4">
        <v>0</v>
      </c>
      <c r="E67">
        <f t="shared" si="3"/>
        <v>-4.4560790169569486E-2</v>
      </c>
      <c r="F67">
        <f t="shared" si="4"/>
        <v>0.48886164548243255</v>
      </c>
      <c r="G67">
        <f t="shared" si="0"/>
        <v>0.51113835451756739</v>
      </c>
      <c r="H67">
        <f t="shared" si="5"/>
        <v>-0.67111497294470845</v>
      </c>
      <c r="I67">
        <f t="shared" si="1"/>
        <v>0</v>
      </c>
      <c r="J67" t="str">
        <f t="shared" si="2"/>
        <v>Correct</v>
      </c>
    </row>
    <row r="68" spans="1:10" ht="15.75" x14ac:dyDescent="0.25">
      <c r="A68" s="2">
        <v>64</v>
      </c>
      <c r="B68" s="3">
        <v>2.0489999999999999</v>
      </c>
      <c r="C68" s="4">
        <v>0</v>
      </c>
      <c r="D68" s="4">
        <v>0</v>
      </c>
      <c r="E68">
        <f t="shared" si="3"/>
        <v>-1.4463542345343243</v>
      </c>
      <c r="F68">
        <f t="shared" si="4"/>
        <v>0.19056328708488035</v>
      </c>
      <c r="G68">
        <f t="shared" si="0"/>
        <v>0.80943671291511965</v>
      </c>
      <c r="H68">
        <f t="shared" si="5"/>
        <v>-0.21141668938380004</v>
      </c>
      <c r="I68">
        <f t="shared" si="1"/>
        <v>0</v>
      </c>
      <c r="J68" t="str">
        <f t="shared" si="2"/>
        <v>Correct</v>
      </c>
    </row>
    <row r="69" spans="1:10" ht="15.75" x14ac:dyDescent="0.25">
      <c r="A69" s="2">
        <v>65</v>
      </c>
      <c r="B69" s="3">
        <v>2.3130000000000002</v>
      </c>
      <c r="C69" s="4">
        <v>0</v>
      </c>
      <c r="D69" s="4">
        <v>1</v>
      </c>
      <c r="E69">
        <f t="shared" si="3"/>
        <v>-1.3561608399551635</v>
      </c>
      <c r="F69">
        <f t="shared" si="4"/>
        <v>0.20486497491103003</v>
      </c>
      <c r="G69">
        <f t="shared" si="0"/>
        <v>0.20486497491103003</v>
      </c>
      <c r="H69">
        <f t="shared" si="5"/>
        <v>-1.58540417582543</v>
      </c>
      <c r="I69">
        <f t="shared" si="1"/>
        <v>0</v>
      </c>
      <c r="J69" t="str">
        <f t="shared" si="2"/>
        <v>Wrong</v>
      </c>
    </row>
    <row r="70" spans="1:10" ht="15.75" x14ac:dyDescent="0.25">
      <c r="A70" s="4">
        <v>66</v>
      </c>
      <c r="B70" s="3">
        <v>6.851</v>
      </c>
      <c r="C70" s="4">
        <v>0</v>
      </c>
      <c r="D70" s="4">
        <v>0</v>
      </c>
      <c r="E70">
        <f t="shared" ref="E70:E104" si="6">$A$3+SUMPRODUCT($B$3:$C$3,B70:C70)</f>
        <v>0.19420895019722861</v>
      </c>
      <c r="F70">
        <f t="shared" ref="F70:F104" si="7">EXP(E70)/(1+EXP(E70))</f>
        <v>0.54840020674060275</v>
      </c>
      <c r="G70">
        <f t="shared" ref="G70:G104" si="8">IF(D70=1,F70,1-F70)</f>
        <v>0.45159979325939725</v>
      </c>
      <c r="H70">
        <f t="shared" ref="H70:H104" si="9">LN(G70)</f>
        <v>-0.794958904502578</v>
      </c>
      <c r="I70">
        <f t="shared" ref="I70:I104" si="10">IF(F70&gt;=$J$2,1,0)</f>
        <v>1</v>
      </c>
      <c r="J70" t="str">
        <f t="shared" ref="J70:J104" si="11">IF(D70=I70,"Correct","Wrong")</f>
        <v>Wrong</v>
      </c>
    </row>
    <row r="71" spans="1:10" ht="15.75" x14ac:dyDescent="0.25">
      <c r="A71" s="2">
        <v>67</v>
      </c>
      <c r="B71" s="3">
        <v>2.2909999999999999</v>
      </c>
      <c r="C71" s="4">
        <v>0</v>
      </c>
      <c r="D71" s="4">
        <v>0</v>
      </c>
      <c r="E71">
        <f t="shared" si="6"/>
        <v>-1.3636769561700937</v>
      </c>
      <c r="F71">
        <f t="shared" si="7"/>
        <v>0.20364335042076029</v>
      </c>
      <c r="G71">
        <f t="shared" si="8"/>
        <v>0.79635664957923968</v>
      </c>
      <c r="H71">
        <f t="shared" si="9"/>
        <v>-0.22770814124795885</v>
      </c>
      <c r="I71">
        <f t="shared" si="10"/>
        <v>0</v>
      </c>
      <c r="J71" t="str">
        <f t="shared" si="11"/>
        <v>Correct</v>
      </c>
    </row>
    <row r="72" spans="1:10" ht="15.75" x14ac:dyDescent="0.25">
      <c r="A72" s="2">
        <v>68</v>
      </c>
      <c r="B72" s="3">
        <v>3.47</v>
      </c>
      <c r="C72" s="4">
        <v>1</v>
      </c>
      <c r="D72" s="4">
        <v>1</v>
      </c>
      <c r="E72">
        <f t="shared" si="6"/>
        <v>0.13787584886555093</v>
      </c>
      <c r="F72">
        <f t="shared" si="7"/>
        <v>0.53441446195566134</v>
      </c>
      <c r="G72">
        <f t="shared" si="8"/>
        <v>0.53441446195566134</v>
      </c>
      <c r="H72">
        <f t="shared" si="9"/>
        <v>-0.62658359508309214</v>
      </c>
      <c r="I72">
        <f t="shared" si="10"/>
        <v>1</v>
      </c>
      <c r="J72" t="str">
        <f t="shared" si="11"/>
        <v>Correct</v>
      </c>
    </row>
    <row r="73" spans="1:10" ht="15.75" x14ac:dyDescent="0.25">
      <c r="A73" s="4">
        <v>69</v>
      </c>
      <c r="B73" s="3">
        <v>3.2530000000000001</v>
      </c>
      <c r="C73" s="4">
        <v>0</v>
      </c>
      <c r="D73" s="4">
        <v>0</v>
      </c>
      <c r="E73">
        <f t="shared" si="6"/>
        <v>-1.0350176925899699</v>
      </c>
      <c r="F73">
        <f t="shared" si="7"/>
        <v>0.26211247687851702</v>
      </c>
      <c r="G73">
        <f t="shared" si="8"/>
        <v>0.73788752312148298</v>
      </c>
      <c r="H73">
        <f t="shared" si="9"/>
        <v>-0.30396387369136491</v>
      </c>
      <c r="I73">
        <f t="shared" si="10"/>
        <v>0</v>
      </c>
      <c r="J73" t="str">
        <f t="shared" si="11"/>
        <v>Correct</v>
      </c>
    </row>
    <row r="74" spans="1:10" ht="15.75" x14ac:dyDescent="0.25">
      <c r="A74" s="2">
        <v>70</v>
      </c>
      <c r="B74" s="3">
        <v>2.0590000000000002</v>
      </c>
      <c r="C74" s="4">
        <v>0</v>
      </c>
      <c r="D74" s="4">
        <v>0</v>
      </c>
      <c r="E74">
        <f t="shared" si="6"/>
        <v>-1.4429378180729924</v>
      </c>
      <c r="F74">
        <f t="shared" si="7"/>
        <v>0.1910908228157335</v>
      </c>
      <c r="G74">
        <f t="shared" si="8"/>
        <v>0.80890917718426647</v>
      </c>
      <c r="H74">
        <f t="shared" si="9"/>
        <v>-0.21206863375831905</v>
      </c>
      <c r="I74">
        <f t="shared" si="10"/>
        <v>0</v>
      </c>
      <c r="J74" t="str">
        <f t="shared" si="11"/>
        <v>Correct</v>
      </c>
    </row>
    <row r="75" spans="1:10" ht="15.75" x14ac:dyDescent="0.25">
      <c r="A75" s="2">
        <v>71</v>
      </c>
      <c r="B75" s="3">
        <v>2.6779999999999999</v>
      </c>
      <c r="C75" s="4">
        <v>1</v>
      </c>
      <c r="D75" s="4">
        <v>1</v>
      </c>
      <c r="E75">
        <f t="shared" si="6"/>
        <v>-0.13270433487193145</v>
      </c>
      <c r="F75">
        <f t="shared" si="7"/>
        <v>0.46687251781504835</v>
      </c>
      <c r="G75">
        <f t="shared" si="8"/>
        <v>0.46687251781504835</v>
      </c>
      <c r="H75">
        <f t="shared" si="9"/>
        <v>-0.76169903970346242</v>
      </c>
      <c r="I75">
        <f t="shared" si="10"/>
        <v>0</v>
      </c>
      <c r="J75" t="str">
        <f t="shared" si="11"/>
        <v>Wrong</v>
      </c>
    </row>
    <row r="76" spans="1:10" ht="15.75" x14ac:dyDescent="0.25">
      <c r="A76" s="4">
        <v>72</v>
      </c>
      <c r="B76" s="3">
        <v>2.323</v>
      </c>
      <c r="C76" s="4">
        <v>1</v>
      </c>
      <c r="D76" s="4">
        <v>0</v>
      </c>
      <c r="E76">
        <f t="shared" si="6"/>
        <v>-0.25398711924921202</v>
      </c>
      <c r="F76">
        <f t="shared" si="7"/>
        <v>0.43684237769980716</v>
      </c>
      <c r="G76">
        <f t="shared" si="8"/>
        <v>0.56315762230019284</v>
      </c>
      <c r="H76">
        <f t="shared" si="9"/>
        <v>-0.57419572146470965</v>
      </c>
      <c r="I76">
        <f t="shared" si="10"/>
        <v>0</v>
      </c>
      <c r="J76" t="str">
        <f t="shared" si="11"/>
        <v>Correct</v>
      </c>
    </row>
    <row r="77" spans="1:10" ht="15.75" x14ac:dyDescent="0.25">
      <c r="A77" s="2">
        <v>73</v>
      </c>
      <c r="B77" s="3">
        <v>1.8779999999999999</v>
      </c>
      <c r="C77" s="4">
        <v>1</v>
      </c>
      <c r="D77" s="4">
        <v>0</v>
      </c>
      <c r="E77">
        <f t="shared" si="6"/>
        <v>-0.40601765177847926</v>
      </c>
      <c r="F77">
        <f t="shared" si="7"/>
        <v>0.39986739684940126</v>
      </c>
      <c r="G77">
        <f t="shared" si="8"/>
        <v>0.60013260315059869</v>
      </c>
      <c r="H77">
        <f t="shared" si="9"/>
        <v>-0.51060464293305574</v>
      </c>
      <c r="I77">
        <f t="shared" si="10"/>
        <v>0</v>
      </c>
      <c r="J77" t="str">
        <f t="shared" si="11"/>
        <v>Correct</v>
      </c>
    </row>
    <row r="78" spans="1:10" ht="15.75" x14ac:dyDescent="0.25">
      <c r="A78" s="2">
        <v>74</v>
      </c>
      <c r="B78" s="3">
        <v>2.6779999999999999</v>
      </c>
      <c r="C78" s="4">
        <v>1</v>
      </c>
      <c r="D78" s="4">
        <v>1</v>
      </c>
      <c r="E78">
        <f t="shared" si="6"/>
        <v>-0.13270433487193145</v>
      </c>
      <c r="F78">
        <f t="shared" si="7"/>
        <v>0.46687251781504835</v>
      </c>
      <c r="G78">
        <f t="shared" si="8"/>
        <v>0.46687251781504835</v>
      </c>
      <c r="H78">
        <f t="shared" si="9"/>
        <v>-0.76169903970346242</v>
      </c>
      <c r="I78">
        <f t="shared" si="10"/>
        <v>0</v>
      </c>
      <c r="J78" t="str">
        <f t="shared" si="11"/>
        <v>Wrong</v>
      </c>
    </row>
    <row r="79" spans="1:10" ht="15.75" x14ac:dyDescent="0.25">
      <c r="A79" s="4">
        <v>75</v>
      </c>
      <c r="B79" s="3">
        <v>6.1790000000000003</v>
      </c>
      <c r="C79" s="4">
        <v>1</v>
      </c>
      <c r="D79" s="4">
        <v>1</v>
      </c>
      <c r="E79">
        <f t="shared" si="6"/>
        <v>1.0633830682403485</v>
      </c>
      <c r="F79">
        <f t="shared" si="7"/>
        <v>0.74333652304994491</v>
      </c>
      <c r="G79">
        <f t="shared" si="8"/>
        <v>0.74333652304994491</v>
      </c>
      <c r="H79">
        <f t="shared" si="9"/>
        <v>-0.29660641210670846</v>
      </c>
      <c r="I79">
        <f t="shared" si="10"/>
        <v>1</v>
      </c>
      <c r="J79" t="str">
        <f t="shared" si="11"/>
        <v>Correct</v>
      </c>
    </row>
    <row r="80" spans="1:10" ht="15.75" x14ac:dyDescent="0.25">
      <c r="A80" s="2">
        <v>76</v>
      </c>
      <c r="B80" s="3">
        <v>3.411</v>
      </c>
      <c r="C80" s="4">
        <v>1</v>
      </c>
      <c r="D80" s="4">
        <v>1</v>
      </c>
      <c r="E80">
        <f t="shared" si="6"/>
        <v>0.11771899174369294</v>
      </c>
      <c r="F80">
        <f t="shared" si="7"/>
        <v>0.52939580909896911</v>
      </c>
      <c r="G80">
        <f t="shared" si="8"/>
        <v>0.52939580909896911</v>
      </c>
      <c r="H80">
        <f t="shared" si="9"/>
        <v>-0.6360189055427804</v>
      </c>
      <c r="I80">
        <f t="shared" si="10"/>
        <v>1</v>
      </c>
      <c r="J80" t="str">
        <f t="shared" si="11"/>
        <v>Correct</v>
      </c>
    </row>
    <row r="81" spans="1:10" ht="15.75" x14ac:dyDescent="0.25">
      <c r="A81" s="2">
        <v>77</v>
      </c>
      <c r="B81" s="3">
        <v>5.9909999999999997</v>
      </c>
      <c r="C81" s="4">
        <v>0</v>
      </c>
      <c r="D81" s="4">
        <v>1</v>
      </c>
      <c r="E81">
        <f t="shared" si="6"/>
        <v>-9.9602865477310232E-2</v>
      </c>
      <c r="F81">
        <f t="shared" si="7"/>
        <v>0.47511984933690554</v>
      </c>
      <c r="G81">
        <f t="shared" si="8"/>
        <v>0.47511984933690554</v>
      </c>
      <c r="H81">
        <f t="shared" si="9"/>
        <v>-0.74418819237993372</v>
      </c>
      <c r="I81">
        <f t="shared" si="10"/>
        <v>0</v>
      </c>
      <c r="J81" t="str">
        <f t="shared" si="11"/>
        <v>Wrong</v>
      </c>
    </row>
    <row r="82" spans="1:10" ht="15.75" x14ac:dyDescent="0.25">
      <c r="A82" s="4">
        <v>78</v>
      </c>
      <c r="B82" s="3">
        <v>7.0759999999999996</v>
      </c>
      <c r="C82" s="4">
        <v>1</v>
      </c>
      <c r="D82" s="4">
        <v>1</v>
      </c>
      <c r="E82">
        <f t="shared" si="6"/>
        <v>1.3698356248218149</v>
      </c>
      <c r="F82">
        <f t="shared" si="7"/>
        <v>0.79735359498775571</v>
      </c>
      <c r="G82">
        <f t="shared" si="8"/>
        <v>0.79735359498775571</v>
      </c>
      <c r="H82">
        <f t="shared" si="9"/>
        <v>-0.22645704112865694</v>
      </c>
      <c r="I82">
        <f t="shared" si="10"/>
        <v>1</v>
      </c>
      <c r="J82" t="str">
        <f t="shared" si="11"/>
        <v>Correct</v>
      </c>
    </row>
    <row r="83" spans="1:10" ht="15.75" x14ac:dyDescent="0.25">
      <c r="A83" s="2">
        <v>79</v>
      </c>
      <c r="B83" s="3">
        <v>3.2549999999999999</v>
      </c>
      <c r="C83" s="4">
        <v>1</v>
      </c>
      <c r="D83" s="4">
        <v>1</v>
      </c>
      <c r="E83">
        <f t="shared" si="6"/>
        <v>6.4422894946916109E-2</v>
      </c>
      <c r="F83">
        <f t="shared" si="7"/>
        <v>0.51610015573623413</v>
      </c>
      <c r="G83">
        <f t="shared" si="8"/>
        <v>0.51610015573623413</v>
      </c>
      <c r="H83">
        <f t="shared" si="9"/>
        <v>-0.66145443207157373</v>
      </c>
      <c r="I83">
        <f t="shared" si="10"/>
        <v>1</v>
      </c>
      <c r="J83" t="str">
        <f t="shared" si="11"/>
        <v>Correct</v>
      </c>
    </row>
    <row r="84" spans="1:10" ht="15.75" x14ac:dyDescent="0.25">
      <c r="A84" s="2">
        <v>80</v>
      </c>
      <c r="B84" s="3">
        <v>2.1480000000000001</v>
      </c>
      <c r="C84" s="4">
        <v>1</v>
      </c>
      <c r="D84" s="4">
        <v>0</v>
      </c>
      <c r="E84">
        <f t="shared" si="6"/>
        <v>-0.31377440732251927</v>
      </c>
      <c r="F84">
        <f t="shared" si="7"/>
        <v>0.42219371722554427</v>
      </c>
      <c r="G84">
        <f t="shared" si="8"/>
        <v>0.57780628277445567</v>
      </c>
      <c r="H84">
        <f t="shared" si="9"/>
        <v>-0.54851661739462365</v>
      </c>
      <c r="I84">
        <f t="shared" si="10"/>
        <v>0</v>
      </c>
      <c r="J84" t="str">
        <f t="shared" si="11"/>
        <v>Correct</v>
      </c>
    </row>
    <row r="85" spans="1:10" ht="15.75" x14ac:dyDescent="0.25">
      <c r="A85" s="4">
        <v>81</v>
      </c>
      <c r="B85" s="3">
        <v>5.5010000000000003</v>
      </c>
      <c r="C85" s="4">
        <v>1</v>
      </c>
      <c r="D85" s="4">
        <v>1</v>
      </c>
      <c r="E85">
        <f t="shared" si="6"/>
        <v>0.83175003216204901</v>
      </c>
      <c r="F85">
        <f t="shared" si="7"/>
        <v>0.69672483771710425</v>
      </c>
      <c r="G85">
        <f t="shared" si="8"/>
        <v>0.69672483771710425</v>
      </c>
      <c r="H85">
        <f t="shared" si="9"/>
        <v>-0.36136472706178652</v>
      </c>
      <c r="I85">
        <f t="shared" si="10"/>
        <v>1</v>
      </c>
      <c r="J85" t="str">
        <f t="shared" si="11"/>
        <v>Correct</v>
      </c>
    </row>
    <row r="86" spans="1:10" ht="15.75" x14ac:dyDescent="0.25">
      <c r="A86" s="2">
        <v>82</v>
      </c>
      <c r="B86" s="3">
        <v>5.9909999999999997</v>
      </c>
      <c r="C86" s="4">
        <v>1</v>
      </c>
      <c r="D86" s="4">
        <v>1</v>
      </c>
      <c r="E86">
        <f t="shared" si="6"/>
        <v>0.99915443876730947</v>
      </c>
      <c r="F86">
        <f t="shared" si="7"/>
        <v>0.73089229872447903</v>
      </c>
      <c r="G86">
        <f t="shared" si="8"/>
        <v>0.73089229872447903</v>
      </c>
      <c r="H86">
        <f t="shared" si="9"/>
        <v>-0.31348916425334239</v>
      </c>
      <c r="I86">
        <f t="shared" si="10"/>
        <v>1</v>
      </c>
      <c r="J86" t="str">
        <f t="shared" si="11"/>
        <v>Correct</v>
      </c>
    </row>
    <row r="87" spans="1:10" ht="15.75" x14ac:dyDescent="0.25">
      <c r="A87" s="2">
        <v>83</v>
      </c>
      <c r="B87" s="3">
        <v>2.3719999999999999</v>
      </c>
      <c r="C87" s="4">
        <v>1</v>
      </c>
      <c r="D87" s="4">
        <v>0</v>
      </c>
      <c r="E87">
        <f t="shared" si="6"/>
        <v>-0.23724667858868598</v>
      </c>
      <c r="F87">
        <f t="shared" si="7"/>
        <v>0.44096497465710494</v>
      </c>
      <c r="G87">
        <f t="shared" si="8"/>
        <v>0.55903502534289506</v>
      </c>
      <c r="H87">
        <f t="shared" si="9"/>
        <v>-0.58154315064698969</v>
      </c>
      <c r="I87">
        <f t="shared" si="10"/>
        <v>0</v>
      </c>
      <c r="J87" t="str">
        <f t="shared" si="11"/>
        <v>Correct</v>
      </c>
    </row>
    <row r="88" spans="1:10" ht="15.75" x14ac:dyDescent="0.25">
      <c r="A88" s="4">
        <v>84</v>
      </c>
      <c r="B88" s="3">
        <v>3.9950000000000001</v>
      </c>
      <c r="C88" s="4">
        <v>1</v>
      </c>
      <c r="D88" s="4">
        <v>0</v>
      </c>
      <c r="E88">
        <f t="shared" si="6"/>
        <v>0.31723771308547288</v>
      </c>
      <c r="F88">
        <f t="shared" si="7"/>
        <v>0.5786509145490869</v>
      </c>
      <c r="G88">
        <f t="shared" si="8"/>
        <v>0.4213490854509131</v>
      </c>
      <c r="H88">
        <f t="shared" si="9"/>
        <v>-0.86429360728728111</v>
      </c>
      <c r="I88">
        <f t="shared" si="10"/>
        <v>1</v>
      </c>
      <c r="J88" t="str">
        <f t="shared" si="11"/>
        <v>Wrong</v>
      </c>
    </row>
    <row r="89" spans="1:10" ht="15.75" x14ac:dyDescent="0.25">
      <c r="A89" s="2">
        <v>85</v>
      </c>
      <c r="B89" s="3">
        <v>2.1349999999999998</v>
      </c>
      <c r="C89" s="4">
        <v>0</v>
      </c>
      <c r="D89" s="4">
        <v>1</v>
      </c>
      <c r="E89">
        <f t="shared" si="6"/>
        <v>-1.4169730529668705</v>
      </c>
      <c r="F89">
        <f t="shared" si="7"/>
        <v>0.19513655201431571</v>
      </c>
      <c r="G89">
        <f t="shared" si="8"/>
        <v>0.19513655201431571</v>
      </c>
      <c r="H89">
        <f t="shared" si="9"/>
        <v>-1.6340556987506594</v>
      </c>
      <c r="I89">
        <f t="shared" si="10"/>
        <v>0</v>
      </c>
      <c r="J89" t="str">
        <f t="shared" si="11"/>
        <v>Wrong</v>
      </c>
    </row>
    <row r="90" spans="1:10" ht="15.75" x14ac:dyDescent="0.25">
      <c r="A90" s="2">
        <v>86</v>
      </c>
      <c r="B90" s="3">
        <v>6.7370000000000001</v>
      </c>
      <c r="C90" s="4">
        <v>1</v>
      </c>
      <c r="D90" s="4">
        <v>1</v>
      </c>
      <c r="E90">
        <f t="shared" si="6"/>
        <v>1.2540191067826654</v>
      </c>
      <c r="F90">
        <f t="shared" si="7"/>
        <v>0.77799481234121648</v>
      </c>
      <c r="G90">
        <f t="shared" si="8"/>
        <v>0.77799481234121648</v>
      </c>
      <c r="H90">
        <f t="shared" si="9"/>
        <v>-0.2510354227678574</v>
      </c>
      <c r="I90">
        <f t="shared" si="10"/>
        <v>1</v>
      </c>
      <c r="J90" t="str">
        <f t="shared" si="11"/>
        <v>Correct</v>
      </c>
    </row>
    <row r="91" spans="1:10" ht="15.75" x14ac:dyDescent="0.25">
      <c r="A91" s="4">
        <v>87</v>
      </c>
      <c r="B91" s="3">
        <v>6.4859999999999998</v>
      </c>
      <c r="C91" s="4">
        <v>1</v>
      </c>
      <c r="D91" s="4">
        <v>1</v>
      </c>
      <c r="E91">
        <f t="shared" si="6"/>
        <v>1.1682670536032358</v>
      </c>
      <c r="F91">
        <f t="shared" si="7"/>
        <v>0.76283163469117765</v>
      </c>
      <c r="G91">
        <f t="shared" si="8"/>
        <v>0.76283163469117765</v>
      </c>
      <c r="H91">
        <f t="shared" si="9"/>
        <v>-0.27071793431300212</v>
      </c>
      <c r="I91">
        <f t="shared" si="10"/>
        <v>1</v>
      </c>
      <c r="J91" t="str">
        <f t="shared" si="11"/>
        <v>Correct</v>
      </c>
    </row>
    <row r="92" spans="1:10" ht="15.75" x14ac:dyDescent="0.25">
      <c r="A92" s="2">
        <v>88</v>
      </c>
      <c r="B92" s="3">
        <v>2.4289999999999998</v>
      </c>
      <c r="C92" s="4">
        <v>1</v>
      </c>
      <c r="D92" s="4">
        <v>0</v>
      </c>
      <c r="E92">
        <f t="shared" si="6"/>
        <v>-0.2177731047590945</v>
      </c>
      <c r="F92">
        <f t="shared" si="7"/>
        <v>0.44577087319367331</v>
      </c>
      <c r="G92">
        <f t="shared" si="8"/>
        <v>0.55422912680632663</v>
      </c>
      <c r="H92">
        <f t="shared" si="9"/>
        <v>-0.59017709144508124</v>
      </c>
      <c r="I92">
        <f t="shared" si="10"/>
        <v>0</v>
      </c>
      <c r="J92" t="str">
        <f t="shared" si="11"/>
        <v>Correct</v>
      </c>
    </row>
    <row r="93" spans="1:10" ht="15.75" x14ac:dyDescent="0.25">
      <c r="A93" s="2">
        <v>89</v>
      </c>
      <c r="B93" s="3">
        <v>4.7009999999999996</v>
      </c>
      <c r="C93" s="4">
        <v>1</v>
      </c>
      <c r="D93" s="4">
        <v>1</v>
      </c>
      <c r="E93">
        <f t="shared" si="6"/>
        <v>0.55843671525550143</v>
      </c>
      <c r="F93">
        <f t="shared" si="7"/>
        <v>0.63609074925496623</v>
      </c>
      <c r="G93">
        <f t="shared" si="8"/>
        <v>0.63609074925496623</v>
      </c>
      <c r="H93">
        <f t="shared" si="9"/>
        <v>-0.45241403831310056</v>
      </c>
      <c r="I93">
        <f t="shared" si="10"/>
        <v>1</v>
      </c>
      <c r="J93" t="str">
        <f t="shared" si="11"/>
        <v>Correct</v>
      </c>
    </row>
    <row r="94" spans="1:10" ht="15.75" x14ac:dyDescent="0.25">
      <c r="A94" s="4">
        <v>90</v>
      </c>
      <c r="B94" s="3">
        <v>6.4039999999999999</v>
      </c>
      <c r="C94" s="4">
        <v>1</v>
      </c>
      <c r="D94" s="4">
        <v>0</v>
      </c>
      <c r="E94">
        <f t="shared" si="6"/>
        <v>1.1402524386203146</v>
      </c>
      <c r="F94">
        <f t="shared" si="7"/>
        <v>0.75772598402333002</v>
      </c>
      <c r="G94">
        <f t="shared" si="8"/>
        <v>0.24227401597666998</v>
      </c>
      <c r="H94">
        <f t="shared" si="9"/>
        <v>-1.4176858959664285</v>
      </c>
      <c r="I94">
        <f t="shared" si="10"/>
        <v>1</v>
      </c>
      <c r="J94" t="str">
        <f t="shared" si="11"/>
        <v>Wrong</v>
      </c>
    </row>
    <row r="95" spans="1:10" ht="15.75" x14ac:dyDescent="0.25">
      <c r="A95" s="2">
        <v>91</v>
      </c>
      <c r="B95" s="3">
        <v>1.1299999999999999</v>
      </c>
      <c r="C95" s="4">
        <v>1</v>
      </c>
      <c r="D95" s="4">
        <v>0</v>
      </c>
      <c r="E95">
        <f t="shared" si="6"/>
        <v>-0.66156560308610146</v>
      </c>
      <c r="F95">
        <f t="shared" si="7"/>
        <v>0.34038800827238974</v>
      </c>
      <c r="G95">
        <f t="shared" si="8"/>
        <v>0.6596119917276102</v>
      </c>
      <c r="H95">
        <f t="shared" si="9"/>
        <v>-0.41610350815932978</v>
      </c>
      <c r="I95">
        <f t="shared" si="10"/>
        <v>0</v>
      </c>
      <c r="J95" t="str">
        <f t="shared" si="11"/>
        <v>Correct</v>
      </c>
    </row>
    <row r="96" spans="1:10" ht="15.75" x14ac:dyDescent="0.25">
      <c r="A96" s="2">
        <v>92</v>
      </c>
      <c r="B96" s="3">
        <v>1.911</v>
      </c>
      <c r="C96" s="4">
        <v>1</v>
      </c>
      <c r="D96" s="4">
        <v>1</v>
      </c>
      <c r="E96">
        <f t="shared" si="6"/>
        <v>-0.39474347745608407</v>
      </c>
      <c r="F96">
        <f t="shared" si="7"/>
        <v>0.40257592849596807</v>
      </c>
      <c r="G96">
        <f t="shared" si="8"/>
        <v>0.40257592849596807</v>
      </c>
      <c r="H96">
        <f t="shared" si="9"/>
        <v>-0.9098715576882187</v>
      </c>
      <c r="I96">
        <f t="shared" si="10"/>
        <v>0</v>
      </c>
      <c r="J96" t="str">
        <f t="shared" si="11"/>
        <v>Wrong</v>
      </c>
    </row>
    <row r="97" spans="1:10" ht="15.75" x14ac:dyDescent="0.25">
      <c r="A97" s="4">
        <v>93</v>
      </c>
      <c r="B97" s="3">
        <v>4.9589999999999996</v>
      </c>
      <c r="C97" s="4">
        <v>1</v>
      </c>
      <c r="D97" s="4">
        <v>1</v>
      </c>
      <c r="E97">
        <f t="shared" si="6"/>
        <v>0.6465802599578625</v>
      </c>
      <c r="F97">
        <f t="shared" si="7"/>
        <v>0.65623941882145664</v>
      </c>
      <c r="G97">
        <f t="shared" si="8"/>
        <v>0.65623941882145664</v>
      </c>
      <c r="H97">
        <f t="shared" si="9"/>
        <v>-0.4212295889069293</v>
      </c>
      <c r="I97">
        <f t="shared" si="10"/>
        <v>1</v>
      </c>
      <c r="J97" t="str">
        <f t="shared" si="11"/>
        <v>Correct</v>
      </c>
    </row>
    <row r="98" spans="1:10" ht="15.75" x14ac:dyDescent="0.25">
      <c r="A98" s="2">
        <v>94</v>
      </c>
      <c r="B98" s="3">
        <v>6.0730000000000004</v>
      </c>
      <c r="C98" s="4">
        <v>1</v>
      </c>
      <c r="D98" s="4">
        <v>1</v>
      </c>
      <c r="E98">
        <f t="shared" si="6"/>
        <v>1.0271690537502307</v>
      </c>
      <c r="F98">
        <f t="shared" si="7"/>
        <v>0.73636668987062792</v>
      </c>
      <c r="G98">
        <f t="shared" si="8"/>
        <v>0.73636668987062792</v>
      </c>
      <c r="H98">
        <f t="shared" si="9"/>
        <v>-0.30602706439068539</v>
      </c>
      <c r="I98">
        <f t="shared" si="10"/>
        <v>1</v>
      </c>
      <c r="J98" t="str">
        <f t="shared" si="11"/>
        <v>Correct</v>
      </c>
    </row>
    <row r="99" spans="1:10" ht="15.75" x14ac:dyDescent="0.25">
      <c r="A99" s="2">
        <v>95</v>
      </c>
      <c r="B99" s="3">
        <v>1.403</v>
      </c>
      <c r="C99" s="4">
        <v>1</v>
      </c>
      <c r="D99" s="4">
        <v>0</v>
      </c>
      <c r="E99">
        <f t="shared" si="6"/>
        <v>-0.5682974336917419</v>
      </c>
      <c r="F99">
        <f t="shared" si="7"/>
        <v>0.36162977588261164</v>
      </c>
      <c r="G99">
        <f t="shared" si="8"/>
        <v>0.63837022411738831</v>
      </c>
      <c r="H99">
        <f t="shared" si="9"/>
        <v>-0.44883687535441402</v>
      </c>
      <c r="I99">
        <f t="shared" si="10"/>
        <v>0</v>
      </c>
      <c r="J99" t="str">
        <f t="shared" si="11"/>
        <v>Correct</v>
      </c>
    </row>
    <row r="100" spans="1:10" ht="15.75" x14ac:dyDescent="0.25">
      <c r="A100" s="4">
        <v>96</v>
      </c>
      <c r="B100" s="3">
        <v>3.3180000000000001</v>
      </c>
      <c r="C100" s="4">
        <v>0</v>
      </c>
      <c r="D100" s="4">
        <v>0</v>
      </c>
      <c r="E100">
        <f t="shared" si="6"/>
        <v>-1.012810985591313</v>
      </c>
      <c r="F100">
        <f t="shared" si="7"/>
        <v>0.26643009681488111</v>
      </c>
      <c r="G100">
        <f t="shared" si="8"/>
        <v>0.73356990318511883</v>
      </c>
      <c r="H100">
        <f t="shared" si="9"/>
        <v>-0.3098323850740653</v>
      </c>
      <c r="I100">
        <f t="shared" si="10"/>
        <v>0</v>
      </c>
      <c r="J100" t="str">
        <f t="shared" si="11"/>
        <v>Correct</v>
      </c>
    </row>
    <row r="101" spans="1:10" ht="15.75" x14ac:dyDescent="0.25">
      <c r="A101" s="2">
        <v>97</v>
      </c>
      <c r="B101" s="3">
        <v>2.4209999999999998</v>
      </c>
      <c r="C101" s="4">
        <v>1</v>
      </c>
      <c r="D101" s="4">
        <v>0</v>
      </c>
      <c r="E101">
        <f t="shared" si="6"/>
        <v>-0.22050623792815993</v>
      </c>
      <c r="F101">
        <f t="shared" si="7"/>
        <v>0.44509572798170843</v>
      </c>
      <c r="G101">
        <f t="shared" si="8"/>
        <v>0.55490427201829151</v>
      </c>
      <c r="H101">
        <f t="shared" si="9"/>
        <v>-0.58895966296250524</v>
      </c>
      <c r="I101">
        <f t="shared" si="10"/>
        <v>0</v>
      </c>
      <c r="J101" t="str">
        <f t="shared" si="11"/>
        <v>Correct</v>
      </c>
    </row>
    <row r="102" spans="1:10" ht="15.75" x14ac:dyDescent="0.25">
      <c r="A102" s="2">
        <v>98</v>
      </c>
      <c r="B102" s="3">
        <v>6.0730000000000004</v>
      </c>
      <c r="C102" s="4">
        <v>0</v>
      </c>
      <c r="D102" s="4">
        <v>0</v>
      </c>
      <c r="E102">
        <f t="shared" si="6"/>
        <v>-7.1588250494388994E-2</v>
      </c>
      <c r="F102">
        <f t="shared" si="7"/>
        <v>0.48211057681593272</v>
      </c>
      <c r="G102">
        <f t="shared" si="8"/>
        <v>0.51788942318406728</v>
      </c>
      <c r="H102">
        <f t="shared" si="9"/>
        <v>-0.65799352826697888</v>
      </c>
      <c r="I102">
        <f t="shared" si="10"/>
        <v>0</v>
      </c>
      <c r="J102" t="str">
        <f t="shared" si="11"/>
        <v>Correct</v>
      </c>
    </row>
    <row r="103" spans="1:10" ht="15.75" x14ac:dyDescent="0.25">
      <c r="A103" s="4">
        <v>99</v>
      </c>
      <c r="B103" s="3">
        <v>2.63</v>
      </c>
      <c r="C103" s="4">
        <v>1</v>
      </c>
      <c r="D103" s="4">
        <v>0</v>
      </c>
      <c r="E103">
        <f t="shared" si="6"/>
        <v>-0.14910313388632446</v>
      </c>
      <c r="F103">
        <f t="shared" si="7"/>
        <v>0.46279312215120794</v>
      </c>
      <c r="G103">
        <f t="shared" si="8"/>
        <v>0.53720687784879206</v>
      </c>
      <c r="H103">
        <f t="shared" si="9"/>
        <v>-0.62137201127132069</v>
      </c>
      <c r="I103">
        <f t="shared" si="10"/>
        <v>0</v>
      </c>
      <c r="J103" t="str">
        <f t="shared" si="11"/>
        <v>Correct</v>
      </c>
    </row>
    <row r="104" spans="1:10" ht="15.75" x14ac:dyDescent="0.25">
      <c r="A104" s="2">
        <v>100</v>
      </c>
      <c r="B104" s="3">
        <v>3.411</v>
      </c>
      <c r="C104" s="4">
        <v>0</v>
      </c>
      <c r="D104" s="4">
        <v>1</v>
      </c>
      <c r="E104">
        <f t="shared" si="6"/>
        <v>-0.98103831250092677</v>
      </c>
      <c r="F104">
        <f t="shared" si="7"/>
        <v>0.27268580835257678</v>
      </c>
      <c r="G104">
        <f t="shared" si="8"/>
        <v>0.27268580835257678</v>
      </c>
      <c r="H104">
        <f t="shared" si="9"/>
        <v>-1.299435031729463</v>
      </c>
      <c r="I104">
        <f t="shared" si="10"/>
        <v>0</v>
      </c>
      <c r="J104" t="str">
        <f t="shared" si="11"/>
        <v>Wrong</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6406B-8A69-4CF7-9C50-67D79FD59DD0}">
  <dimension ref="A1:E101"/>
  <sheetViews>
    <sheetView workbookViewId="0">
      <selection activeCell="D2" sqref="D2"/>
    </sheetView>
  </sheetViews>
  <sheetFormatPr defaultRowHeight="15" x14ac:dyDescent="0.25"/>
  <cols>
    <col min="2" max="2" width="12" bestFit="1" customWidth="1"/>
  </cols>
  <sheetData>
    <row r="1" spans="1:5" ht="63" x14ac:dyDescent="0.25">
      <c r="A1" s="1" t="s">
        <v>3</v>
      </c>
      <c r="B1" s="9" t="s">
        <v>30</v>
      </c>
      <c r="C1" t="s">
        <v>57</v>
      </c>
      <c r="D1">
        <v>0</v>
      </c>
      <c r="E1">
        <v>1</v>
      </c>
    </row>
    <row r="2" spans="1:5" ht="15.75" x14ac:dyDescent="0.25">
      <c r="A2" s="4">
        <v>0</v>
      </c>
      <c r="B2">
        <v>0.14441267073109743</v>
      </c>
      <c r="C2">
        <v>1</v>
      </c>
      <c r="D2">
        <f>(A2=$D$1)*B2</f>
        <v>0.14441267073109743</v>
      </c>
    </row>
    <row r="3" spans="1:5" ht="15.75" x14ac:dyDescent="0.25">
      <c r="A3" s="4">
        <v>0</v>
      </c>
      <c r="B3">
        <v>0.14649341770643656</v>
      </c>
      <c r="C3">
        <v>2</v>
      </c>
      <c r="D3">
        <f t="shared" ref="D3:D66" si="0">(A3=$D$1)*B3</f>
        <v>0.14649341770643656</v>
      </c>
    </row>
    <row r="4" spans="1:5" ht="15.75" x14ac:dyDescent="0.25">
      <c r="A4" s="4">
        <v>0</v>
      </c>
      <c r="B4">
        <v>0.14709246061540013</v>
      </c>
      <c r="C4">
        <v>3</v>
      </c>
      <c r="D4">
        <f t="shared" si="0"/>
        <v>0.14709246061540013</v>
      </c>
    </row>
    <row r="5" spans="1:5" ht="15.75" x14ac:dyDescent="0.25">
      <c r="A5" s="4">
        <v>0</v>
      </c>
      <c r="B5">
        <v>0.15448455183914075</v>
      </c>
      <c r="C5">
        <v>4</v>
      </c>
      <c r="D5">
        <f t="shared" si="0"/>
        <v>0.15448455183914075</v>
      </c>
    </row>
    <row r="6" spans="1:5" ht="15.75" x14ac:dyDescent="0.25">
      <c r="A6" s="4">
        <v>0</v>
      </c>
      <c r="B6">
        <v>0.15840691219710215</v>
      </c>
      <c r="C6">
        <v>5</v>
      </c>
      <c r="D6">
        <f t="shared" si="0"/>
        <v>0.15840691219710215</v>
      </c>
    </row>
    <row r="7" spans="1:5" ht="15.75" x14ac:dyDescent="0.25">
      <c r="A7" s="4">
        <v>0</v>
      </c>
      <c r="B7">
        <v>0.16385559654354764</v>
      </c>
      <c r="C7">
        <v>6</v>
      </c>
      <c r="D7">
        <f>(A7=$D$1)*B7</f>
        <v>0.16385559654354764</v>
      </c>
    </row>
    <row r="8" spans="1:5" ht="15.75" x14ac:dyDescent="0.25">
      <c r="A8" s="4">
        <v>1</v>
      </c>
      <c r="B8">
        <v>0.17099816380984431</v>
      </c>
      <c r="C8">
        <v>7</v>
      </c>
      <c r="E8">
        <f>(A8=$E$1)*B8</f>
        <v>0.17099816380984431</v>
      </c>
    </row>
    <row r="9" spans="1:5" ht="15.75" x14ac:dyDescent="0.25">
      <c r="A9" s="4">
        <v>0</v>
      </c>
      <c r="B9">
        <v>0.17172584457511225</v>
      </c>
      <c r="C9">
        <v>8</v>
      </c>
      <c r="D9">
        <f t="shared" si="0"/>
        <v>0.17172584457511225</v>
      </c>
    </row>
    <row r="10" spans="1:5" ht="15.75" x14ac:dyDescent="0.25">
      <c r="A10" s="4">
        <v>0</v>
      </c>
      <c r="B10">
        <v>0.17974162482933076</v>
      </c>
      <c r="C10">
        <v>9</v>
      </c>
      <c r="D10">
        <f t="shared" si="0"/>
        <v>0.17974162482933076</v>
      </c>
    </row>
    <row r="11" spans="1:5" ht="15.75" x14ac:dyDescent="0.25">
      <c r="A11" s="4">
        <v>0</v>
      </c>
      <c r="B11">
        <v>0.18339686056315582</v>
      </c>
      <c r="C11">
        <v>10</v>
      </c>
      <c r="D11">
        <f t="shared" si="0"/>
        <v>0.18339686056315582</v>
      </c>
    </row>
    <row r="12" spans="1:5" ht="15.75" x14ac:dyDescent="0.25">
      <c r="A12" s="4">
        <v>0</v>
      </c>
      <c r="B12">
        <v>0.19056328708488035</v>
      </c>
      <c r="C12">
        <v>11</v>
      </c>
      <c r="D12">
        <f t="shared" si="0"/>
        <v>0.19056328708488035</v>
      </c>
    </row>
    <row r="13" spans="1:5" ht="15.75" x14ac:dyDescent="0.25">
      <c r="A13" s="4">
        <v>0</v>
      </c>
      <c r="B13">
        <v>0.19061599051117015</v>
      </c>
      <c r="C13">
        <v>12</v>
      </c>
      <c r="D13">
        <f t="shared" si="0"/>
        <v>0.19061599051117015</v>
      </c>
    </row>
    <row r="14" spans="1:5" ht="15.75" x14ac:dyDescent="0.25">
      <c r="A14" s="4">
        <v>1</v>
      </c>
      <c r="B14">
        <v>0.1910908228157335</v>
      </c>
      <c r="C14">
        <v>13</v>
      </c>
      <c r="E14">
        <f t="shared" ref="E14:E60" si="1">(A14=$E$1)*B14</f>
        <v>0.1910908228157335</v>
      </c>
    </row>
    <row r="15" spans="1:5" ht="15.75" x14ac:dyDescent="0.25">
      <c r="A15" s="4">
        <v>0</v>
      </c>
      <c r="B15">
        <v>0.1910908228157335</v>
      </c>
      <c r="C15">
        <v>14</v>
      </c>
      <c r="D15">
        <f t="shared" si="0"/>
        <v>0.1910908228157335</v>
      </c>
    </row>
    <row r="16" spans="1:5" ht="15.75" x14ac:dyDescent="0.25">
      <c r="A16" s="4">
        <v>0</v>
      </c>
      <c r="B16">
        <v>0.19422598681054595</v>
      </c>
      <c r="C16">
        <v>15</v>
      </c>
      <c r="D16">
        <f t="shared" si="0"/>
        <v>0.19422598681054595</v>
      </c>
    </row>
    <row r="17" spans="1:5" ht="15.75" x14ac:dyDescent="0.25">
      <c r="A17" s="4">
        <v>0</v>
      </c>
      <c r="B17">
        <v>0.19422598681054595</v>
      </c>
      <c r="C17">
        <v>16</v>
      </c>
      <c r="D17">
        <f t="shared" si="0"/>
        <v>0.19422598681054595</v>
      </c>
    </row>
    <row r="18" spans="1:5" ht="15.75" x14ac:dyDescent="0.25">
      <c r="A18" s="4">
        <v>1</v>
      </c>
      <c r="B18">
        <v>0.19513655201431571</v>
      </c>
      <c r="C18">
        <v>17</v>
      </c>
      <c r="E18">
        <f t="shared" si="1"/>
        <v>0.19513655201431571</v>
      </c>
    </row>
    <row r="19" spans="1:5" ht="15.75" x14ac:dyDescent="0.25">
      <c r="A19" s="4">
        <v>1</v>
      </c>
      <c r="B19">
        <v>0.19583504606154689</v>
      </c>
      <c r="C19">
        <v>18</v>
      </c>
      <c r="E19">
        <f t="shared" si="1"/>
        <v>0.19583504606154689</v>
      </c>
    </row>
    <row r="20" spans="1:5" ht="15.75" x14ac:dyDescent="0.25">
      <c r="A20" s="4">
        <v>0</v>
      </c>
      <c r="B20">
        <v>0.2002297985940947</v>
      </c>
      <c r="C20">
        <v>19</v>
      </c>
      <c r="D20">
        <f t="shared" si="0"/>
        <v>0.2002297985940947</v>
      </c>
    </row>
    <row r="21" spans="1:5" ht="15.75" x14ac:dyDescent="0.25">
      <c r="A21" s="4">
        <v>1</v>
      </c>
      <c r="B21">
        <v>0.2002297985940947</v>
      </c>
      <c r="C21">
        <v>20</v>
      </c>
      <c r="E21">
        <f t="shared" si="1"/>
        <v>0.2002297985940947</v>
      </c>
    </row>
    <row r="22" spans="1:5" ht="15.75" x14ac:dyDescent="0.25">
      <c r="A22" s="4">
        <v>0</v>
      </c>
      <c r="B22">
        <v>0.20364335042076029</v>
      </c>
      <c r="C22">
        <v>21</v>
      </c>
      <c r="D22">
        <f t="shared" si="0"/>
        <v>0.20364335042076029</v>
      </c>
    </row>
    <row r="23" spans="1:5" ht="15.75" x14ac:dyDescent="0.25">
      <c r="A23" s="4">
        <v>1</v>
      </c>
      <c r="B23">
        <v>0.20486497491103003</v>
      </c>
      <c r="C23">
        <v>22</v>
      </c>
      <c r="E23">
        <f t="shared" si="1"/>
        <v>0.20486497491103003</v>
      </c>
    </row>
    <row r="24" spans="1:5" ht="15.75" x14ac:dyDescent="0.25">
      <c r="A24" s="4">
        <v>0</v>
      </c>
      <c r="B24">
        <v>0.20884454891756682</v>
      </c>
      <c r="C24">
        <v>23</v>
      </c>
      <c r="D24">
        <f t="shared" si="0"/>
        <v>0.20884454891756682</v>
      </c>
    </row>
    <row r="25" spans="1:5" ht="15.75" x14ac:dyDescent="0.25">
      <c r="A25" s="4">
        <v>0</v>
      </c>
      <c r="B25">
        <v>0.2109408469632498</v>
      </c>
      <c r="C25">
        <v>24</v>
      </c>
      <c r="D25">
        <f t="shared" si="0"/>
        <v>0.2109408469632498</v>
      </c>
    </row>
    <row r="26" spans="1:5" ht="15.75" x14ac:dyDescent="0.25">
      <c r="A26" s="4">
        <v>1</v>
      </c>
      <c r="B26">
        <v>0.21391298426879332</v>
      </c>
      <c r="C26">
        <v>25</v>
      </c>
      <c r="E26">
        <f t="shared" si="1"/>
        <v>0.21391298426879332</v>
      </c>
    </row>
    <row r="27" spans="1:5" ht="15.75" x14ac:dyDescent="0.25">
      <c r="A27" s="4">
        <v>0</v>
      </c>
      <c r="B27">
        <v>0.24152387002679804</v>
      </c>
      <c r="C27">
        <v>26</v>
      </c>
      <c r="D27">
        <f t="shared" si="0"/>
        <v>0.24152387002679804</v>
      </c>
    </row>
    <row r="28" spans="1:5" ht="15.75" x14ac:dyDescent="0.25">
      <c r="A28" s="4">
        <v>0</v>
      </c>
      <c r="B28">
        <v>0.24171167585556944</v>
      </c>
      <c r="C28">
        <v>27</v>
      </c>
      <c r="D28">
        <f t="shared" si="0"/>
        <v>0.24171167585556944</v>
      </c>
    </row>
    <row r="29" spans="1:5" ht="15.75" x14ac:dyDescent="0.25">
      <c r="A29" s="4">
        <v>0</v>
      </c>
      <c r="B29">
        <v>0.26211247687851702</v>
      </c>
      <c r="C29">
        <v>28</v>
      </c>
      <c r="D29">
        <f t="shared" si="0"/>
        <v>0.26211247687851702</v>
      </c>
    </row>
    <row r="30" spans="1:5" ht="15.75" x14ac:dyDescent="0.25">
      <c r="A30" s="4">
        <v>0</v>
      </c>
      <c r="B30">
        <v>0.26211247687851702</v>
      </c>
      <c r="C30">
        <v>29</v>
      </c>
      <c r="D30">
        <f t="shared" si="0"/>
        <v>0.26211247687851702</v>
      </c>
    </row>
    <row r="31" spans="1:5" ht="15.75" x14ac:dyDescent="0.25">
      <c r="A31" s="4">
        <v>1</v>
      </c>
      <c r="B31">
        <v>0.2622446518556148</v>
      </c>
      <c r="C31">
        <v>30</v>
      </c>
      <c r="E31">
        <f t="shared" si="1"/>
        <v>0.2622446518556148</v>
      </c>
    </row>
    <row r="32" spans="1:5" ht="15.75" x14ac:dyDescent="0.25">
      <c r="A32" s="4">
        <v>0</v>
      </c>
      <c r="B32">
        <v>0.26643009681488111</v>
      </c>
      <c r="C32">
        <v>31</v>
      </c>
      <c r="D32">
        <f t="shared" si="0"/>
        <v>0.26643009681488111</v>
      </c>
    </row>
    <row r="33" spans="1:5" ht="15.75" x14ac:dyDescent="0.25">
      <c r="A33" s="4">
        <v>0</v>
      </c>
      <c r="B33">
        <v>0.26823682566236201</v>
      </c>
      <c r="C33">
        <v>32</v>
      </c>
      <c r="D33">
        <f t="shared" si="0"/>
        <v>0.26823682566236201</v>
      </c>
    </row>
    <row r="34" spans="1:5" ht="15.75" x14ac:dyDescent="0.25">
      <c r="A34" s="4">
        <v>1</v>
      </c>
      <c r="B34">
        <v>0.26823682566236201</v>
      </c>
      <c r="C34">
        <v>33</v>
      </c>
      <c r="E34">
        <f t="shared" si="1"/>
        <v>0.26823682566236201</v>
      </c>
    </row>
    <row r="35" spans="1:5" ht="15.75" x14ac:dyDescent="0.25">
      <c r="A35" s="4">
        <v>1</v>
      </c>
      <c r="B35">
        <v>0.27268580835257678</v>
      </c>
      <c r="C35">
        <v>34</v>
      </c>
      <c r="E35">
        <f t="shared" si="1"/>
        <v>0.27268580835257678</v>
      </c>
    </row>
    <row r="36" spans="1:5" ht="15.75" x14ac:dyDescent="0.25">
      <c r="A36" s="4">
        <v>0</v>
      </c>
      <c r="B36">
        <v>0.28331361995464754</v>
      </c>
      <c r="C36">
        <v>35</v>
      </c>
      <c r="D36">
        <f t="shared" si="0"/>
        <v>0.28331361995464754</v>
      </c>
    </row>
    <row r="37" spans="1:5" ht="15.75" x14ac:dyDescent="0.25">
      <c r="A37" s="4">
        <v>0</v>
      </c>
      <c r="B37">
        <v>0.30879130256190601</v>
      </c>
      <c r="C37">
        <v>36</v>
      </c>
      <c r="D37">
        <f t="shared" si="0"/>
        <v>0.30879130256190601</v>
      </c>
    </row>
    <row r="38" spans="1:5" ht="15.75" x14ac:dyDescent="0.25">
      <c r="A38" s="4">
        <v>0</v>
      </c>
      <c r="B38">
        <v>0.33488699731274763</v>
      </c>
      <c r="C38">
        <v>37</v>
      </c>
      <c r="D38">
        <f t="shared" si="0"/>
        <v>0.33488699731274763</v>
      </c>
    </row>
    <row r="39" spans="1:5" ht="15.75" x14ac:dyDescent="0.25">
      <c r="A39" s="4">
        <v>1</v>
      </c>
      <c r="B39">
        <v>0.33564839080261277</v>
      </c>
      <c r="C39">
        <v>38</v>
      </c>
      <c r="E39">
        <f t="shared" si="1"/>
        <v>0.33564839080261277</v>
      </c>
    </row>
    <row r="40" spans="1:5" ht="15.75" x14ac:dyDescent="0.25">
      <c r="A40" s="4">
        <v>0</v>
      </c>
      <c r="B40">
        <v>0.34038800827238974</v>
      </c>
      <c r="C40">
        <v>39</v>
      </c>
      <c r="D40">
        <f t="shared" si="0"/>
        <v>0.34038800827238974</v>
      </c>
    </row>
    <row r="41" spans="1:5" ht="15.75" x14ac:dyDescent="0.25">
      <c r="A41" s="4">
        <v>1</v>
      </c>
      <c r="B41">
        <v>0.34438799645920282</v>
      </c>
      <c r="C41">
        <v>40</v>
      </c>
      <c r="E41">
        <f t="shared" si="1"/>
        <v>0.34438799645920282</v>
      </c>
    </row>
    <row r="42" spans="1:5" ht="15.75" x14ac:dyDescent="0.25">
      <c r="A42" s="4">
        <v>0</v>
      </c>
      <c r="B42">
        <v>0.34561470215629497</v>
      </c>
      <c r="C42">
        <v>41</v>
      </c>
      <c r="D42">
        <f t="shared" si="0"/>
        <v>0.34561470215629497</v>
      </c>
    </row>
    <row r="43" spans="1:5" ht="15.75" x14ac:dyDescent="0.25">
      <c r="A43" s="4">
        <v>0</v>
      </c>
      <c r="B43">
        <v>0.36162977588261164</v>
      </c>
      <c r="C43">
        <v>42</v>
      </c>
      <c r="D43">
        <f t="shared" si="0"/>
        <v>0.36162977588261164</v>
      </c>
    </row>
    <row r="44" spans="1:5" ht="15.75" x14ac:dyDescent="0.25">
      <c r="A44" s="4">
        <v>0</v>
      </c>
      <c r="B44">
        <v>0.36256801330020849</v>
      </c>
      <c r="C44">
        <v>43</v>
      </c>
      <c r="D44">
        <f t="shared" si="0"/>
        <v>0.36256801330020849</v>
      </c>
    </row>
    <row r="45" spans="1:5" ht="15.75" x14ac:dyDescent="0.25">
      <c r="A45" s="4">
        <v>1</v>
      </c>
      <c r="B45">
        <v>0.36970379232545181</v>
      </c>
      <c r="C45">
        <v>44</v>
      </c>
      <c r="E45">
        <f t="shared" si="1"/>
        <v>0.36970379232545181</v>
      </c>
    </row>
    <row r="46" spans="1:5" ht="15.75" x14ac:dyDescent="0.25">
      <c r="A46" s="4">
        <v>0</v>
      </c>
      <c r="B46">
        <v>0.37362197343199427</v>
      </c>
      <c r="C46">
        <v>45</v>
      </c>
      <c r="D46">
        <f t="shared" si="0"/>
        <v>0.37362197343199427</v>
      </c>
    </row>
    <row r="47" spans="1:5" ht="15.75" x14ac:dyDescent="0.25">
      <c r="A47" s="4">
        <v>0</v>
      </c>
      <c r="B47">
        <v>0.38189315612340713</v>
      </c>
      <c r="C47">
        <v>46</v>
      </c>
      <c r="D47">
        <f t="shared" si="0"/>
        <v>0.38189315612340713</v>
      </c>
    </row>
    <row r="48" spans="1:5" ht="15.75" x14ac:dyDescent="0.25">
      <c r="A48" s="4">
        <v>0</v>
      </c>
      <c r="B48">
        <v>0.38350734799912706</v>
      </c>
      <c r="C48">
        <v>47</v>
      </c>
      <c r="D48">
        <f t="shared" si="0"/>
        <v>0.38350734799912706</v>
      </c>
    </row>
    <row r="49" spans="1:5" ht="15.75" x14ac:dyDescent="0.25">
      <c r="A49" s="4">
        <v>1</v>
      </c>
      <c r="B49">
        <v>0.39201430551712901</v>
      </c>
      <c r="C49">
        <v>48</v>
      </c>
      <c r="E49">
        <f t="shared" si="1"/>
        <v>0.39201430551712901</v>
      </c>
    </row>
    <row r="50" spans="1:5" ht="15.75" x14ac:dyDescent="0.25">
      <c r="A50" s="4">
        <v>0</v>
      </c>
      <c r="B50">
        <v>0.39986739684940126</v>
      </c>
      <c r="C50">
        <v>49</v>
      </c>
      <c r="D50">
        <f t="shared" si="0"/>
        <v>0.39986739684940126</v>
      </c>
    </row>
    <row r="51" spans="1:5" ht="15.75" x14ac:dyDescent="0.25">
      <c r="A51" s="4">
        <v>1</v>
      </c>
      <c r="B51">
        <v>0.40257592849596807</v>
      </c>
      <c r="C51">
        <v>50</v>
      </c>
      <c r="E51">
        <f t="shared" si="1"/>
        <v>0.40257592849596807</v>
      </c>
    </row>
    <row r="52" spans="1:5" ht="15.75" x14ac:dyDescent="0.25">
      <c r="A52" s="4">
        <v>0</v>
      </c>
      <c r="B52">
        <v>0.40825828934754582</v>
      </c>
      <c r="C52">
        <v>51</v>
      </c>
      <c r="D52">
        <f t="shared" si="0"/>
        <v>0.40825828934754582</v>
      </c>
    </row>
    <row r="53" spans="1:5" ht="15.75" x14ac:dyDescent="0.25">
      <c r="A53" s="4">
        <v>1</v>
      </c>
      <c r="B53">
        <v>0.41404816429270674</v>
      </c>
      <c r="C53">
        <v>52</v>
      </c>
      <c r="E53">
        <f t="shared" si="1"/>
        <v>0.41404816429270674</v>
      </c>
    </row>
    <row r="54" spans="1:5" ht="15.75" x14ac:dyDescent="0.25">
      <c r="A54" s="4">
        <v>0</v>
      </c>
      <c r="B54">
        <v>0.42111064499792256</v>
      </c>
      <c r="C54">
        <v>53</v>
      </c>
      <c r="D54">
        <f t="shared" si="0"/>
        <v>0.42111064499792256</v>
      </c>
    </row>
    <row r="55" spans="1:5" ht="15.75" x14ac:dyDescent="0.25">
      <c r="A55" s="4">
        <v>0</v>
      </c>
      <c r="B55">
        <v>0.42152712199278747</v>
      </c>
      <c r="C55">
        <v>54</v>
      </c>
      <c r="D55">
        <f t="shared" si="0"/>
        <v>0.42152712199278747</v>
      </c>
    </row>
    <row r="56" spans="1:5" ht="15.75" x14ac:dyDescent="0.25">
      <c r="A56" s="4">
        <v>0</v>
      </c>
      <c r="B56">
        <v>0.42219371722554427</v>
      </c>
      <c r="C56">
        <v>55</v>
      </c>
      <c r="D56">
        <f t="shared" si="0"/>
        <v>0.42219371722554427</v>
      </c>
    </row>
    <row r="57" spans="1:5" ht="15.75" x14ac:dyDescent="0.25">
      <c r="A57" s="4">
        <v>0</v>
      </c>
      <c r="B57">
        <v>0.42226784723726157</v>
      </c>
      <c r="C57">
        <v>56</v>
      </c>
      <c r="D57">
        <f t="shared" si="0"/>
        <v>0.42226784723726157</v>
      </c>
    </row>
    <row r="58" spans="1:5" ht="15.75" x14ac:dyDescent="0.25">
      <c r="A58" s="4">
        <v>0</v>
      </c>
      <c r="B58">
        <v>0.43364195237931347</v>
      </c>
      <c r="C58">
        <v>57</v>
      </c>
      <c r="D58">
        <f t="shared" si="0"/>
        <v>0.43364195237931347</v>
      </c>
    </row>
    <row r="59" spans="1:5" ht="15.75" x14ac:dyDescent="0.25">
      <c r="A59" s="4">
        <v>0</v>
      </c>
      <c r="B59">
        <v>0.43415473566169327</v>
      </c>
      <c r="C59">
        <v>58</v>
      </c>
      <c r="D59">
        <f t="shared" si="0"/>
        <v>0.43415473566169327</v>
      </c>
    </row>
    <row r="60" spans="1:5" ht="15.75" x14ac:dyDescent="0.25">
      <c r="A60" s="4">
        <v>1</v>
      </c>
      <c r="B60">
        <v>0.43684237769980716</v>
      </c>
      <c r="C60">
        <v>59</v>
      </c>
      <c r="E60">
        <f t="shared" si="1"/>
        <v>0.43684237769980716</v>
      </c>
    </row>
    <row r="61" spans="1:5" ht="15.75" x14ac:dyDescent="0.25">
      <c r="A61" s="4">
        <v>0</v>
      </c>
      <c r="B61">
        <v>0.43684237769980716</v>
      </c>
      <c r="C61">
        <v>60</v>
      </c>
      <c r="D61">
        <f t="shared" si="0"/>
        <v>0.43684237769980716</v>
      </c>
    </row>
    <row r="62" spans="1:5" ht="15.75" x14ac:dyDescent="0.25">
      <c r="A62" s="4">
        <v>0</v>
      </c>
      <c r="B62">
        <v>0.44096497465710494</v>
      </c>
      <c r="C62">
        <v>61</v>
      </c>
      <c r="D62">
        <f t="shared" si="0"/>
        <v>0.44096497465710494</v>
      </c>
    </row>
    <row r="63" spans="1:5" ht="15.75" x14ac:dyDescent="0.25">
      <c r="A63" s="4">
        <v>0</v>
      </c>
      <c r="B63">
        <v>0.44509572798170843</v>
      </c>
      <c r="C63">
        <v>62</v>
      </c>
      <c r="D63">
        <f t="shared" si="0"/>
        <v>0.44509572798170843</v>
      </c>
    </row>
    <row r="64" spans="1:5" ht="15.75" x14ac:dyDescent="0.25">
      <c r="A64" s="4">
        <v>0</v>
      </c>
      <c r="B64">
        <v>0.44577087319367331</v>
      </c>
      <c r="C64">
        <v>63</v>
      </c>
      <c r="D64">
        <f t="shared" si="0"/>
        <v>0.44577087319367331</v>
      </c>
    </row>
    <row r="65" spans="1:5" ht="15.75" x14ac:dyDescent="0.25">
      <c r="A65" s="4">
        <v>0</v>
      </c>
      <c r="B65">
        <v>0.45414159404389837</v>
      </c>
      <c r="C65">
        <v>64</v>
      </c>
      <c r="D65">
        <f t="shared" si="0"/>
        <v>0.45414159404389837</v>
      </c>
    </row>
    <row r="66" spans="1:5" ht="15.75" x14ac:dyDescent="0.25">
      <c r="A66" s="4">
        <v>0</v>
      </c>
      <c r="B66">
        <v>0.46279312215120794</v>
      </c>
      <c r="C66">
        <v>65</v>
      </c>
      <c r="D66">
        <f t="shared" si="0"/>
        <v>0.46279312215120794</v>
      </c>
    </row>
    <row r="67" spans="1:5" ht="15.75" x14ac:dyDescent="0.25">
      <c r="A67" s="4">
        <v>1</v>
      </c>
      <c r="B67">
        <v>0.46687251781504835</v>
      </c>
      <c r="C67">
        <v>66</v>
      </c>
      <c r="E67">
        <f t="shared" ref="E67:E101" si="2">(A67=$E$1)*B67</f>
        <v>0.46687251781504835</v>
      </c>
    </row>
    <row r="68" spans="1:5" ht="15.75" x14ac:dyDescent="0.25">
      <c r="A68" s="4">
        <v>1</v>
      </c>
      <c r="B68">
        <v>0.46687251781504835</v>
      </c>
      <c r="C68">
        <v>67</v>
      </c>
      <c r="E68">
        <f t="shared" si="2"/>
        <v>0.46687251781504835</v>
      </c>
    </row>
    <row r="69" spans="1:5" ht="15.75" x14ac:dyDescent="0.25">
      <c r="A69" s="4">
        <v>1</v>
      </c>
      <c r="B69">
        <v>0.47511984933690554</v>
      </c>
      <c r="C69">
        <v>68</v>
      </c>
      <c r="E69">
        <f t="shared" si="2"/>
        <v>0.47511984933690554</v>
      </c>
    </row>
    <row r="70" spans="1:5" ht="15.75" x14ac:dyDescent="0.25">
      <c r="A70" s="4">
        <v>0</v>
      </c>
      <c r="B70">
        <v>0.48211057681593272</v>
      </c>
      <c r="C70">
        <v>69</v>
      </c>
      <c r="D70">
        <f t="shared" ref="D70:D97" si="3">(A70=$D$1)*B70</f>
        <v>0.48211057681593272</v>
      </c>
    </row>
    <row r="71" spans="1:5" ht="15.75" x14ac:dyDescent="0.25">
      <c r="A71" s="4">
        <v>0</v>
      </c>
      <c r="B71">
        <v>0.4886055443490987</v>
      </c>
      <c r="C71">
        <v>70</v>
      </c>
      <c r="D71">
        <f t="shared" si="3"/>
        <v>0.4886055443490987</v>
      </c>
    </row>
    <row r="72" spans="1:5" ht="15.75" x14ac:dyDescent="0.25">
      <c r="A72" s="4">
        <v>0</v>
      </c>
      <c r="B72">
        <v>0.48886164548243255</v>
      </c>
      <c r="C72">
        <v>71</v>
      </c>
      <c r="D72">
        <f t="shared" si="3"/>
        <v>0.48886164548243255</v>
      </c>
    </row>
    <row r="73" spans="1:5" ht="15.75" x14ac:dyDescent="0.25">
      <c r="A73" s="4">
        <v>0</v>
      </c>
      <c r="B73">
        <v>0.49115736307261765</v>
      </c>
      <c r="C73">
        <v>72</v>
      </c>
      <c r="D73">
        <f t="shared" si="3"/>
        <v>0.49115736307261765</v>
      </c>
    </row>
    <row r="74" spans="1:5" ht="15.75" x14ac:dyDescent="0.25">
      <c r="A74" s="4">
        <v>1</v>
      </c>
      <c r="B74">
        <v>0.51037229534520845</v>
      </c>
      <c r="C74">
        <v>73</v>
      </c>
      <c r="E74">
        <f t="shared" si="2"/>
        <v>0.51037229534520845</v>
      </c>
    </row>
    <row r="75" spans="1:5" ht="15.75" x14ac:dyDescent="0.25">
      <c r="A75" s="4">
        <v>0</v>
      </c>
      <c r="B75">
        <v>0.51268658369244913</v>
      </c>
      <c r="C75">
        <v>74</v>
      </c>
      <c r="D75">
        <f t="shared" si="3"/>
        <v>0.51268658369244913</v>
      </c>
    </row>
    <row r="76" spans="1:5" ht="15.75" x14ac:dyDescent="0.25">
      <c r="A76" s="4">
        <v>1</v>
      </c>
      <c r="B76">
        <v>0.51610015573623413</v>
      </c>
      <c r="C76">
        <v>75</v>
      </c>
      <c r="E76">
        <f t="shared" si="2"/>
        <v>0.51610015573623413</v>
      </c>
    </row>
    <row r="77" spans="1:5" ht="15.75" x14ac:dyDescent="0.25">
      <c r="A77" s="4">
        <v>0</v>
      </c>
      <c r="B77">
        <v>0.51737044397541998</v>
      </c>
      <c r="C77">
        <v>76</v>
      </c>
      <c r="D77">
        <f t="shared" si="3"/>
        <v>0.51737044397541998</v>
      </c>
    </row>
    <row r="78" spans="1:5" ht="15.75" x14ac:dyDescent="0.25">
      <c r="A78" s="4">
        <v>1</v>
      </c>
      <c r="B78">
        <v>0.52147336305809278</v>
      </c>
      <c r="C78">
        <v>77</v>
      </c>
      <c r="E78">
        <f t="shared" si="2"/>
        <v>0.52147336305809278</v>
      </c>
    </row>
    <row r="79" spans="1:5" ht="15.75" x14ac:dyDescent="0.25">
      <c r="A79" s="4">
        <v>1</v>
      </c>
      <c r="B79">
        <v>0.52726740779972403</v>
      </c>
      <c r="C79">
        <v>78</v>
      </c>
      <c r="E79">
        <f t="shared" si="2"/>
        <v>0.52726740779972403</v>
      </c>
    </row>
    <row r="80" spans="1:5" ht="15.75" x14ac:dyDescent="0.25">
      <c r="A80" s="4">
        <v>1</v>
      </c>
      <c r="B80">
        <v>0.52939580909896911</v>
      </c>
      <c r="C80">
        <v>79</v>
      </c>
      <c r="E80">
        <f t="shared" si="2"/>
        <v>0.52939580909896911</v>
      </c>
    </row>
    <row r="81" spans="1:5" ht="15.75" x14ac:dyDescent="0.25">
      <c r="A81" s="4">
        <v>0</v>
      </c>
      <c r="B81">
        <v>0.53441446195566134</v>
      </c>
      <c r="C81">
        <v>80</v>
      </c>
      <c r="D81">
        <f t="shared" si="3"/>
        <v>0.53441446195566134</v>
      </c>
    </row>
    <row r="82" spans="1:5" ht="15.75" x14ac:dyDescent="0.25">
      <c r="A82" s="4">
        <v>1</v>
      </c>
      <c r="B82">
        <v>0.53441446195566134</v>
      </c>
      <c r="C82">
        <v>81</v>
      </c>
      <c r="E82">
        <f t="shared" si="2"/>
        <v>0.53441446195566134</v>
      </c>
    </row>
    <row r="83" spans="1:5" ht="15.75" x14ac:dyDescent="0.25">
      <c r="A83" s="4">
        <v>0</v>
      </c>
      <c r="B83">
        <v>0.53873766363783326</v>
      </c>
      <c r="C83">
        <v>82</v>
      </c>
      <c r="D83">
        <f t="shared" si="3"/>
        <v>0.53873766363783326</v>
      </c>
    </row>
    <row r="84" spans="1:5" ht="15.75" x14ac:dyDescent="0.25">
      <c r="A84" s="4">
        <v>0</v>
      </c>
      <c r="B84">
        <v>0.54840020674060275</v>
      </c>
      <c r="C84">
        <v>83</v>
      </c>
      <c r="D84">
        <f t="shared" si="3"/>
        <v>0.54840020674060275</v>
      </c>
    </row>
    <row r="85" spans="1:5" ht="15.75" x14ac:dyDescent="0.25">
      <c r="A85" s="4">
        <v>0</v>
      </c>
      <c r="B85">
        <v>0.56735761191849765</v>
      </c>
      <c r="C85">
        <v>84</v>
      </c>
      <c r="D85">
        <f t="shared" si="3"/>
        <v>0.56735761191849765</v>
      </c>
    </row>
    <row r="86" spans="1:5" ht="15.75" x14ac:dyDescent="0.25">
      <c r="A86" s="4">
        <v>1</v>
      </c>
      <c r="B86">
        <v>0.57848431154657409</v>
      </c>
      <c r="C86">
        <v>85</v>
      </c>
      <c r="E86">
        <f t="shared" si="2"/>
        <v>0.57848431154657409</v>
      </c>
    </row>
    <row r="87" spans="1:5" ht="15.75" x14ac:dyDescent="0.25">
      <c r="A87" s="4">
        <v>0</v>
      </c>
      <c r="B87">
        <v>0.5786509145490869</v>
      </c>
      <c r="C87">
        <v>86</v>
      </c>
      <c r="D87">
        <f t="shared" si="3"/>
        <v>0.5786509145490869</v>
      </c>
    </row>
    <row r="88" spans="1:5" ht="15.75" x14ac:dyDescent="0.25">
      <c r="A88" s="4">
        <v>1</v>
      </c>
      <c r="B88">
        <v>0.57940040595643405</v>
      </c>
      <c r="C88">
        <v>87</v>
      </c>
      <c r="E88">
        <f t="shared" si="2"/>
        <v>0.57940040595643405</v>
      </c>
    </row>
    <row r="89" spans="1:5" ht="15.75" x14ac:dyDescent="0.25">
      <c r="A89" s="4">
        <v>1</v>
      </c>
      <c r="B89">
        <v>0.60749920150878378</v>
      </c>
      <c r="C89">
        <v>88</v>
      </c>
      <c r="E89">
        <f t="shared" si="2"/>
        <v>0.60749920150878378</v>
      </c>
    </row>
    <row r="90" spans="1:5" ht="15.75" x14ac:dyDescent="0.25">
      <c r="A90" s="4">
        <v>1</v>
      </c>
      <c r="B90">
        <v>0.63609074925496623</v>
      </c>
      <c r="C90">
        <v>89</v>
      </c>
      <c r="E90">
        <f t="shared" si="2"/>
        <v>0.63609074925496623</v>
      </c>
    </row>
    <row r="91" spans="1:5" ht="15.75" x14ac:dyDescent="0.25">
      <c r="A91" s="4">
        <v>1</v>
      </c>
      <c r="B91">
        <v>0.65623941882145664</v>
      </c>
      <c r="C91">
        <v>90</v>
      </c>
      <c r="E91">
        <f t="shared" si="2"/>
        <v>0.65623941882145664</v>
      </c>
    </row>
    <row r="92" spans="1:5" ht="15.75" x14ac:dyDescent="0.25">
      <c r="A92" s="4">
        <v>1</v>
      </c>
      <c r="B92">
        <v>0.6868184134859292</v>
      </c>
      <c r="C92">
        <v>91</v>
      </c>
      <c r="E92">
        <f t="shared" si="2"/>
        <v>0.6868184134859292</v>
      </c>
    </row>
    <row r="93" spans="1:5" ht="15.75" x14ac:dyDescent="0.25">
      <c r="A93" s="4">
        <v>1</v>
      </c>
      <c r="B93">
        <v>0.69672483771710425</v>
      </c>
      <c r="C93">
        <v>92</v>
      </c>
      <c r="E93">
        <f t="shared" si="2"/>
        <v>0.69672483771710425</v>
      </c>
    </row>
    <row r="94" spans="1:5" ht="15.75" x14ac:dyDescent="0.25">
      <c r="A94" s="4">
        <v>1</v>
      </c>
      <c r="B94">
        <v>0.73089229872447903</v>
      </c>
      <c r="C94">
        <v>93</v>
      </c>
      <c r="E94">
        <f t="shared" si="2"/>
        <v>0.73089229872447903</v>
      </c>
    </row>
    <row r="95" spans="1:5" ht="15.75" x14ac:dyDescent="0.25">
      <c r="A95" s="4">
        <v>1</v>
      </c>
      <c r="B95">
        <v>0.73636668987062792</v>
      </c>
      <c r="C95">
        <v>94</v>
      </c>
      <c r="E95">
        <f t="shared" si="2"/>
        <v>0.73636668987062792</v>
      </c>
    </row>
    <row r="96" spans="1:5" ht="15.75" x14ac:dyDescent="0.25">
      <c r="A96" s="4">
        <v>1</v>
      </c>
      <c r="B96">
        <v>0.74333652304994491</v>
      </c>
      <c r="C96">
        <v>95</v>
      </c>
      <c r="E96">
        <f t="shared" si="2"/>
        <v>0.74333652304994491</v>
      </c>
    </row>
    <row r="97" spans="1:5" ht="15.75" x14ac:dyDescent="0.25">
      <c r="A97" s="4">
        <v>0</v>
      </c>
      <c r="B97">
        <v>0.75772598402333002</v>
      </c>
      <c r="C97">
        <v>96</v>
      </c>
      <c r="D97">
        <f t="shared" si="3"/>
        <v>0.75772598402333002</v>
      </c>
    </row>
    <row r="98" spans="1:5" ht="15.75" x14ac:dyDescent="0.25">
      <c r="A98" s="4">
        <v>1</v>
      </c>
      <c r="B98">
        <v>0.76283163469117765</v>
      </c>
      <c r="C98">
        <v>97</v>
      </c>
      <c r="E98">
        <f t="shared" si="2"/>
        <v>0.76283163469117765</v>
      </c>
    </row>
    <row r="99" spans="1:5" ht="15.75" x14ac:dyDescent="0.25">
      <c r="A99" s="4">
        <v>1</v>
      </c>
      <c r="B99">
        <v>0.77799481234121648</v>
      </c>
      <c r="C99">
        <v>98</v>
      </c>
      <c r="E99">
        <f t="shared" si="2"/>
        <v>0.77799481234121648</v>
      </c>
    </row>
    <row r="100" spans="1:5" ht="15.75" x14ac:dyDescent="0.25">
      <c r="A100" s="4">
        <v>1</v>
      </c>
      <c r="B100">
        <v>0.7846488353345924</v>
      </c>
      <c r="C100">
        <v>99</v>
      </c>
      <c r="E100">
        <f t="shared" si="2"/>
        <v>0.7846488353345924</v>
      </c>
    </row>
    <row r="101" spans="1:5" ht="15.75" x14ac:dyDescent="0.25">
      <c r="A101" s="4">
        <v>1</v>
      </c>
      <c r="B101">
        <v>0.79735359498775571</v>
      </c>
      <c r="C101">
        <v>100</v>
      </c>
      <c r="E101">
        <f t="shared" si="2"/>
        <v>0.79735359498775571</v>
      </c>
    </row>
  </sheetData>
  <sortState xmlns:xlrd2="http://schemas.microsoft.com/office/spreadsheetml/2017/richdata2" ref="A2:B101">
    <sortCondition ref="B2:B101"/>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976EA-12B6-4BF9-BF2C-51BFEF36B8AC}">
  <dimension ref="A1:N18"/>
  <sheetViews>
    <sheetView tabSelected="1" workbookViewId="0">
      <selection activeCell="L17" sqref="L17"/>
    </sheetView>
  </sheetViews>
  <sheetFormatPr defaultRowHeight="15" x14ac:dyDescent="0.25"/>
  <cols>
    <col min="1" max="1" width="12.7109375" bestFit="1" customWidth="1"/>
    <col min="2" max="2" width="12" bestFit="1" customWidth="1"/>
    <col min="7" max="7" width="16.140625" bestFit="1" customWidth="1"/>
    <col min="8" max="8" width="10.7109375" bestFit="1" customWidth="1"/>
    <col min="9" max="14" width="12" bestFit="1" customWidth="1"/>
  </cols>
  <sheetData>
    <row r="1" spans="1:14" x14ac:dyDescent="0.25">
      <c r="A1" s="6" t="s">
        <v>21</v>
      </c>
    </row>
    <row r="2" spans="1:14" x14ac:dyDescent="0.25">
      <c r="A2" s="8" t="s">
        <v>15</v>
      </c>
      <c r="B2" t="s">
        <v>28</v>
      </c>
      <c r="C2" t="s">
        <v>2</v>
      </c>
    </row>
    <row r="3" spans="1:14" ht="15.75" thickBot="1" x14ac:dyDescent="0.3">
      <c r="A3">
        <v>-2.1463779674612198</v>
      </c>
      <c r="B3">
        <v>0.34164164613318471</v>
      </c>
      <c r="C3" s="5">
        <v>1.0987573042446197</v>
      </c>
    </row>
    <row r="5" spans="1:14" ht="31.5" x14ac:dyDescent="0.25">
      <c r="B5" s="9" t="s">
        <v>43</v>
      </c>
      <c r="C5" s="10" t="s">
        <v>2</v>
      </c>
      <c r="D5" s="10" t="s">
        <v>44</v>
      </c>
      <c r="E5" s="10" t="s">
        <v>45</v>
      </c>
    </row>
    <row r="6" spans="1:14" x14ac:dyDescent="0.25">
      <c r="H6" s="11" t="s">
        <v>46</v>
      </c>
    </row>
    <row r="7" spans="1:14" x14ac:dyDescent="0.25">
      <c r="A7" t="s">
        <v>33</v>
      </c>
      <c r="B7">
        <v>1</v>
      </c>
      <c r="C7">
        <v>1</v>
      </c>
      <c r="D7">
        <f>$A$3+$B$3*B7+$C$3*C7</f>
        <v>-0.70597901708341526</v>
      </c>
      <c r="E7">
        <f>EXP(D7)/(1+EXP(D7))</f>
        <v>0.33048793842213142</v>
      </c>
      <c r="G7" t="s">
        <v>73</v>
      </c>
      <c r="I7">
        <v>1</v>
      </c>
      <c r="J7">
        <v>2</v>
      </c>
      <c r="K7">
        <v>3</v>
      </c>
      <c r="L7">
        <v>4</v>
      </c>
      <c r="M7">
        <v>5</v>
      </c>
      <c r="N7">
        <v>6</v>
      </c>
    </row>
    <row r="8" spans="1:14" x14ac:dyDescent="0.25">
      <c r="A8" t="s">
        <v>37</v>
      </c>
      <c r="B8">
        <v>1</v>
      </c>
      <c r="C8">
        <v>0</v>
      </c>
      <c r="D8">
        <f t="shared" ref="D8:D18" si="0">$A$3+$B$3*B8+$C$3*C8</f>
        <v>-1.804736321328035</v>
      </c>
      <c r="E8">
        <f>EXP(D8)/(1+EXP(D8))</f>
        <v>0.14127549305319151</v>
      </c>
      <c r="G8" t="s">
        <v>2</v>
      </c>
      <c r="H8" s="12">
        <v>1</v>
      </c>
      <c r="I8" s="28">
        <v>0.33048793842213142</v>
      </c>
      <c r="J8" s="35">
        <v>0.40991001772575425</v>
      </c>
      <c r="K8" s="28">
        <v>0.49432631233476404</v>
      </c>
      <c r="L8" s="28">
        <v>0.57906734363870349</v>
      </c>
      <c r="M8" s="28">
        <v>0.65939236497487297</v>
      </c>
      <c r="N8" s="28">
        <v>0.73149664280303861</v>
      </c>
    </row>
    <row r="9" spans="1:14" x14ac:dyDescent="0.25">
      <c r="A9" t="s">
        <v>34</v>
      </c>
      <c r="B9">
        <v>2</v>
      </c>
      <c r="C9">
        <v>1</v>
      </c>
      <c r="D9">
        <f>$A$3+$B$3*B9+$C$3*C9</f>
        <v>-0.36433737095023067</v>
      </c>
      <c r="E9">
        <f t="shared" ref="E9:E18" si="1">EXP(D9)/(1+EXP(D9))</f>
        <v>0.40991001772575425</v>
      </c>
      <c r="G9" t="s">
        <v>47</v>
      </c>
      <c r="H9" s="12">
        <v>0</v>
      </c>
      <c r="I9" s="28">
        <v>0.14127549305319151</v>
      </c>
      <c r="J9" s="36">
        <v>0.18799445897615966</v>
      </c>
      <c r="K9" s="28">
        <v>0.24574186105851445</v>
      </c>
      <c r="L9" s="28">
        <v>0.31436053878273762</v>
      </c>
      <c r="M9" s="28">
        <v>0.39217717064571234</v>
      </c>
      <c r="N9" s="28">
        <v>0.47588669774816561</v>
      </c>
    </row>
    <row r="10" spans="1:14" x14ac:dyDescent="0.25">
      <c r="A10" t="s">
        <v>38</v>
      </c>
      <c r="B10">
        <v>2</v>
      </c>
      <c r="C10">
        <v>0</v>
      </c>
      <c r="D10">
        <f t="shared" si="0"/>
        <v>-1.4630946751948504</v>
      </c>
      <c r="E10">
        <f t="shared" si="1"/>
        <v>0.18799445897615966</v>
      </c>
    </row>
    <row r="11" spans="1:14" x14ac:dyDescent="0.25">
      <c r="A11" t="s">
        <v>35</v>
      </c>
      <c r="B11">
        <v>3</v>
      </c>
      <c r="C11">
        <v>1</v>
      </c>
      <c r="D11">
        <f t="shared" si="0"/>
        <v>-2.269572481704607E-2</v>
      </c>
      <c r="E11">
        <f t="shared" si="1"/>
        <v>0.49432631233476404</v>
      </c>
    </row>
    <row r="12" spans="1:14" x14ac:dyDescent="0.25">
      <c r="A12" t="s">
        <v>39</v>
      </c>
      <c r="B12">
        <v>3</v>
      </c>
      <c r="C12">
        <v>0</v>
      </c>
      <c r="D12">
        <f t="shared" si="0"/>
        <v>-1.1214530290616658</v>
      </c>
      <c r="E12">
        <f t="shared" si="1"/>
        <v>0.24574186105851445</v>
      </c>
    </row>
    <row r="13" spans="1:14" x14ac:dyDescent="0.25">
      <c r="A13" t="s">
        <v>36</v>
      </c>
      <c r="B13">
        <v>4</v>
      </c>
      <c r="C13">
        <v>1</v>
      </c>
      <c r="D13">
        <f t="shared" si="0"/>
        <v>0.31894592131613875</v>
      </c>
      <c r="E13">
        <f t="shared" si="1"/>
        <v>0.57906734363870349</v>
      </c>
    </row>
    <row r="14" spans="1:14" x14ac:dyDescent="0.25">
      <c r="A14" t="s">
        <v>40</v>
      </c>
      <c r="B14">
        <v>4</v>
      </c>
      <c r="C14">
        <v>0</v>
      </c>
      <c r="D14">
        <f t="shared" si="0"/>
        <v>-0.77981138292848096</v>
      </c>
      <c r="E14">
        <f t="shared" si="1"/>
        <v>0.31436053878273762</v>
      </c>
    </row>
    <row r="15" spans="1:14" x14ac:dyDescent="0.25">
      <c r="A15" t="s">
        <v>41</v>
      </c>
      <c r="B15">
        <v>5</v>
      </c>
      <c r="C15">
        <v>1</v>
      </c>
      <c r="D15">
        <f t="shared" si="0"/>
        <v>0.66058756744932356</v>
      </c>
      <c r="E15">
        <f t="shared" si="1"/>
        <v>0.65939236497487297</v>
      </c>
    </row>
    <row r="16" spans="1:14" x14ac:dyDescent="0.25">
      <c r="A16" t="s">
        <v>42</v>
      </c>
      <c r="B16">
        <v>5</v>
      </c>
      <c r="C16">
        <v>0</v>
      </c>
      <c r="D16">
        <f t="shared" si="0"/>
        <v>-0.43816973679529614</v>
      </c>
      <c r="E16">
        <f t="shared" si="1"/>
        <v>0.39217717064571234</v>
      </c>
    </row>
    <row r="17" spans="2:5" x14ac:dyDescent="0.25">
      <c r="B17">
        <v>6</v>
      </c>
      <c r="C17">
        <v>1</v>
      </c>
      <c r="D17">
        <f t="shared" si="0"/>
        <v>1.0022292135825079</v>
      </c>
      <c r="E17">
        <f t="shared" si="1"/>
        <v>0.73149664280303861</v>
      </c>
    </row>
    <row r="18" spans="2:5" x14ac:dyDescent="0.25">
      <c r="B18">
        <v>6</v>
      </c>
      <c r="C18">
        <v>0</v>
      </c>
      <c r="D18">
        <f t="shared" si="0"/>
        <v>-9.6528090662111765E-2</v>
      </c>
      <c r="E18">
        <f t="shared" si="1"/>
        <v>0.47588669774816561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36BEB-D570-441E-B6C3-386192E9E327}">
  <dimension ref="B2:I12"/>
  <sheetViews>
    <sheetView workbookViewId="0">
      <selection activeCell="I9" sqref="I9"/>
    </sheetView>
  </sheetViews>
  <sheetFormatPr defaultRowHeight="15" x14ac:dyDescent="0.25"/>
  <cols>
    <col min="2" max="2" width="12.7109375" bestFit="1" customWidth="1"/>
    <col min="6" max="6" width="12" bestFit="1" customWidth="1"/>
    <col min="8" max="8" width="10.28515625" bestFit="1" customWidth="1"/>
    <col min="9" max="9" width="10.5703125" bestFit="1" customWidth="1"/>
  </cols>
  <sheetData>
    <row r="2" spans="2:9" ht="60" x14ac:dyDescent="0.25">
      <c r="B2" s="27" t="s">
        <v>52</v>
      </c>
      <c r="C2" t="s">
        <v>63</v>
      </c>
      <c r="F2" s="13" t="s">
        <v>66</v>
      </c>
      <c r="G2" t="s">
        <v>65</v>
      </c>
      <c r="H2" t="s">
        <v>67</v>
      </c>
      <c r="I2" t="s">
        <v>69</v>
      </c>
    </row>
    <row r="3" spans="2:9" x14ac:dyDescent="0.25">
      <c r="B3">
        <v>-60.486947959181876</v>
      </c>
      <c r="C3">
        <f>I3</f>
        <v>-67.301166700925648</v>
      </c>
      <c r="F3">
        <f>E8/E7</f>
        <v>0.66666666666666663</v>
      </c>
      <c r="G3">
        <f>LN(F3)</f>
        <v>-0.40546510810816444</v>
      </c>
      <c r="H3">
        <f>E8/E9</f>
        <v>0.4</v>
      </c>
      <c r="I3">
        <f>(LN(H3)*E8)+LN(1-H3)*E7</f>
        <v>-67.301166700925648</v>
      </c>
    </row>
    <row r="6" spans="2:9" x14ac:dyDescent="0.25">
      <c r="B6" t="s">
        <v>61</v>
      </c>
      <c r="C6" t="s">
        <v>47</v>
      </c>
      <c r="D6" t="s">
        <v>2</v>
      </c>
      <c r="E6" t="s">
        <v>64</v>
      </c>
    </row>
    <row r="7" spans="2:9" x14ac:dyDescent="0.25">
      <c r="B7" t="s">
        <v>62</v>
      </c>
      <c r="C7">
        <v>36</v>
      </c>
      <c r="D7">
        <v>24</v>
      </c>
      <c r="E7">
        <v>60</v>
      </c>
    </row>
    <row r="8" spans="2:9" ht="30" x14ac:dyDescent="0.25">
      <c r="B8" t="s">
        <v>3</v>
      </c>
      <c r="C8">
        <v>14</v>
      </c>
      <c r="D8">
        <v>26</v>
      </c>
      <c r="E8">
        <v>40</v>
      </c>
      <c r="H8" s="13" t="s">
        <v>70</v>
      </c>
      <c r="I8" s="29">
        <f>(C3-B3)/C3</f>
        <v>0.10124963764781289</v>
      </c>
    </row>
    <row r="9" spans="2:9" x14ac:dyDescent="0.25">
      <c r="B9" t="s">
        <v>68</v>
      </c>
      <c r="E9">
        <f>SUM(E7:E8)</f>
        <v>100</v>
      </c>
    </row>
    <row r="10" spans="2:9" x14ac:dyDescent="0.25">
      <c r="H10" t="s">
        <v>71</v>
      </c>
      <c r="I10">
        <f>2*(B3-C3)</f>
        <v>13.628437483487545</v>
      </c>
    </row>
    <row r="12" spans="2:9" x14ac:dyDescent="0.25">
      <c r="H12" t="s">
        <v>72</v>
      </c>
      <c r="I12">
        <f>_xlfn.CHISQ.DIST.RT(I10, 2)</f>
        <v>1.0980507223493552E-3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Data (2)</vt:lpstr>
      <vt:lpstr>Ignore values, just need to max</vt:lpstr>
      <vt:lpstr>Coefficients</vt:lpstr>
      <vt:lpstr>Plot</vt:lpstr>
      <vt:lpstr>Prediction TABLE</vt:lpstr>
      <vt:lpstr>Significane Test</vt:lpstr>
    </vt:vector>
  </TitlesOfParts>
  <Company>University of Alabama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Cochran, James</dc:creator>
  <cp:lastModifiedBy>Cristian Alvarez</cp:lastModifiedBy>
  <dcterms:created xsi:type="dcterms:W3CDTF">2015-05-21T19:49:00Z</dcterms:created>
  <dcterms:modified xsi:type="dcterms:W3CDTF">2025-10-04T00:33:21Z</dcterms:modified>
</cp:coreProperties>
</file>