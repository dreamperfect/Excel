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3.xml" ContentType="application/vnd.openxmlformats-officedocument.drawing+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drawings/drawing14.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xml"/>
  <Override PartName="/xl/charts/chart26.xml" ContentType="application/vnd.openxmlformats-officedocument.drawingml.chart+xml"/>
  <Override PartName="/xl/charts/style14.xml" ContentType="application/vnd.ms-office.chartstyle+xml"/>
  <Override PartName="/xl/charts/colors14.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style15.xml" ContentType="application/vnd.ms-office.chartstyle+xml"/>
  <Override PartName="/xl/charts/colors15.xml" ContentType="application/vnd.ms-office.chartcolorstyle+xml"/>
  <Override PartName="/xl/charts/chart3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3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8.xml" ContentType="application/vnd.openxmlformats-officedocument.drawing+xml"/>
  <Override PartName="/xl/charts/chart4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9.xml" ContentType="application/vnd.openxmlformats-officedocument.drawing+xml"/>
  <Override PartName="/xl/charts/chart4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0.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1.xml" ContentType="application/vnd.openxmlformats-officedocument.drawing+xml"/>
  <Override PartName="/xl/charts/chart55.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2.xml" ContentType="application/vnd.openxmlformats-officedocument.drawing+xml"/>
  <Override PartName="/xl/charts/chart56.xml" ContentType="application/vnd.openxmlformats-officedocument.drawingml.chart+xml"/>
  <Override PartName="/xl/charts/style23.xml" ContentType="application/vnd.ms-office.chartstyle+xml"/>
  <Override PartName="/xl/charts/colors23.xml" ContentType="application/vnd.ms-office.chartcolorstyle+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8A655F12-530B-4F65-AD82-E84FDF7D7E12}" xr6:coauthVersionLast="47" xr6:coauthVersionMax="47" xr10:uidLastSave="{00000000-0000-0000-0000-000000000000}"/>
  <bookViews>
    <workbookView xWindow="-120" yWindow="-120" windowWidth="20730" windowHeight="11040" firstSheet="1" activeTab="4" xr2:uid="{AFE0EA57-3046-4DED-A873-902D23846438}"/>
  </bookViews>
  <sheets>
    <sheet name="Importing Tranformation" sheetId="1" r:id="rId1"/>
    <sheet name="Horizontal Pattern 18.1" sheetId="2" r:id="rId2"/>
    <sheet name="Naive Forecast 18.7" sheetId="8" r:id="rId3"/>
    <sheet name="Average of past values" sheetId="9" r:id="rId4"/>
    <sheet name="Moving Averages" sheetId="10" r:id="rId5"/>
    <sheet name="Weighted moving averages" sheetId="11" r:id="rId6"/>
    <sheet name="Exponential Smoothing" sheetId="12" r:id="rId7"/>
    <sheet name="Exponential with excel" sheetId="17" r:id="rId8"/>
    <sheet name="18.2" sheetId="3" r:id="rId9"/>
    <sheet name="18.4 Trend" sheetId="15" r:id="rId10"/>
    <sheet name="manual linear trend calculation" sheetId="32" r:id="rId11"/>
    <sheet name="Linear Trend with forecast" sheetId="14" r:id="rId12"/>
    <sheet name="Holts linear exponential" sheetId="16" r:id="rId13"/>
    <sheet name="Nonlinear Trend not adressed" sheetId="18" r:id="rId14"/>
    <sheet name="Nonlinear Trend Adressed" sheetId="19" r:id="rId15"/>
    <sheet name="Another way to adress nonlinear" sheetId="20" r:id="rId16"/>
    <sheet name="18.17 Seasonality not adressed" sheetId="23" r:id="rId17"/>
    <sheet name="Seasonality Adressed" sheetId="24" r:id="rId18"/>
    <sheet name="Trend and seasonal import" sheetId="6" r:id="rId19"/>
    <sheet name="trend and seasonal plot" sheetId="7" r:id="rId20"/>
    <sheet name="18.19 Seasonality and Trend" sheetId="25" r:id="rId21"/>
    <sheet name="Seasonality and Trend Adressed" sheetId="26" r:id="rId22"/>
    <sheet name="Decomposition seasonal indexes" sheetId="27" r:id="rId23"/>
    <sheet name="Decomposition Deseasonalized " sheetId="28" r:id="rId24"/>
    <sheet name="table 18.12 import" sheetId="13" r:id="rId25"/>
  </sheets>
  <definedNames>
    <definedName name="_xlnm._FilterDatabase" localSheetId="16" hidden="1">'18.17 Seasonality not adressed'!$C$7:$C$51</definedName>
    <definedName name="solver_eng" localSheetId="7" hidden="1">1</definedName>
    <definedName name="solver_neg" localSheetId="7" hidden="1">1</definedName>
    <definedName name="solver_num" localSheetId="7" hidden="1">0</definedName>
    <definedName name="solver_opt" localSheetId="7" hidden="1">'Exponential with excel'!$A$1</definedName>
    <definedName name="solver_typ" localSheetId="7" hidden="1">1</definedName>
    <definedName name="solver_val" localSheetId="7" hidden="1">0</definedName>
    <definedName name="solver_ver" localSheetId="7"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5" i="8" l="1"/>
  <c r="X5" i="8"/>
  <c r="U3" i="9"/>
  <c r="U4" i="9" s="1"/>
  <c r="U2" i="9"/>
  <c r="Q3" i="9"/>
  <c r="Q4" i="9"/>
  <c r="R4" i="9" s="1"/>
  <c r="Q5" i="9"/>
  <c r="Q6" i="9"/>
  <c r="Q7" i="9"/>
  <c r="R7" i="9" s="1"/>
  <c r="Q8" i="9"/>
  <c r="R8" i="9" s="1"/>
  <c r="Q9" i="9"/>
  <c r="R9" i="9" s="1"/>
  <c r="Q10" i="9"/>
  <c r="Q11" i="9"/>
  <c r="Q12" i="9"/>
  <c r="R12" i="9" s="1"/>
  <c r="Q13" i="9"/>
  <c r="Q2" i="9"/>
  <c r="R2" i="9" s="1"/>
  <c r="T2" i="8"/>
  <c r="P2" i="9"/>
  <c r="R13" i="9"/>
  <c r="R11" i="9"/>
  <c r="R10" i="9"/>
  <c r="R6" i="9"/>
  <c r="R5" i="9"/>
  <c r="R3" i="9"/>
  <c r="F3" i="8"/>
  <c r="G4" i="8"/>
  <c r="G3" i="8"/>
  <c r="U5" i="8"/>
  <c r="U3" i="8"/>
  <c r="U2" i="8"/>
  <c r="AA2" i="8"/>
  <c r="AA4" i="8" s="1"/>
  <c r="T5" i="8"/>
  <c r="U4" i="8"/>
  <c r="U6" i="8"/>
  <c r="U7" i="8"/>
  <c r="U8" i="8"/>
  <c r="U9" i="8"/>
  <c r="U10" i="8"/>
  <c r="U11" i="8"/>
  <c r="U12" i="8"/>
  <c r="U13" i="8"/>
  <c r="T3" i="8"/>
  <c r="T4" i="8"/>
  <c r="T6" i="8"/>
  <c r="T7" i="8"/>
  <c r="T8" i="8"/>
  <c r="T9" i="8"/>
  <c r="T10" i="8"/>
  <c r="T11" i="8"/>
  <c r="T12" i="8"/>
  <c r="T13" i="8"/>
  <c r="S2" i="8"/>
  <c r="AA3" i="8"/>
  <c r="H2" i="28"/>
  <c r="G19" i="28"/>
  <c r="F2" i="28"/>
  <c r="F33" i="28"/>
  <c r="H23" i="27"/>
  <c r="G23" i="27"/>
  <c r="G21" i="27"/>
  <c r="F8" i="27"/>
  <c r="F22" i="27"/>
  <c r="E20" i="27"/>
  <c r="F20" i="27"/>
  <c r="F6" i="27"/>
  <c r="D5" i="27"/>
  <c r="E4" i="27" s="1"/>
  <c r="F4" i="27" s="1"/>
  <c r="E9" i="27"/>
  <c r="E8" i="27"/>
  <c r="E6" i="27"/>
  <c r="E5" i="27"/>
  <c r="H20" i="27"/>
  <c r="D2" i="20"/>
  <c r="E2" i="20"/>
  <c r="F15" i="20"/>
  <c r="C2" i="20"/>
  <c r="B49" i="19"/>
  <c r="F2" i="16"/>
  <c r="E3" i="16"/>
  <c r="E4" i="16"/>
  <c r="E2" i="16"/>
  <c r="C3" i="16"/>
  <c r="M3" i="16"/>
  <c r="M4" i="16" a="1"/>
  <c r="M4" i="16"/>
  <c r="J7" i="15" a="1"/>
  <c r="J7" i="15" s="1"/>
  <c r="J6" i="15"/>
  <c r="J5" i="15" a="1"/>
  <c r="J5" i="15" s="1"/>
  <c r="J4" i="15"/>
  <c r="F15" i="32"/>
  <c r="F16" i="32"/>
  <c r="G13" i="32"/>
  <c r="F13" i="32"/>
  <c r="G3" i="32"/>
  <c r="G4" i="32"/>
  <c r="G5" i="32"/>
  <c r="G6" i="32"/>
  <c r="G7" i="32"/>
  <c r="G8" i="32"/>
  <c r="G9" i="32"/>
  <c r="G10" i="32"/>
  <c r="G11" i="32"/>
  <c r="G2" i="32"/>
  <c r="F3" i="32"/>
  <c r="F4" i="32"/>
  <c r="F5" i="32"/>
  <c r="F6" i="32"/>
  <c r="F7" i="32"/>
  <c r="F8" i="32"/>
  <c r="F9" i="32"/>
  <c r="F10" i="32"/>
  <c r="F11" i="32"/>
  <c r="F2" i="32"/>
  <c r="E3" i="32"/>
  <c r="E4" i="32"/>
  <c r="E5" i="32"/>
  <c r="E6" i="32"/>
  <c r="E7" i="32"/>
  <c r="E8" i="32"/>
  <c r="E9" i="32"/>
  <c r="E10" i="32"/>
  <c r="E11" i="32"/>
  <c r="E2" i="32"/>
  <c r="D3" i="32"/>
  <c r="D4" i="32"/>
  <c r="D5" i="32"/>
  <c r="D6" i="32"/>
  <c r="D7" i="32"/>
  <c r="D8" i="32"/>
  <c r="D9" i="32"/>
  <c r="D10" i="32"/>
  <c r="D11" i="32"/>
  <c r="D2" i="32"/>
  <c r="A14" i="32"/>
  <c r="B14" i="32"/>
  <c r="D2" i="15"/>
  <c r="G3" i="15"/>
  <c r="G4" i="15"/>
  <c r="G5" i="15"/>
  <c r="G6" i="15"/>
  <c r="G7" i="15"/>
  <c r="G8" i="15"/>
  <c r="G9" i="15"/>
  <c r="G10" i="15"/>
  <c r="G11" i="15"/>
  <c r="G2" i="15"/>
  <c r="M6" i="16" a="1"/>
  <c r="M6" i="16" s="1"/>
  <c r="J4" i="16"/>
  <c r="J5" i="16"/>
  <c r="J6" i="16"/>
  <c r="J7" i="16"/>
  <c r="J8" i="16"/>
  <c r="J9" i="16"/>
  <c r="J10" i="16"/>
  <c r="J11" i="16"/>
  <c r="J3" i="16"/>
  <c r="C4" i="16"/>
  <c r="P4" i="12"/>
  <c r="M3" i="12"/>
  <c r="P5" i="12" a="1"/>
  <c r="P5" i="12" s="1"/>
  <c r="M4" i="12"/>
  <c r="M5" i="12"/>
  <c r="M6" i="12"/>
  <c r="M7" i="12"/>
  <c r="M8" i="12"/>
  <c r="M9" i="12"/>
  <c r="M10" i="12"/>
  <c r="M11" i="12"/>
  <c r="M12" i="12"/>
  <c r="M13" i="12"/>
  <c r="H5" i="11"/>
  <c r="P3" i="12" a="1"/>
  <c r="P3" i="12" s="1"/>
  <c r="L5" i="11"/>
  <c r="H6" i="11"/>
  <c r="H7" i="11"/>
  <c r="H8" i="11"/>
  <c r="H9" i="11"/>
  <c r="H10" i="11"/>
  <c r="H11" i="11"/>
  <c r="H12" i="11"/>
  <c r="H13" i="11"/>
  <c r="L5" i="10"/>
  <c r="H13" i="10"/>
  <c r="H12" i="10"/>
  <c r="H11" i="10"/>
  <c r="H10" i="10"/>
  <c r="H9" i="10"/>
  <c r="H8" i="10"/>
  <c r="H7" i="10"/>
  <c r="H6" i="10"/>
  <c r="H5" i="10"/>
  <c r="L5" i="9"/>
  <c r="H4" i="9"/>
  <c r="H5" i="9"/>
  <c r="H6" i="9"/>
  <c r="H7" i="9"/>
  <c r="H8" i="9"/>
  <c r="H9" i="9"/>
  <c r="H10" i="9"/>
  <c r="H11" i="9"/>
  <c r="H12" i="9"/>
  <c r="H13" i="9"/>
  <c r="H3" i="9"/>
  <c r="H3" i="8"/>
  <c r="L2" i="8"/>
  <c r="E3" i="6"/>
  <c r="C4" i="12"/>
  <c r="C16" i="11"/>
  <c r="L3" i="11"/>
  <c r="L4" i="8" l="1"/>
  <c r="F13" i="15"/>
  <c r="F3" i="15"/>
  <c r="F4" i="15"/>
  <c r="F5" i="15"/>
  <c r="F6" i="15"/>
  <c r="F7" i="15"/>
  <c r="F8" i="15"/>
  <c r="F9" i="15"/>
  <c r="F10" i="15"/>
  <c r="F11" i="15"/>
  <c r="F2" i="15"/>
  <c r="E3" i="15"/>
  <c r="E4" i="15"/>
  <c r="E5" i="15"/>
  <c r="E6" i="15"/>
  <c r="E7" i="15"/>
  <c r="E8" i="15"/>
  <c r="E9" i="15"/>
  <c r="E10" i="15"/>
  <c r="E11" i="15"/>
  <c r="E2" i="15"/>
  <c r="D3" i="15"/>
  <c r="D4" i="15"/>
  <c r="D5" i="15"/>
  <c r="D6" i="15"/>
  <c r="D7" i="15"/>
  <c r="D8" i="15"/>
  <c r="D9" i="15"/>
  <c r="D10" i="15"/>
  <c r="D11" i="15"/>
  <c r="H15" i="8" l="1"/>
  <c r="I15" i="8"/>
  <c r="I3" i="8"/>
  <c r="C12" i="9" l="1"/>
  <c r="C11" i="9"/>
  <c r="C9" i="9"/>
  <c r="E5" i="10"/>
  <c r="L2" i="10"/>
  <c r="C5" i="10"/>
  <c r="C6" i="10"/>
  <c r="C7" i="10"/>
  <c r="C8" i="10"/>
  <c r="C9" i="10"/>
  <c r="C10" i="10"/>
  <c r="C11" i="10"/>
  <c r="C12" i="10"/>
  <c r="C13" i="10"/>
  <c r="C14" i="10"/>
  <c r="C17" i="10"/>
  <c r="B19" i="10"/>
  <c r="C13" i="11"/>
  <c r="F5" i="10" l="1"/>
  <c r="I5" i="10"/>
  <c r="H22" i="28"/>
  <c r="G22" i="28"/>
  <c r="H21" i="28"/>
  <c r="G21" i="28"/>
  <c r="H20" i="28"/>
  <c r="G20" i="28"/>
  <c r="H19" i="28"/>
  <c r="H17" i="28"/>
  <c r="F17" i="28"/>
  <c r="H16" i="28"/>
  <c r="F16" i="28"/>
  <c r="H15" i="28"/>
  <c r="F15" i="28"/>
  <c r="H14" i="28"/>
  <c r="F14" i="28"/>
  <c r="H13" i="28"/>
  <c r="F13" i="28"/>
  <c r="H12" i="28"/>
  <c r="F12" i="28"/>
  <c r="H11" i="28"/>
  <c r="F11" i="28"/>
  <c r="H10" i="28"/>
  <c r="F10" i="28"/>
  <c r="H9" i="28"/>
  <c r="F9" i="28"/>
  <c r="H8" i="28"/>
  <c r="F8" i="28"/>
  <c r="H7" i="28"/>
  <c r="F7" i="28"/>
  <c r="H6" i="28"/>
  <c r="F6" i="28"/>
  <c r="H5" i="28"/>
  <c r="F5" i="28"/>
  <c r="H4" i="28"/>
  <c r="F4" i="28"/>
  <c r="H3" i="28"/>
  <c r="F3" i="28"/>
  <c r="F23" i="27"/>
  <c r="E23" i="27"/>
  <c r="G22" i="27"/>
  <c r="E22" i="27"/>
  <c r="H22" i="27" s="1"/>
  <c r="H21" i="27"/>
  <c r="F21" i="27"/>
  <c r="E21" i="27"/>
  <c r="G20" i="27"/>
  <c r="D17" i="27"/>
  <c r="D16" i="27"/>
  <c r="F15" i="27"/>
  <c r="E15" i="27"/>
  <c r="D15" i="27"/>
  <c r="F14" i="27"/>
  <c r="E14" i="27"/>
  <c r="D14" i="27"/>
  <c r="F13" i="27"/>
  <c r="E13" i="27"/>
  <c r="D13" i="27"/>
  <c r="F12" i="27"/>
  <c r="E12" i="27"/>
  <c r="D12" i="27"/>
  <c r="F11" i="27"/>
  <c r="E11" i="27"/>
  <c r="D11" i="27"/>
  <c r="F10" i="27"/>
  <c r="E10" i="27"/>
  <c r="D10" i="27"/>
  <c r="F9" i="27"/>
  <c r="D9" i="27"/>
  <c r="D8" i="27"/>
  <c r="F7" i="27"/>
  <c r="E7" i="27"/>
  <c r="D7" i="27"/>
  <c r="D6" i="27"/>
  <c r="F5" i="27"/>
  <c r="G22" i="26"/>
  <c r="G21" i="26"/>
  <c r="G20" i="26"/>
  <c r="G19" i="26"/>
  <c r="D74" i="24"/>
  <c r="D73" i="24"/>
  <c r="D72" i="24"/>
  <c r="D71" i="24"/>
  <c r="E21" i="24"/>
  <c r="D21" i="24"/>
  <c r="C21" i="24"/>
  <c r="E20" i="24"/>
  <c r="D20" i="24"/>
  <c r="C20" i="24"/>
  <c r="E19" i="24"/>
  <c r="D19" i="24"/>
  <c r="C19" i="24"/>
  <c r="E18" i="24"/>
  <c r="D18" i="24"/>
  <c r="C18" i="24"/>
  <c r="E17" i="24"/>
  <c r="D17" i="24"/>
  <c r="C17" i="24"/>
  <c r="E16" i="24"/>
  <c r="D16" i="24"/>
  <c r="C16" i="24"/>
  <c r="E15" i="24"/>
  <c r="D15" i="24"/>
  <c r="C15" i="24"/>
  <c r="E14" i="24"/>
  <c r="D14" i="24"/>
  <c r="C14" i="24"/>
  <c r="E13" i="24"/>
  <c r="D13" i="24"/>
  <c r="C13" i="24"/>
  <c r="E12" i="24"/>
  <c r="D12" i="24"/>
  <c r="C12" i="24"/>
  <c r="E11" i="24"/>
  <c r="D11" i="24"/>
  <c r="C11" i="24"/>
  <c r="E10" i="24"/>
  <c r="D10" i="24"/>
  <c r="C10" i="24"/>
  <c r="E9" i="24"/>
  <c r="D9" i="24"/>
  <c r="C9" i="24"/>
  <c r="E8" i="24"/>
  <c r="D8" i="24"/>
  <c r="C8" i="24"/>
  <c r="E7" i="24"/>
  <c r="D7" i="24"/>
  <c r="C7" i="24"/>
  <c r="E6" i="24"/>
  <c r="D6" i="24"/>
  <c r="C6" i="24"/>
  <c r="E5" i="24"/>
  <c r="D5" i="24"/>
  <c r="C5" i="24"/>
  <c r="E4" i="24"/>
  <c r="D4" i="24"/>
  <c r="C4" i="24"/>
  <c r="E3" i="24"/>
  <c r="D3" i="24"/>
  <c r="C3" i="24"/>
  <c r="E2" i="24"/>
  <c r="D2" i="24"/>
  <c r="C2" i="24"/>
  <c r="G16" i="20"/>
  <c r="F16" i="20"/>
  <c r="G15" i="20"/>
  <c r="D12" i="20"/>
  <c r="E11" i="20"/>
  <c r="D11" i="20"/>
  <c r="C11" i="20"/>
  <c r="E10" i="20"/>
  <c r="D10" i="20"/>
  <c r="C10" i="20"/>
  <c r="E9" i="20"/>
  <c r="D9" i="20"/>
  <c r="C9" i="20"/>
  <c r="E8" i="20"/>
  <c r="D8" i="20"/>
  <c r="C8" i="20"/>
  <c r="E7" i="20"/>
  <c r="D7" i="20"/>
  <c r="C7" i="20"/>
  <c r="E6" i="20"/>
  <c r="D6" i="20"/>
  <c r="C6" i="20"/>
  <c r="E5" i="20"/>
  <c r="D5" i="20"/>
  <c r="C5" i="20"/>
  <c r="E4" i="20"/>
  <c r="D4" i="20"/>
  <c r="C4" i="20"/>
  <c r="E3" i="20"/>
  <c r="D3" i="20"/>
  <c r="C3" i="20"/>
  <c r="B11" i="19"/>
  <c r="B10" i="19"/>
  <c r="B9" i="19"/>
  <c r="B8" i="19"/>
  <c r="B7" i="19"/>
  <c r="B6" i="19"/>
  <c r="B5" i="19"/>
  <c r="B4" i="19"/>
  <c r="B3" i="19"/>
  <c r="B2" i="19"/>
  <c r="F15" i="16"/>
  <c r="E15" i="16"/>
  <c r="C15" i="16"/>
  <c r="M5" i="16"/>
  <c r="I13" i="16"/>
  <c r="I11" i="16"/>
  <c r="H11" i="16"/>
  <c r="F11" i="16"/>
  <c r="E11" i="16"/>
  <c r="C11" i="16"/>
  <c r="I10" i="16"/>
  <c r="H10" i="16"/>
  <c r="F10" i="16"/>
  <c r="E10" i="16"/>
  <c r="C10" i="16"/>
  <c r="I9" i="16"/>
  <c r="H9" i="16"/>
  <c r="F9" i="16"/>
  <c r="E9" i="16"/>
  <c r="C9" i="16"/>
  <c r="I8" i="16"/>
  <c r="H8" i="16"/>
  <c r="F8" i="16"/>
  <c r="E8" i="16"/>
  <c r="C8" i="16"/>
  <c r="I7" i="16"/>
  <c r="H7" i="16"/>
  <c r="F7" i="16"/>
  <c r="E7" i="16"/>
  <c r="C7" i="16"/>
  <c r="I6" i="16"/>
  <c r="H6" i="16"/>
  <c r="F6" i="16"/>
  <c r="E6" i="16"/>
  <c r="C6" i="16"/>
  <c r="I5" i="16"/>
  <c r="H5" i="16"/>
  <c r="F5" i="16"/>
  <c r="E5" i="16"/>
  <c r="C5" i="16"/>
  <c r="I4" i="16"/>
  <c r="H4" i="16"/>
  <c r="F4" i="16"/>
  <c r="I3" i="16"/>
  <c r="H3" i="16"/>
  <c r="F3" i="16"/>
  <c r="D15" i="14"/>
  <c r="D14" i="14"/>
  <c r="G13" i="14"/>
  <c r="D13" i="14"/>
  <c r="G11" i="14"/>
  <c r="F11" i="14"/>
  <c r="G10" i="14"/>
  <c r="F10" i="14"/>
  <c r="G9" i="14"/>
  <c r="F9" i="14"/>
  <c r="G8" i="14"/>
  <c r="F8" i="14"/>
  <c r="G7" i="14"/>
  <c r="F7" i="14"/>
  <c r="G6" i="14"/>
  <c r="F6" i="14"/>
  <c r="G5" i="14"/>
  <c r="F5" i="14"/>
  <c r="G4" i="14"/>
  <c r="F4" i="14"/>
  <c r="G3" i="14"/>
  <c r="F3" i="14"/>
  <c r="G2" i="14"/>
  <c r="F2" i="14"/>
  <c r="D11" i="13"/>
  <c r="C11" i="13"/>
  <c r="B11" i="13"/>
  <c r="B11" i="13" a="1"/>
  <c r="A11" i="13"/>
  <c r="A11" i="13" a="1"/>
  <c r="D10" i="13"/>
  <c r="C10" i="13"/>
  <c r="B10" i="13"/>
  <c r="B10" i="13" a="1"/>
  <c r="A10" i="13"/>
  <c r="A10" i="13" a="1"/>
  <c r="D9" i="13"/>
  <c r="C9" i="13"/>
  <c r="B9" i="13"/>
  <c r="B9" i="13" a="1"/>
  <c r="A9" i="13"/>
  <c r="A9" i="13" a="1"/>
  <c r="D8" i="13"/>
  <c r="C8" i="13"/>
  <c r="B8" i="13"/>
  <c r="B8" i="13" a="1"/>
  <c r="A8" i="13"/>
  <c r="A8" i="13" a="1"/>
  <c r="D7" i="13"/>
  <c r="C7" i="13"/>
  <c r="B7" i="13"/>
  <c r="B7" i="13" a="1"/>
  <c r="A7" i="13"/>
  <c r="A7" i="13" a="1"/>
  <c r="D6" i="13"/>
  <c r="C6" i="13"/>
  <c r="B6" i="13"/>
  <c r="B6" i="13" a="1"/>
  <c r="A6" i="13"/>
  <c r="A6" i="13" a="1"/>
  <c r="D5" i="13"/>
  <c r="C5" i="13"/>
  <c r="B5" i="13"/>
  <c r="B5" i="13" a="1"/>
  <c r="A5" i="13"/>
  <c r="A5" i="13" a="1"/>
  <c r="D4" i="13"/>
  <c r="C4" i="13"/>
  <c r="B4" i="13"/>
  <c r="B4" i="13" a="1"/>
  <c r="A4" i="13"/>
  <c r="A4" i="13" a="1"/>
  <c r="D3" i="13"/>
  <c r="C3" i="13"/>
  <c r="B3" i="13"/>
  <c r="B3" i="13" a="1"/>
  <c r="A3" i="13"/>
  <c r="A3" i="13" a="1"/>
  <c r="B2" i="13"/>
  <c r="B2" i="13" a="1"/>
  <c r="A2" i="13"/>
  <c r="A2" i="13" a="1"/>
  <c r="A14" i="6"/>
  <c r="A14" i="6" a="1"/>
  <c r="A10" i="6"/>
  <c r="A10" i="6" a="1"/>
  <c r="A6" i="6"/>
  <c r="A6" i="6" a="1"/>
  <c r="D5" i="6"/>
  <c r="F4" i="6"/>
  <c r="D4" i="6"/>
  <c r="C4" i="6"/>
  <c r="C4" i="6" a="1"/>
  <c r="F3" i="6"/>
  <c r="D3" i="6"/>
  <c r="C3" i="6"/>
  <c r="C3" i="6" a="1"/>
  <c r="B3" i="6" a="1"/>
  <c r="B3" i="6" s="1"/>
  <c r="E4" i="6" s="1"/>
  <c r="B4" i="6" s="1" a="1"/>
  <c r="B4" i="6" s="1"/>
  <c r="C2" i="6"/>
  <c r="C2" i="6" a="1"/>
  <c r="B2" i="6"/>
  <c r="B2" i="6" a="1"/>
  <c r="A2" i="6"/>
  <c r="A2" i="6" a="1"/>
  <c r="D13" i="17"/>
  <c r="D12" i="17"/>
  <c r="D11" i="17"/>
  <c r="D10" i="17"/>
  <c r="D9" i="17"/>
  <c r="D8" i="17"/>
  <c r="D7" i="17"/>
  <c r="D6" i="17"/>
  <c r="D5" i="17"/>
  <c r="D4" i="17"/>
  <c r="D3" i="17"/>
  <c r="L14" i="12"/>
  <c r="K14" i="12"/>
  <c r="C15" i="12"/>
  <c r="L13" i="12"/>
  <c r="K13" i="12"/>
  <c r="C13" i="12"/>
  <c r="L12" i="12"/>
  <c r="K12" i="12"/>
  <c r="C12" i="12"/>
  <c r="L11" i="12"/>
  <c r="K11" i="12"/>
  <c r="C11" i="12"/>
  <c r="L10" i="12"/>
  <c r="K10" i="12"/>
  <c r="C10" i="12"/>
  <c r="L9" i="12"/>
  <c r="K9" i="12"/>
  <c r="C9" i="12"/>
  <c r="L8" i="12"/>
  <c r="K8" i="12"/>
  <c r="C8" i="12"/>
  <c r="L7" i="12"/>
  <c r="K7" i="12"/>
  <c r="C7" i="12"/>
  <c r="L6" i="12"/>
  <c r="K6" i="12"/>
  <c r="C6" i="12"/>
  <c r="L5" i="12"/>
  <c r="K5" i="12"/>
  <c r="C5" i="12"/>
  <c r="L4" i="12"/>
  <c r="K4" i="12"/>
  <c r="L3" i="12"/>
  <c r="K3" i="12"/>
  <c r="C3" i="12"/>
  <c r="P2" i="12"/>
  <c r="B23" i="11"/>
  <c r="B22" i="11"/>
  <c r="B21" i="11"/>
  <c r="B20" i="11"/>
  <c r="E13" i="11"/>
  <c r="I13" i="11" s="1"/>
  <c r="C12" i="11"/>
  <c r="E12" i="11" s="1"/>
  <c r="C11" i="11"/>
  <c r="E11" i="11" s="1"/>
  <c r="C10" i="11"/>
  <c r="E10" i="11" s="1"/>
  <c r="C9" i="11"/>
  <c r="E9" i="11" s="1"/>
  <c r="C8" i="11"/>
  <c r="E8" i="11" s="1"/>
  <c r="C7" i="11"/>
  <c r="E7" i="11" s="1"/>
  <c r="C6" i="11"/>
  <c r="E6" i="11" s="1"/>
  <c r="C5" i="11"/>
  <c r="E5" i="11" s="1"/>
  <c r="E13" i="10"/>
  <c r="I13" i="10" s="1"/>
  <c r="E12" i="10"/>
  <c r="I12" i="10" s="1"/>
  <c r="E11" i="10"/>
  <c r="I11" i="10" s="1"/>
  <c r="E10" i="10"/>
  <c r="G10" i="10" s="1"/>
  <c r="E9" i="10"/>
  <c r="G9" i="10" s="1"/>
  <c r="E8" i="10"/>
  <c r="I8" i="10" s="1"/>
  <c r="E7" i="10"/>
  <c r="F7" i="10" s="1"/>
  <c r="E6" i="10"/>
  <c r="F6" i="10" s="1"/>
  <c r="G5" i="10"/>
  <c r="C17" i="9"/>
  <c r="I13" i="9"/>
  <c r="G13" i="9"/>
  <c r="F13" i="9"/>
  <c r="E13" i="9"/>
  <c r="C13" i="9"/>
  <c r="E12" i="9"/>
  <c r="I12" i="9" s="1"/>
  <c r="G11" i="9"/>
  <c r="E11" i="9"/>
  <c r="F11" i="9" s="1"/>
  <c r="I10" i="9"/>
  <c r="G10" i="9"/>
  <c r="F10" i="9"/>
  <c r="E10" i="9"/>
  <c r="C10" i="9"/>
  <c r="I9" i="9"/>
  <c r="G9" i="9"/>
  <c r="E9" i="9"/>
  <c r="F9" i="9" s="1"/>
  <c r="I8" i="9"/>
  <c r="G8" i="9"/>
  <c r="F8" i="9"/>
  <c r="E8" i="9"/>
  <c r="C8" i="9"/>
  <c r="I7" i="9"/>
  <c r="G7" i="9"/>
  <c r="F7" i="9"/>
  <c r="E7" i="9"/>
  <c r="C7" i="9"/>
  <c r="I6" i="9"/>
  <c r="G6" i="9"/>
  <c r="F6" i="9"/>
  <c r="E6" i="9"/>
  <c r="C6" i="9"/>
  <c r="I5" i="9"/>
  <c r="G5" i="9"/>
  <c r="F5" i="9"/>
  <c r="E5" i="9"/>
  <c r="C5" i="9"/>
  <c r="I4" i="9"/>
  <c r="G4" i="9"/>
  <c r="F4" i="9"/>
  <c r="E4" i="9"/>
  <c r="C4" i="9"/>
  <c r="I3" i="9"/>
  <c r="G3" i="9"/>
  <c r="F3" i="9"/>
  <c r="E3" i="9"/>
  <c r="G15" i="8"/>
  <c r="F15" i="8"/>
  <c r="E15" i="8"/>
  <c r="C15" i="8"/>
  <c r="I13" i="8"/>
  <c r="H13" i="8"/>
  <c r="G13" i="8"/>
  <c r="F13" i="8"/>
  <c r="E13" i="8"/>
  <c r="C13" i="8"/>
  <c r="I12" i="8"/>
  <c r="H12" i="8"/>
  <c r="G12" i="8"/>
  <c r="F12" i="8"/>
  <c r="E12" i="8"/>
  <c r="C12" i="8"/>
  <c r="I11" i="8"/>
  <c r="H11" i="8"/>
  <c r="G11" i="8"/>
  <c r="F11" i="8"/>
  <c r="E11" i="8"/>
  <c r="C11" i="8"/>
  <c r="I10" i="8"/>
  <c r="H10" i="8"/>
  <c r="G10" i="8"/>
  <c r="F10" i="8"/>
  <c r="E10" i="8"/>
  <c r="C10" i="8"/>
  <c r="I9" i="8"/>
  <c r="H9" i="8"/>
  <c r="G9" i="8"/>
  <c r="F9" i="8"/>
  <c r="E9" i="8"/>
  <c r="C9" i="8"/>
  <c r="I8" i="8"/>
  <c r="H8" i="8"/>
  <c r="G8" i="8"/>
  <c r="F8" i="8"/>
  <c r="E8" i="8"/>
  <c r="C8" i="8"/>
  <c r="I7" i="8"/>
  <c r="H7" i="8"/>
  <c r="G7" i="8"/>
  <c r="F7" i="8"/>
  <c r="E7" i="8"/>
  <c r="C7" i="8"/>
  <c r="I6" i="8"/>
  <c r="H6" i="8"/>
  <c r="G6" i="8"/>
  <c r="F6" i="8"/>
  <c r="E6" i="8"/>
  <c r="C6" i="8"/>
  <c r="L5" i="8"/>
  <c r="I5" i="8"/>
  <c r="H5" i="8"/>
  <c r="G5" i="8"/>
  <c r="F5" i="8"/>
  <c r="E5" i="8"/>
  <c r="C5" i="8"/>
  <c r="I4" i="8"/>
  <c r="H4" i="8"/>
  <c r="F4" i="8"/>
  <c r="E4" i="8"/>
  <c r="C4" i="8"/>
  <c r="L3" i="8"/>
  <c r="E3" i="8"/>
  <c r="C3" i="8"/>
  <c r="D16" i="1"/>
  <c r="C16" i="1"/>
  <c r="D15" i="1"/>
  <c r="C15" i="1"/>
  <c r="D14" i="1"/>
  <c r="C14" i="1"/>
  <c r="D13" i="1"/>
  <c r="C13" i="1"/>
  <c r="B13" i="1"/>
  <c r="B13" i="1" a="1"/>
  <c r="A13" i="1"/>
  <c r="A13" i="1" a="1"/>
  <c r="D12" i="1"/>
  <c r="C12" i="1"/>
  <c r="B12" i="1"/>
  <c r="B12" i="1" a="1"/>
  <c r="A12" i="1"/>
  <c r="A12" i="1" a="1"/>
  <c r="D11" i="1"/>
  <c r="C11" i="1"/>
  <c r="B11" i="1"/>
  <c r="B11" i="1" a="1"/>
  <c r="A11" i="1"/>
  <c r="A11" i="1" a="1"/>
  <c r="D10" i="1"/>
  <c r="C10" i="1"/>
  <c r="B10" i="1"/>
  <c r="B10" i="1" a="1"/>
  <c r="A10" i="1"/>
  <c r="A10" i="1" a="1"/>
  <c r="D9" i="1"/>
  <c r="C9" i="1"/>
  <c r="B9" i="1"/>
  <c r="B9" i="1" a="1"/>
  <c r="A9" i="1"/>
  <c r="A9" i="1" a="1"/>
  <c r="D8" i="1"/>
  <c r="C8" i="1"/>
  <c r="B8" i="1"/>
  <c r="B8" i="1" a="1"/>
  <c r="A8" i="1"/>
  <c r="A8" i="1" a="1"/>
  <c r="D7" i="1"/>
  <c r="C7" i="1"/>
  <c r="B7" i="1"/>
  <c r="B7" i="1" a="1"/>
  <c r="A7" i="1"/>
  <c r="A7" i="1" a="1"/>
  <c r="D6" i="1"/>
  <c r="C6" i="1"/>
  <c r="B6" i="1"/>
  <c r="B6" i="1" a="1"/>
  <c r="A6" i="1"/>
  <c r="A6" i="1" a="1"/>
  <c r="D5" i="1"/>
  <c r="C5" i="1"/>
  <c r="B5" i="1"/>
  <c r="B5" i="1" a="1"/>
  <c r="A5" i="1"/>
  <c r="A5" i="1" a="1"/>
  <c r="D4" i="1"/>
  <c r="C4" i="1"/>
  <c r="B4" i="1"/>
  <c r="B4" i="1" a="1"/>
  <c r="A4" i="1"/>
  <c r="A4" i="1" a="1"/>
  <c r="D3" i="1"/>
  <c r="C3" i="1"/>
  <c r="B3" i="1"/>
  <c r="B3" i="1" a="1"/>
  <c r="A3" i="1"/>
  <c r="A3" i="1" a="1"/>
  <c r="B2" i="1"/>
  <c r="B2" i="1" a="1"/>
  <c r="A2" i="1"/>
  <c r="A2" i="1" a="1"/>
  <c r="F5" i="6" l="1"/>
  <c r="C5" i="6" s="1" a="1"/>
  <c r="C5" i="6" s="1"/>
  <c r="E5" i="6"/>
  <c r="B5" i="6" s="1" a="1"/>
  <c r="B5" i="6" s="1"/>
  <c r="G5" i="11"/>
  <c r="L4" i="11" s="1"/>
  <c r="L2" i="11"/>
  <c r="F12" i="9"/>
  <c r="G12" i="9"/>
  <c r="I11" i="9"/>
  <c r="I15" i="9" s="1"/>
  <c r="G15" i="9"/>
  <c r="L3" i="9"/>
  <c r="F15" i="9"/>
  <c r="E15" i="9"/>
  <c r="L4" i="9"/>
  <c r="L2" i="9"/>
  <c r="I10" i="10"/>
  <c r="F8" i="10"/>
  <c r="F12" i="10"/>
  <c r="G8" i="10"/>
  <c r="G12" i="10"/>
  <c r="F9" i="10"/>
  <c r="I9" i="10"/>
  <c r="F11" i="10"/>
  <c r="G11" i="10"/>
  <c r="F13" i="10"/>
  <c r="F10" i="10"/>
  <c r="G13" i="10"/>
  <c r="G7" i="10"/>
  <c r="I7" i="10"/>
  <c r="G6" i="10"/>
  <c r="E15" i="10"/>
  <c r="I9" i="11"/>
  <c r="G9" i="11"/>
  <c r="F9" i="11"/>
  <c r="G13" i="11"/>
  <c r="F13" i="11"/>
  <c r="F5" i="11"/>
  <c r="D19" i="11"/>
  <c r="G6" i="11"/>
  <c r="F6" i="11"/>
  <c r="I6" i="11"/>
  <c r="G10" i="11"/>
  <c r="F10" i="11"/>
  <c r="I10" i="11"/>
  <c r="I7" i="11"/>
  <c r="G7" i="11"/>
  <c r="F7" i="11"/>
  <c r="I11" i="11"/>
  <c r="G11" i="11"/>
  <c r="F11" i="11"/>
  <c r="I8" i="11"/>
  <c r="G8" i="11"/>
  <c r="F8" i="11"/>
  <c r="I12" i="11"/>
  <c r="F12" i="11"/>
  <c r="G12" i="11"/>
  <c r="F6" i="6" l="1"/>
  <c r="C6" i="6" s="1" a="1"/>
  <c r="C6" i="6" s="1"/>
  <c r="E6" i="6"/>
  <c r="B6" i="6" s="1" a="1"/>
  <c r="B6" i="6" s="1"/>
  <c r="H15" i="9"/>
  <c r="L3" i="10"/>
  <c r="L4" i="10"/>
  <c r="F15" i="10"/>
  <c r="G15" i="10"/>
  <c r="H15" i="10"/>
  <c r="I6" i="10"/>
  <c r="F19" i="11"/>
  <c r="G19" i="11"/>
  <c r="I5" i="11"/>
  <c r="E19" i="11"/>
  <c r="F7" i="6" l="1"/>
  <c r="C7" i="6" s="1" a="1"/>
  <c r="C7" i="6" s="1"/>
  <c r="E7" i="6"/>
  <c r="B7" i="6" s="1" a="1"/>
  <c r="B7" i="6" s="1"/>
  <c r="I15" i="10"/>
  <c r="H19" i="11"/>
  <c r="F8" i="6" l="1"/>
  <c r="C8" i="6" s="1" a="1"/>
  <c r="C8" i="6" s="1"/>
  <c r="E8" i="6"/>
  <c r="B8" i="6" s="1" a="1"/>
  <c r="B8" i="6" s="1"/>
  <c r="F9" i="6" l="1"/>
  <c r="C9" i="6" s="1" a="1"/>
  <c r="C9" i="6" s="1"/>
  <c r="E9" i="6"/>
  <c r="B9" i="6" s="1" a="1"/>
  <c r="B9" i="6" s="1"/>
  <c r="F10" i="6" l="1"/>
  <c r="C10" i="6" s="1" a="1"/>
  <c r="C10" i="6" s="1"/>
  <c r="E10" i="6"/>
  <c r="B10" i="6" s="1" a="1"/>
  <c r="B10" i="6" s="1"/>
  <c r="F11" i="6" l="1"/>
  <c r="C11" i="6" s="1" a="1"/>
  <c r="C11" i="6" s="1"/>
  <c r="E11" i="6"/>
  <c r="B11" i="6" s="1" a="1"/>
  <c r="B11" i="6" s="1"/>
  <c r="F12" i="6" l="1"/>
  <c r="C12" i="6" s="1" a="1"/>
  <c r="C12" i="6" s="1"/>
  <c r="E12" i="6"/>
  <c r="B12" i="6" s="1" a="1"/>
  <c r="B12" i="6" s="1"/>
  <c r="F13" i="6" l="1"/>
  <c r="C13" i="6" s="1" a="1"/>
  <c r="C13" i="6" s="1"/>
  <c r="E13" i="6"/>
  <c r="B13" i="6" s="1" a="1"/>
  <c r="B13" i="6" s="1"/>
  <c r="F14" i="6" l="1"/>
  <c r="C14" i="6" s="1" a="1"/>
  <c r="C14" i="6" s="1"/>
  <c r="E14" i="6"/>
  <c r="B14" i="6" s="1" a="1"/>
  <c r="B14" i="6" s="1"/>
  <c r="F15" i="6" l="1"/>
  <c r="C15" i="6" s="1" a="1"/>
  <c r="C15" i="6" s="1"/>
  <c r="E15" i="6"/>
  <c r="B15" i="6" s="1" a="1"/>
  <c r="B15" i="6" s="1"/>
  <c r="F16" i="6" l="1"/>
  <c r="C16" i="6" s="1" a="1"/>
  <c r="C16" i="6" s="1"/>
  <c r="E16" i="6"/>
  <c r="B16" i="6" s="1" a="1"/>
  <c r="B16" i="6" s="1"/>
  <c r="F17" i="6" l="1"/>
  <c r="C17" i="6" s="1" a="1"/>
  <c r="C17" i="6" s="1"/>
  <c r="E17" i="6"/>
  <c r="B17" i="6" s="1" a="1"/>
  <c r="B17"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<sst xmlns="http://schemas.openxmlformats.org/spreadsheetml/2006/main" count="497" uniqueCount="142">
  <si>
    <t>Week</t>
  </si>
  <si>
    <t>Salesofgallons</t>
  </si>
  <si>
    <t>Year</t>
  </si>
  <si>
    <t>N=</t>
  </si>
  <si>
    <t>Quarter</t>
  </si>
  <si>
    <t>Sales(1000s)</t>
  </si>
  <si>
    <t>index</t>
  </si>
  <si>
    <t>Naïve Forecast</t>
  </si>
  <si>
    <t>Forecast error</t>
  </si>
  <si>
    <t>Totals</t>
  </si>
  <si>
    <t>Absolute value of forecast error</t>
  </si>
  <si>
    <t>Squared forecast error</t>
  </si>
  <si>
    <t>Percentage error</t>
  </si>
  <si>
    <t>Absolute of percentage error</t>
  </si>
  <si>
    <t>MAE</t>
  </si>
  <si>
    <t>Average forecast error</t>
  </si>
  <si>
    <t>MSE</t>
  </si>
  <si>
    <t>MAPE</t>
  </si>
  <si>
    <t>Ave of past forecast</t>
  </si>
  <si>
    <t>Standard Error</t>
  </si>
  <si>
    <t>Sum</t>
  </si>
  <si>
    <t>Weight</t>
  </si>
  <si>
    <t>Most recent</t>
  </si>
  <si>
    <t>2nd most recent</t>
  </si>
  <si>
    <t>3rd most recent</t>
  </si>
  <si>
    <t>sum</t>
  </si>
  <si>
    <t>Forecast</t>
  </si>
  <si>
    <t>F2=aY1+(1-a)F1</t>
  </si>
  <si>
    <t>aY1+(1-a)Y1</t>
  </si>
  <si>
    <t>Y1</t>
  </si>
  <si>
    <t>F3=0.2Y2+(1-0.2)F2</t>
  </si>
  <si>
    <t>0.2(21)+0.8(17)</t>
  </si>
  <si>
    <t>Forecast Equation</t>
  </si>
  <si>
    <t>F3=0.2Y3+(1-0.2)F3</t>
  </si>
  <si>
    <t>F3=0.2Y4+(1-0.2)F4</t>
  </si>
  <si>
    <t>Forecast Error</t>
  </si>
  <si>
    <t>Squared Forecast Error</t>
  </si>
  <si>
    <t>Salesofgallons (thousands)</t>
  </si>
  <si>
    <t>Forecast (thousands)</t>
  </si>
  <si>
    <t>a=</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</si>
  <si>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</si>
  <si>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</si>
  <si>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</si>
  <si>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</si>
  <si>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</si>
  <si>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</si>
  <si>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</si>
  <si>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</si>
  <si>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</si>
  <si>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</si>
  <si>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</si>
  <si>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</si>
  <si>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</si>
  <si>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</si>
  <si>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</si>
  <si>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</si>
  <si>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</si>
  <si>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</si>
  <si>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</si>
  <si>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</si>
  <si>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</si>
  <si>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</si>
  <si>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</si>
  <si>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</si>
  <si>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</si>
  <si>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Sales(1000s)</t>
  </si>
  <si>
    <t>Residuals</t>
  </si>
  <si>
    <t>Future Forecast</t>
  </si>
  <si>
    <t>SSE</t>
  </si>
  <si>
    <t>a</t>
  </si>
  <si>
    <t>Lt</t>
  </si>
  <si>
    <t>B</t>
  </si>
  <si>
    <t>bt</t>
  </si>
  <si>
    <t>Forecast error squared</t>
  </si>
  <si>
    <t>Forecast ("Ft")</t>
  </si>
  <si>
    <t xml:space="preserve">Future </t>
  </si>
  <si>
    <t>Ignore</t>
  </si>
  <si>
    <t>Revenue ($millions)</t>
  </si>
  <si>
    <t xml:space="preserve"> </t>
  </si>
  <si>
    <t>Predicted Revenue ($millions)</t>
  </si>
  <si>
    <t>Standard Residuals</t>
  </si>
  <si>
    <t>Year Squared</t>
  </si>
  <si>
    <t>PROBABILITY OUTPUT</t>
  </si>
  <si>
    <t>Percentile</t>
  </si>
  <si>
    <t>Ln (observed values)</t>
  </si>
  <si>
    <t>Predicted Ln (observed values)</t>
  </si>
  <si>
    <t>Exponential Trend</t>
  </si>
  <si>
    <t>E</t>
  </si>
  <si>
    <t>B1:</t>
  </si>
  <si>
    <t>B0:</t>
  </si>
  <si>
    <t>Predicted Ln (y)</t>
  </si>
  <si>
    <t>Predicted from log</t>
  </si>
  <si>
    <t xml:space="preserve">Manually Predicted </t>
  </si>
  <si>
    <t>Future</t>
  </si>
  <si>
    <t>Sales</t>
  </si>
  <si>
    <t>Quarter1</t>
  </si>
  <si>
    <t>Quarter 2</t>
  </si>
  <si>
    <t>Quarter 3</t>
  </si>
  <si>
    <t>Predicted Sales</t>
  </si>
  <si>
    <t>Quarter (1000s)</t>
  </si>
  <si>
    <t>t</t>
  </si>
  <si>
    <t>Sales (1000s)</t>
  </si>
  <si>
    <t>4 Quarter moving average</t>
  </si>
  <si>
    <t>Seasonal Irregular Values</t>
  </si>
  <si>
    <t>Seasonal Index</t>
  </si>
  <si>
    <t>Deseasonalized Sales</t>
  </si>
  <si>
    <t>Predicted Deseasonalized Sales</t>
  </si>
  <si>
    <t>Future Predictions</t>
  </si>
  <si>
    <t>ignore</t>
  </si>
  <si>
    <t>just to connect line</t>
  </si>
  <si>
    <t>X Variable 1</t>
  </si>
  <si>
    <t>Quarterly Forecast (thousands) "Predicted Sales"</t>
  </si>
  <si>
    <t>Predictive Forecast</t>
  </si>
  <si>
    <t>Prediction</t>
  </si>
  <si>
    <t>Mean Absoulute ERROR (MAE)</t>
  </si>
  <si>
    <t>Mean Square ERROR (MSE)</t>
  </si>
  <si>
    <t>Mean Abosulute Percentage Error (MAPE)</t>
  </si>
  <si>
    <t>Mean or Average Forecast Error</t>
  </si>
  <si>
    <t>Percentage Error</t>
  </si>
  <si>
    <t>Sales of gallons</t>
  </si>
  <si>
    <t>that</t>
  </si>
  <si>
    <t>t-that</t>
  </si>
  <si>
    <t>yt-Yhat</t>
  </si>
  <si>
    <t>Yhat</t>
  </si>
  <si>
    <t xml:space="preserve">b1 calc Numerator </t>
  </si>
  <si>
    <t>b1 calc denominator</t>
  </si>
  <si>
    <t>b1</t>
  </si>
  <si>
    <t>bo</t>
  </si>
  <si>
    <t>Forecast Year 11</t>
  </si>
  <si>
    <t>Centered Moving Average or "Trend value"</t>
  </si>
  <si>
    <t>Equals Seasonal value combined  Irregular Value</t>
  </si>
  <si>
    <t>average of seasonal indexes</t>
  </si>
  <si>
    <t>Deseasonalized Sales (thousands)= trend and random variablility</t>
  </si>
  <si>
    <t>Trend Projection (thousands) ("Predicted Deseasonalized sales")</t>
  </si>
  <si>
    <t>SST</t>
  </si>
  <si>
    <t>SSRES</t>
  </si>
  <si>
    <t>Mean of Actual</t>
  </si>
  <si>
    <t>Acual-mean of actual</t>
  </si>
  <si>
    <t>(Acual-mean of actual)^2</t>
  </si>
  <si>
    <t>adjusted R SQUARED</t>
  </si>
  <si>
    <t>n</t>
  </si>
  <si>
    <t>p (# of predictors)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</si>
</sst>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
    <numFmt numFmtId="165" formatCode="0.0000000000000"/>
    <numFmt numFmtId="166" formatCode="0.0"/>
    <numFmt numFmtId="167" formatCode="0.0000"/>
  </numFmts>
  <fonts count="15"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1"/>
      <color rgb="FF00B0F0"/>
      <name val="Calibri"/>
      <family val="2"/>
      <scheme val="minor"/>
    </font>
    <font>
      <sz val="11"/>
      <color rgb="FF00B050"/>
      <name val="Calibri"/>
      <family val="2"/>
      <scheme val="minor"/>
    </font>
    <font>
      <sz val="11"/>
      <color rgb="FF7030A0"/>
      <name val="Calibri"/>
      <family val="2"/>
      <scheme val="minor"/>
    </font>
    <font>
      <sz val="11"/>
      <color rgb="FFFF0000"/>
      <name val="Calibri"/>
      <family val="2"/>
      <scheme val="minor"/>
    </font>
    <font>
      <sz val="11"/>
      <color theme="0"/>
      <name val="Calibri"/>
      <family val="2"/>
      <scheme val="minor"/>
    </font>
    <font>
      <sz val="11"/>
      <color theme="0" tint="-0.249977111117893"/>
      <name val="Calibri"/>
      <family val="2"/>
      <scheme val="minor"/>
    </font>
    <font>
      <sz val="12"/>
      <color theme="1"/>
      <name val="Calibri"/>
      <family val="2"/>
      <scheme val="minor"/>
    </font>
    <font>
      <b/>
      <sz val="12"/>
      <color theme="1"/>
      <name val="Calibri"/>
      <family val="2"/>
      <scheme val="minor"/>
    </font>
    <font>
      <sz val="11"/>
      <color rgb="FFFFC000"/>
      <name val="Calibri"/>
      <family val="2"/>
      <scheme val="minor"/>
    </font>
    <font>
      <sz val="11"/>
      <color theme="4"/>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0070C0"/>
        <bgColor indexed="64"/>
      </patternFill>
    </fill>
    <fill>
      <patternFill patternType="solid">
        <fgColor rgb="FFFFFF00"/>
        <bgColor indexed="64"/>
      </patternFill>
    </fill>
    <fill>
      <patternFill patternType="solid">
        <fgColor rgb="FF7030A0"/>
        <bgColor indexed="64"/>
      </patternFill>
    </fill>
    <fill>
      <patternFill patternType="solid">
        <fgColor theme="0"/>
        <bgColor indexed="64"/>
      </patternFill>
    </fill>
  </fills>
  <borders count="11">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5">
    <xf numFmtId="0" fontId="0" fillId="0" borderId="0" xfId="0"/>
    <xf numFmtId="0" fontId="0" fillId="2" borderId="0" xfId="0" applyFill="1"/>
    <xf numFmtId="0" fontId="0" fillId="0" borderId="0" xfId="0" applyAlignment="1">
      <alignment wrapText="1"/>
    </xf>
    <xf numFmtId="10" fontId="0" fillId="0" borderId="0" xfId="2" applyNumberFormat="1" applyFont="1"/>
    <xf numFmtId="2" fontId="0" fillId="0" borderId="0" xfId="0" applyNumberFormat="1"/>
    <xf numFmtId="10" fontId="0" fillId="0" borderId="0" xfId="0" applyNumberFormat="1"/>
    <xf numFmtId="165" fontId="0" fillId="0" borderId="0" xfId="0" applyNumberFormat="1"/>
    <xf numFmtId="43" fontId="0" fillId="0" borderId="0" xfId="0" applyNumberFormat="1"/>
    <xf numFmtId="0" fontId="0" fillId="0" borderId="1" xfId="0" applyBorder="1"/>
    <xf numFmtId="0" fontId="3" fillId="0" borderId="2" xfId="0" applyFont="1" applyBorder="1" applyAlignment="1">
      <alignment horizontal="center"/>
    </xf>
    <xf numFmtId="1" fontId="0" fillId="0" borderId="0" xfId="0" applyNumberFormat="1"/>
    <xf numFmtId="0" fontId="2" fillId="0" borderId="0" xfId="0" applyFont="1"/>
    <xf numFmtId="2" fontId="2" fillId="0" borderId="0" xfId="0" applyNumberFormat="1" applyFont="1"/>
    <xf numFmtId="0" fontId="3" fillId="0" borderId="2" xfId="0" applyFont="1" applyBorder="1" applyAlignment="1">
      <alignment horizontal="centerContinuous"/>
    </xf>
    <xf numFmtId="0" fontId="0" fillId="3" borderId="0" xfId="0" applyFill="1"/>
    <xf numFmtId="0" fontId="0" fillId="4" borderId="0" xfId="0" applyFill="1"/>
    <xf numFmtId="2" fontId="2" fillId="0" borderId="0" xfId="1" applyNumberFormat="1" applyFont="1"/>
    <xf numFmtId="164" fontId="0" fillId="0" borderId="1" xfId="0" applyNumberFormat="1" applyBorder="1"/>
    <xf numFmtId="166" fontId="0" fillId="0" borderId="0" xfId="0" applyNumberFormat="1"/>
    <xf numFmtId="0" fontId="5" fillId="0" borderId="0" xfId="0" applyFont="1"/>
    <xf numFmtId="0" fontId="6" fillId="0" borderId="1" xfId="0" applyFont="1" applyBorder="1"/>
    <xf numFmtId="0" fontId="7" fillId="0" borderId="0" xfId="0" applyFont="1"/>
    <xf numFmtId="0" fontId="7" fillId="0" borderId="0" xfId="0" applyFont="1" applyAlignment="1">
      <alignment wrapText="1"/>
    </xf>
    <xf numFmtId="0" fontId="8" fillId="0" borderId="0" xfId="0" applyFont="1"/>
    <xf numFmtId="0" fontId="9" fillId="5" borderId="0" xfId="0" applyFont="1" applyFill="1"/>
    <xf numFmtId="164" fontId="0" fillId="0" borderId="0" xfId="0" applyNumberFormat="1"/>
    <xf numFmtId="0" fontId="10" fillId="6" borderId="0" xfId="0" applyFont="1" applyFill="1"/>
    <xf numFmtId="0" fontId="10" fillId="0" borderId="0" xfId="0" applyFont="1"/>
    <xf numFmtId="0" fontId="0" fillId="5" borderId="0" xfId="0" applyFill="1"/>
    <xf numFmtId="164" fontId="0" fillId="5" borderId="0" xfId="0" applyNumberFormat="1" applyFill="1"/>
    <xf numFmtId="0" fontId="0" fillId="5" borderId="0" xfId="0" applyFill="1" applyAlignment="1">
      <alignment wrapText="1"/>
    </xf>
    <xf numFmtId="0" fontId="3" fillId="0" borderId="2" xfId="0" applyFont="1" applyBorder="1" applyAlignment="1">
      <alignment horizontal="center" wrapText="1"/>
    </xf>
    <xf numFmtId="2" fontId="7" fillId="0" borderId="0" xfId="0" applyNumberFormat="1" applyFont="1"/>
    <xf numFmtId="0" fontId="11" fillId="0" borderId="0" xfId="0" applyFont="1"/>
    <xf numFmtId="0" fontId="11" fillId="0" borderId="0" xfId="0" applyFont="1" applyAlignment="1">
      <alignment wrapText="1"/>
    </xf>
    <xf numFmtId="0" fontId="12" fillId="0" borderId="0" xfId="0" applyFont="1"/>
    <xf numFmtId="0" fontId="0" fillId="0" borderId="0" xfId="0" applyFill="1"/>
    <xf numFmtId="0" fontId="7" fillId="0" borderId="0" xfId="0" applyFont="1" applyFill="1" applyAlignment="1">
      <alignment wrapText="1"/>
    </xf>
    <xf numFmtId="0" fontId="7" fillId="0" borderId="0" xfId="0" applyFont="1" applyFill="1"/>
    <xf numFmtId="10" fontId="0" fillId="0" borderId="0" xfId="1" applyNumberFormat="1" applyFont="1"/>
    <xf numFmtId="0" fontId="13" fillId="0" borderId="0" xfId="0" applyFont="1"/>
    <xf numFmtId="0" fontId="14" fillId="0" borderId="0" xfId="0" applyFont="1"/>
    <xf numFmtId="167"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xf numFmtId="0" fontId="0" fillId="0" borderId="7" xfId="0" applyBorder="1"/>
    <xf numFmtId="0" fontId="0" fillId="0" borderId="8" xfId="0" applyBorder="1"/>
    <xf numFmtId="0" fontId="0" fillId="0" borderId="9" xfId="0" applyBorder="1"/>
    <xf numFmtId="0" fontId="0" fillId="0" borderId="10" xfId="0" applyBorder="1"/>
    <xf numFmtId="167" fontId="0" fillId="5" borderId="0" xfId="0" applyNumberFormat="1" applyFill="1"/>
    <xf numFmtId="0" fontId="2" fillId="0" borderId="0" xfId="0" applyFont="1" applyAlignment="1">
      <alignment horizontal="right" wrapText="1"/>
    </xf>
    <xf numFmtId="0" fontId="2" fillId="0" borderId="0" xfId="0" applyFont="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4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4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4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5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5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5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6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'Horizontal Pattern 18.1'!$B$1</c:f>
              <c:strCache>
                <c:ptCount val="1"/>
                <c:pt idx="0">
                  <c:v>Salesofgallons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'Horizontal Pattern 18.1'!$A$2:$A$13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'Horizontal Pattern 18.1'!$B$2:$B$13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3BCA-43E9-BA0A-3C6BD23BC55B}"/>
            </c:ext>
          </c:extLst>
        </c:ser>
        <c:dLbls>
          <c:showLegendKey val="0"/>
          <c:showVal val="0"/>
          <c:showCatName val="0"/>
          <c:showSerName val="0"/>
          <c:showPercent val="0"/>
          <c:showBubbleSize val="0"/>
        </c:dLbls>
        <c:axId val="728514976"/>
        <c:axId val="815957040"/>
      </c:scatterChart>
      <c:valAx>
        <c:axId val="72851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57040"/>
        <c:crosses val="autoZero"/>
        <c:crossBetween val="midCat"/>
      </c:valAx>
      <c:valAx>
        <c:axId val="8159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of Gallons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149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'Horizontal Pattern 18.1'!$B$1</c:f>
              <c:strCache>
                <c:ptCount val="1"/>
                <c:pt idx="0">
                  <c:v>Salesofgallons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'Horizontal Pattern 18.1'!$A$2:$A$13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'Horizontal Pattern 18.1'!$B$2:$B$13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579B-4886-8C13-7327FE2D3F5F}"/>
            </c:ext>
          </c:extLst>
        </c:ser>
        <c:ser>
          <c:idx val="1"/>
          <c:order val="1"/>
          <c:tx>
            <c:v>Naive 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'Naive Forecast 18.7'!$A$2:$A$13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'Naive Forecast 18.7'!$C$2:$C$13</c:f>
              <c:numCache>
                <c:formatCode>General</c:formatCode>
                <c:ptCount val="12"/>
                <c:pt idx="1">
                  <c:v>17</c:v>
                </c:pt>
                <c:pt idx="2">
                  <c:v>21</c:v>
                </c:pt>
                <c:pt idx="3">
                  <c:v>19</c:v>
                </c:pt>
                <c:pt idx="4">
                  <c:v>23</c:v>
                </c:pt>
                <c:pt idx="5">
                  <c:v>18</c:v>
                </c:pt>
                <c:pt idx="6">
                  <c:v>16</c:v>
                </c:pt>
                <c:pt idx="7">
                  <c:v>20</c:v>
                </c:pt>
                <c:pt idx="8">
                  <c:v>18</c:v>
                </c:pt>
                <c:pt idx="9">
                  <c:v>22</c:v>
                </c:pt>
                <c:pt idx="10">
                  <c:v>20</c:v>
                </c:pt>
                <c:pt idx="11">
                  <c:v>15</c:v>
                </c:pt>
              </c:numCache>
            </c:numRef>
          </c:yVal>
          <c:smooth val="0"/>
          <c:extLst>
            <c:ext xmlns:c16="http://schemas.microsoft.com/office/drawing/2014/chart" uri="{C3380CC4-5D6E-409C-BE32-E72D297353CC}">
              <c16:uniqueId val="{00000001-579B-4886-8C13-7327FE2D3F5F}"/>
            </c:ext>
          </c:extLst>
        </c:ser>
        <c:ser>
          <c:idx val="2"/>
          <c:order val="2"/>
          <c:tx>
            <c:v>Future Forecast</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'Naive Forecast 18.7'!$A$15</c:f>
              <c:numCache>
                <c:formatCode>General</c:formatCode>
                <c:ptCount val="1"/>
                <c:pt idx="0">
                  <c:v>13</c:v>
                </c:pt>
              </c:numCache>
            </c:numRef>
          </c:xVal>
          <c:yVal>
            <c:numRef>
              <c:f>'Naive Forecast 18.7'!$C$15</c:f>
              <c:numCache>
                <c:formatCode>General</c:formatCode>
                <c:ptCount val="1"/>
                <c:pt idx="0">
                  <c:v>22</c:v>
                </c:pt>
              </c:numCache>
            </c:numRef>
          </c:yVal>
          <c:smooth val="0"/>
          <c:extLst>
            <c:ext xmlns:c16="http://schemas.microsoft.com/office/drawing/2014/chart" uri="{C3380CC4-5D6E-409C-BE32-E72D297353CC}">
              <c16:uniqueId val="{00000000-62C4-4372-84E9-064881CD80BB}"/>
            </c:ext>
          </c:extLst>
        </c:ser>
        <c:dLbls>
          <c:showLegendKey val="0"/>
          <c:showVal val="0"/>
          <c:showCatName val="0"/>
          <c:showSerName val="0"/>
          <c:showPercent val="0"/>
          <c:showBubbleSize val="0"/>
        </c:dLbls>
        <c:axId val="728514976"/>
        <c:axId val="815957040"/>
      </c:scatterChart>
      <c:valAx>
        <c:axId val="728514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957040"/>
        <c:crosses val="autoZero"/>
        <c:crossBetween val="midCat"/>
      </c:valAx>
      <c:valAx>
        <c:axId val="815957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of Gallons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14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Avereage of Past Values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0070C0"/>
              </a:solidFill>
              <a:round/>
            </a:ln>
            <a:effectLst/>
          </c:spPr>
          <c:marker>
            <c:symbol val="circle"/>
            <c:size val="5"/>
            <c:spPr>
              <a:solidFill>
                <a:schemeClr val="accent1"/>
              </a:solidFill>
              <a:ln w="9525">
                <a:solidFill>
                  <a:schemeClr val="accent1"/>
                </a:solidFill>
              </a:ln>
              <a:effectLst/>
            </c:spPr>
          </c:marker>
          <c:xVal>
            <c:numRef>
              <c:f>'Average of past values'!$A$2:$A$13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'Average of past values'!$B$2:$B$13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0825-44E2-86DC-BC148ED7D898}"/>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'Average of past values'!$A$3:$A$13</c:f>
              <c:numCache>
                <c:formatCode>General</c:formatCode>
                <c:ptCount val="11"/>
                <c:pt idx="0">
                  <c:v>2</c:v>
                </c:pt>
                <c:pt idx="1">
                  <c:v>3</c:v>
                </c:pt>
                <c:pt idx="2">
                  <c:v>4</c:v>
                </c:pt>
                <c:pt idx="3">
                  <c:v>5</c:v>
                </c:pt>
                <c:pt idx="4">
                  <c:v>6</c:v>
                </c:pt>
                <c:pt idx="5">
                  <c:v>7</c:v>
                </c:pt>
                <c:pt idx="6">
                  <c:v>8</c:v>
                </c:pt>
                <c:pt idx="7">
                  <c:v>9</c:v>
                </c:pt>
                <c:pt idx="8">
                  <c:v>10</c:v>
                </c:pt>
                <c:pt idx="9">
                  <c:v>11</c:v>
                </c:pt>
                <c:pt idx="10">
                  <c:v>12</c:v>
                </c:pt>
              </c:numCache>
            </c:numRef>
          </c:xVal>
          <c:yVal>
            <c:numRef>
              <c:f>'Average of past values'!$C$3:$C$13</c:f>
              <c:numCache>
                <c:formatCode>0.00</c:formatCode>
                <c:ptCount val="11"/>
                <c:pt idx="0">
                  <c:v>17</c:v>
                </c:pt>
                <c:pt idx="1">
                  <c:v>19</c:v>
                </c:pt>
                <c:pt idx="2">
                  <c:v>19</c:v>
                </c:pt>
                <c:pt idx="3">
                  <c:v>20</c:v>
                </c:pt>
                <c:pt idx="4">
                  <c:v>19.600000000000001</c:v>
                </c:pt>
                <c:pt idx="5">
                  <c:v>19</c:v>
                </c:pt>
                <c:pt idx="6">
                  <c:v>19.142857142857142</c:v>
                </c:pt>
                <c:pt idx="7">
                  <c:v>19</c:v>
                </c:pt>
                <c:pt idx="8">
                  <c:v>19.333333333333332</c:v>
                </c:pt>
                <c:pt idx="9">
                  <c:v>19.399999999999999</c:v>
                </c:pt>
                <c:pt idx="10">
                  <c:v>19</c:v>
                </c:pt>
              </c:numCache>
            </c:numRef>
          </c:yVal>
          <c:smooth val="0"/>
          <c:extLst>
            <c:ext xmlns:c16="http://schemas.microsoft.com/office/drawing/2014/chart" uri="{C3380CC4-5D6E-409C-BE32-E72D297353CC}">
              <c16:uniqueId val="{00000001-0825-44E2-86DC-BC148ED7D898}"/>
            </c:ext>
          </c:extLst>
        </c:ser>
        <c:dLbls>
          <c:showLegendKey val="0"/>
          <c:showVal val="0"/>
          <c:showCatName val="0"/>
          <c:showSerName val="0"/>
          <c:showPercent val="0"/>
          <c:showBubbleSize val="0"/>
        </c:dLbls>
        <c:axId val="713710896"/>
        <c:axId val="2123379056"/>
      </c:scatterChart>
      <c:valAx>
        <c:axId val="713710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79056"/>
        <c:crosses val="autoZero"/>
        <c:crossBetween val="midCat"/>
      </c:valAx>
      <c:valAx>
        <c:axId val="212337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10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Actual</c:v>
          </c:tx>
          <c:val>
            <c:numRef>
              <c:f>'Moving Averages'!$B$2:$B$13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val>
          <c:smooth val="0"/>
          <c:extLst>
            <c:ext xmlns:c16="http://schemas.microsoft.com/office/drawing/2014/chart" uri="{C3380CC4-5D6E-409C-BE32-E72D297353CC}">
              <c16:uniqueId val="{00000001-E53E-499B-A307-B66D51A5EC29}"/>
            </c:ext>
          </c:extLst>
        </c:ser>
        <c:ser>
          <c:idx val="1"/>
          <c:order val="1"/>
          <c:val>
            <c:numRef>
              <c:f>'Moving Averages'!$C$2:$C$14</c:f>
              <c:numCache>
                <c:formatCode>General</c:formatCode>
                <c:ptCount val="13"/>
                <c:pt idx="0">
                  <c:v>#N/A</c:v>
                </c:pt>
                <c:pt idx="1">
                  <c:v>#N/A</c:v>
                </c:pt>
                <c:pt idx="2">
                  <c:v>#N/A</c:v>
                </c:pt>
                <c:pt idx="3">
                  <c:v>19</c:v>
                </c:pt>
                <c:pt idx="4">
                  <c:v>21</c:v>
                </c:pt>
                <c:pt idx="5">
                  <c:v>20</c:v>
                </c:pt>
                <c:pt idx="6">
                  <c:v>19</c:v>
                </c:pt>
                <c:pt idx="7">
                  <c:v>18</c:v>
                </c:pt>
                <c:pt idx="8">
                  <c:v>18</c:v>
                </c:pt>
                <c:pt idx="9">
                  <c:v>20</c:v>
                </c:pt>
                <c:pt idx="10">
                  <c:v>20</c:v>
                </c:pt>
                <c:pt idx="11">
                  <c:v>19</c:v>
                </c:pt>
                <c:pt idx="12">
                  <c:v>19</c:v>
                </c:pt>
              </c:numCache>
            </c:numRef>
          </c:val>
          <c:smooth val="0"/>
          <c:extLst>
            <c:ext xmlns:c16="http://schemas.microsoft.com/office/drawing/2014/chart" uri="{C3380CC4-5D6E-409C-BE32-E72D297353CC}">
              <c16:uniqueId val="{00000002-E53E-499B-A307-B66D51A5EC29}"/>
            </c:ext>
          </c:extLst>
        </c:ser>
        <c:dLbls>
          <c:showLegendKey val="0"/>
          <c:showVal val="0"/>
          <c:showCatName val="0"/>
          <c:showSerName val="0"/>
          <c:showPercent val="0"/>
          <c:showBubbleSize val="0"/>
        </c:dLbls>
        <c:marker val="1"/>
        <c:smooth val="0"/>
        <c:axId val="1425544480"/>
        <c:axId val="1837213072"/>
      </c:lineChart>
      <c:catAx>
        <c:axId val="1425544480"/>
        <c:scaling>
          <c:orientation val="minMax"/>
        </c:scaling>
        <c:delete val="0"/>
        <c:axPos val="b"/>
        <c:majorTickMark val="out"/>
        <c:minorTickMark val="none"/>
        <c:tickLblPos val="nextTo"/>
        <c:crossAx val="1837213072"/>
        <c:crosses val="autoZero"/>
        <c:auto val="1"/>
        <c:lblAlgn val="ctr"/>
        <c:lblOffset val="100"/>
        <c:noMultiLvlLbl val="0"/>
      </c:catAx>
      <c:valAx>
        <c:axId val="1837213072"/>
        <c:scaling>
          <c:orientation val="minMax"/>
          <c:min val="12"/>
        </c:scaling>
        <c:delete val="0"/>
        <c:axPos val="l"/>
        <c:numFmt formatCode="General" sourceLinked="1"/>
        <c:majorTickMark val="out"/>
        <c:minorTickMark val="none"/>
        <c:tickLblPos val="nextTo"/>
        <c:crossAx val="142554448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13648293963254E-2"/>
          <c:y val="4.6296296296296294E-2"/>
          <c:w val="0.89019685039370078"/>
          <c:h val="0.8416746864975212"/>
        </c:manualLayout>
      </c:layout>
      <c:scatterChart>
        <c:scatterStyle val="lineMarker"/>
        <c:varyColors val="0"/>
        <c:ser>
          <c:idx val="0"/>
          <c:order val="0"/>
          <c:tx>
            <c:v>Observed Values</c:v>
          </c:tx>
          <c:spPr>
            <a:ln w="25400" cap="rnd">
              <a:solidFill>
                <a:srgbClr val="0070C0"/>
              </a:solidFill>
              <a:round/>
            </a:ln>
            <a:effectLst/>
          </c:spPr>
          <c:marker>
            <c:symbol val="circle"/>
            <c:size val="5"/>
            <c:spPr>
              <a:solidFill>
                <a:schemeClr val="accent1"/>
              </a:solidFill>
              <a:ln w="9525">
                <a:solidFill>
                  <a:schemeClr val="accent1"/>
                </a:solidFill>
              </a:ln>
              <a:effectLst/>
            </c:spPr>
          </c:marker>
          <c:xVal>
            <c:numRef>
              <c:f>'Weighted moving averages'!$A$2:$A$13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'Weighted moving averages'!$B$2:$B$13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41B3-4895-85AE-8A05B8C478E3}"/>
            </c:ext>
          </c:extLst>
        </c:ser>
        <c:ser>
          <c:idx val="1"/>
          <c:order val="1"/>
          <c:tx>
            <c:v>Weighted Moving Averages Forecast</c:v>
          </c:tx>
          <c:spPr>
            <a:ln w="25400" cap="rnd">
              <a:solidFill>
                <a:schemeClr val="accent4">
                  <a:lumMod val="60000"/>
                  <a:lumOff val="40000"/>
                </a:schemeClr>
              </a:solidFill>
              <a:round/>
            </a:ln>
            <a:effectLst/>
          </c:spPr>
          <c:marker>
            <c:symbol val="circle"/>
            <c:size val="5"/>
            <c:spPr>
              <a:solidFill>
                <a:srgbClr val="FFC000"/>
              </a:solidFill>
              <a:ln w="9525">
                <a:solidFill>
                  <a:schemeClr val="accent2"/>
                </a:solidFill>
              </a:ln>
              <a:effectLst/>
            </c:spPr>
          </c:marker>
          <c:xVal>
            <c:numRef>
              <c:f>'Weighted moving averages'!$A$5:$A$13</c:f>
              <c:numCache>
                <c:formatCode>General</c:formatCode>
                <c:ptCount val="9"/>
                <c:pt idx="0">
                  <c:v>4</c:v>
                </c:pt>
                <c:pt idx="1">
                  <c:v>5</c:v>
                </c:pt>
                <c:pt idx="2">
                  <c:v>6</c:v>
                </c:pt>
                <c:pt idx="3">
                  <c:v>7</c:v>
                </c:pt>
                <c:pt idx="4">
                  <c:v>8</c:v>
                </c:pt>
                <c:pt idx="5">
                  <c:v>9</c:v>
                </c:pt>
                <c:pt idx="6">
                  <c:v>10</c:v>
                </c:pt>
                <c:pt idx="7">
                  <c:v>11</c:v>
                </c:pt>
                <c:pt idx="8">
                  <c:v>12</c:v>
                </c:pt>
              </c:numCache>
            </c:numRef>
          </c:xVal>
          <c:yVal>
            <c:numRef>
              <c:f>'Weighted moving averages'!$C$5:$C$13</c:f>
              <c:numCache>
                <c:formatCode>General</c:formatCode>
                <c:ptCount val="9"/>
                <c:pt idx="0">
                  <c:v>19.333333333333332</c:v>
                </c:pt>
                <c:pt idx="1">
                  <c:v>21.333333333333332</c:v>
                </c:pt>
                <c:pt idx="2">
                  <c:v>19.833333333333332</c:v>
                </c:pt>
                <c:pt idx="3">
                  <c:v>17.833333333333332</c:v>
                </c:pt>
                <c:pt idx="4">
                  <c:v>18.333333333333332</c:v>
                </c:pt>
                <c:pt idx="5">
                  <c:v>18.333333333333332</c:v>
                </c:pt>
                <c:pt idx="6">
                  <c:v>20.333333333333332</c:v>
                </c:pt>
                <c:pt idx="7">
                  <c:v>20.333333333333332</c:v>
                </c:pt>
                <c:pt idx="8">
                  <c:v>17.833333333333332</c:v>
                </c:pt>
              </c:numCache>
            </c:numRef>
          </c:yVal>
          <c:smooth val="0"/>
          <c:extLst>
            <c:ext xmlns:c16="http://schemas.microsoft.com/office/drawing/2014/chart" uri="{C3380CC4-5D6E-409C-BE32-E72D297353CC}">
              <c16:uniqueId val="{00000001-41B3-4895-85AE-8A05B8C478E3}"/>
            </c:ext>
          </c:extLst>
        </c:ser>
        <c:ser>
          <c:idx val="2"/>
          <c:order val="2"/>
          <c:tx>
            <c:v>Predictive Forecast</c:v>
          </c:tx>
          <c:spPr>
            <a:ln w="19050" cap="rnd">
              <a:solidFill>
                <a:srgbClr val="7030A0"/>
              </a:solidFill>
              <a:round/>
            </a:ln>
            <a:effectLst/>
          </c:spPr>
          <c:marker>
            <c:symbol val="circle"/>
            <c:size val="5"/>
            <c:spPr>
              <a:solidFill>
                <a:schemeClr val="accent3"/>
              </a:solidFill>
              <a:ln w="9525">
                <a:solidFill>
                  <a:srgbClr val="7030A0"/>
                </a:solidFill>
              </a:ln>
              <a:effectLst/>
            </c:spPr>
          </c:marker>
          <c:xVal>
            <c:numRef>
              <c:f>'Weighted moving averages'!$A$16</c:f>
              <c:numCache>
                <c:formatCode>General</c:formatCode>
                <c:ptCount val="1"/>
                <c:pt idx="0">
                  <c:v>13</c:v>
                </c:pt>
              </c:numCache>
            </c:numRef>
          </c:xVal>
          <c:yVal>
            <c:numRef>
              <c:f>'Weighted moving averages'!$C$16</c:f>
              <c:numCache>
                <c:formatCode>General</c:formatCode>
                <c:ptCount val="1"/>
                <c:pt idx="0">
                  <c:v>19.333333333333332</c:v>
                </c:pt>
              </c:numCache>
            </c:numRef>
          </c:yVal>
          <c:smooth val="0"/>
          <c:extLst>
            <c:ext xmlns:c16="http://schemas.microsoft.com/office/drawing/2014/chart" uri="{C3380CC4-5D6E-409C-BE32-E72D297353CC}">
              <c16:uniqueId val="{00000000-3426-47A7-8A7E-6699C48F0995}"/>
            </c:ext>
          </c:extLst>
        </c:ser>
        <c:dLbls>
          <c:showLegendKey val="0"/>
          <c:showVal val="0"/>
          <c:showCatName val="0"/>
          <c:showSerName val="0"/>
          <c:showPercent val="0"/>
          <c:showBubbleSize val="0"/>
        </c:dLbls>
        <c:axId val="997001616"/>
        <c:axId val="534989056"/>
      </c:scatterChart>
      <c:valAx>
        <c:axId val="99700161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89056"/>
        <c:crosses val="autoZero"/>
        <c:crossBetween val="midCat"/>
      </c:valAx>
      <c:valAx>
        <c:axId val="534989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016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13648293963254E-2"/>
          <c:y val="4.6296296296296294E-2"/>
          <c:w val="0.89019685039370078"/>
          <c:h val="0.8416746864975212"/>
        </c:manualLayout>
      </c:layout>
      <c:scatterChart>
        <c:scatterStyle val="lineMarker"/>
        <c:varyColors val="0"/>
        <c:ser>
          <c:idx val="0"/>
          <c:order val="0"/>
          <c:tx>
            <c:v>Observed Values</c:v>
          </c:tx>
          <c:spPr>
            <a:ln w="25400" cap="rnd">
              <a:solidFill>
                <a:srgbClr val="0070C0"/>
              </a:solidFill>
              <a:round/>
            </a:ln>
            <a:effectLst/>
          </c:spPr>
          <c:marker>
            <c:symbol val="circle"/>
            <c:size val="5"/>
            <c:spPr>
              <a:solidFill>
                <a:schemeClr val="accent1"/>
              </a:solidFill>
              <a:ln w="9525">
                <a:solidFill>
                  <a:schemeClr val="accent1"/>
                </a:solidFill>
              </a:ln>
              <a:effectLst/>
            </c:spPr>
          </c:marker>
          <c:xVal>
            <c:numRef>
              <c:f>'Weighted moving averages'!$A$2:$A$13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'Weighted moving averages'!$B$2:$B$13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022E-4524-B096-FC71956D0807}"/>
            </c:ext>
          </c:extLst>
        </c:ser>
        <c:ser>
          <c:idx val="1"/>
          <c:order val="1"/>
          <c:tx>
            <c:v>Weighted Moving Averages Forecast</c:v>
          </c:tx>
          <c:spPr>
            <a:ln w="25400" cap="rnd">
              <a:solidFill>
                <a:schemeClr val="accent4">
                  <a:lumMod val="60000"/>
                  <a:lumOff val="40000"/>
                </a:schemeClr>
              </a:solidFill>
              <a:round/>
            </a:ln>
            <a:effectLst/>
          </c:spPr>
          <c:marker>
            <c:symbol val="circle"/>
            <c:size val="5"/>
            <c:spPr>
              <a:solidFill>
                <a:srgbClr val="FFC000"/>
              </a:solidFill>
              <a:ln w="9525">
                <a:solidFill>
                  <a:schemeClr val="accent2"/>
                </a:solidFill>
              </a:ln>
              <a:effectLst/>
            </c:spPr>
          </c:marker>
          <c:xVal>
            <c:numRef>
              <c:f>'Weighted moving averages'!$A$5:$A$13</c:f>
              <c:numCache>
                <c:formatCode>General</c:formatCode>
                <c:ptCount val="9"/>
                <c:pt idx="0">
                  <c:v>4</c:v>
                </c:pt>
                <c:pt idx="1">
                  <c:v>5</c:v>
                </c:pt>
                <c:pt idx="2">
                  <c:v>6</c:v>
                </c:pt>
                <c:pt idx="3">
                  <c:v>7</c:v>
                </c:pt>
                <c:pt idx="4">
                  <c:v>8</c:v>
                </c:pt>
                <c:pt idx="5">
                  <c:v>9</c:v>
                </c:pt>
                <c:pt idx="6">
                  <c:v>10</c:v>
                </c:pt>
                <c:pt idx="7">
                  <c:v>11</c:v>
                </c:pt>
                <c:pt idx="8">
                  <c:v>12</c:v>
                </c:pt>
              </c:numCache>
            </c:numRef>
          </c:xVal>
          <c:yVal>
            <c:numRef>
              <c:f>'Weighted moving averages'!$C$5:$C$13</c:f>
              <c:numCache>
                <c:formatCode>General</c:formatCode>
                <c:ptCount val="9"/>
                <c:pt idx="0">
                  <c:v>19.333333333333332</c:v>
                </c:pt>
                <c:pt idx="1">
                  <c:v>21.333333333333332</c:v>
                </c:pt>
                <c:pt idx="2">
                  <c:v>19.833333333333332</c:v>
                </c:pt>
                <c:pt idx="3">
                  <c:v>17.833333333333332</c:v>
                </c:pt>
                <c:pt idx="4">
                  <c:v>18.333333333333332</c:v>
                </c:pt>
                <c:pt idx="5">
                  <c:v>18.333333333333332</c:v>
                </c:pt>
                <c:pt idx="6">
                  <c:v>20.333333333333332</c:v>
                </c:pt>
                <c:pt idx="7">
                  <c:v>20.333333333333332</c:v>
                </c:pt>
                <c:pt idx="8">
                  <c:v>17.833333333333332</c:v>
                </c:pt>
              </c:numCache>
            </c:numRef>
          </c:yVal>
          <c:smooth val="0"/>
          <c:extLst>
            <c:ext xmlns:c16="http://schemas.microsoft.com/office/drawing/2014/chart" uri="{C3380CC4-5D6E-409C-BE32-E72D297353CC}">
              <c16:uniqueId val="{00000001-022E-4524-B096-FC71956D0807}"/>
            </c:ext>
          </c:extLst>
        </c:ser>
        <c:ser>
          <c:idx val="2"/>
          <c:order val="2"/>
          <c:tx>
            <c:v>Predictive Forecast</c:v>
          </c:tx>
          <c:spPr>
            <a:ln w="19050" cap="rnd">
              <a:solidFill>
                <a:srgbClr val="7030A0"/>
              </a:solidFill>
              <a:round/>
            </a:ln>
            <a:effectLst/>
          </c:spPr>
          <c:marker>
            <c:symbol val="circle"/>
            <c:size val="5"/>
            <c:spPr>
              <a:solidFill>
                <a:schemeClr val="accent3"/>
              </a:solidFill>
              <a:ln w="9525">
                <a:solidFill>
                  <a:srgbClr val="7030A0"/>
                </a:solidFill>
              </a:ln>
              <a:effectLst/>
            </c:spPr>
          </c:marker>
          <c:xVal>
            <c:numRef>
              <c:f>'Weighted moving averages'!$A$16</c:f>
              <c:numCache>
                <c:formatCode>General</c:formatCode>
                <c:ptCount val="1"/>
                <c:pt idx="0">
                  <c:v>13</c:v>
                </c:pt>
              </c:numCache>
            </c:numRef>
          </c:xVal>
          <c:yVal>
            <c:numRef>
              <c:f>'Weighted moving averages'!$C$16</c:f>
              <c:numCache>
                <c:formatCode>General</c:formatCode>
                <c:ptCount val="1"/>
                <c:pt idx="0">
                  <c:v>19.333333333333332</c:v>
                </c:pt>
              </c:numCache>
            </c:numRef>
          </c:yVal>
          <c:smooth val="0"/>
          <c:extLst>
            <c:ext xmlns:c16="http://schemas.microsoft.com/office/drawing/2014/chart" uri="{C3380CC4-5D6E-409C-BE32-E72D297353CC}">
              <c16:uniqueId val="{00000002-022E-4524-B096-FC71956D0807}"/>
            </c:ext>
          </c:extLst>
        </c:ser>
        <c:dLbls>
          <c:showLegendKey val="0"/>
          <c:showVal val="0"/>
          <c:showCatName val="0"/>
          <c:showSerName val="0"/>
          <c:showPercent val="0"/>
          <c:showBubbleSize val="0"/>
        </c:dLbls>
        <c:axId val="997001616"/>
        <c:axId val="534989056"/>
      </c:scatterChart>
      <c:valAx>
        <c:axId val="99700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89056"/>
        <c:crosses val="autoZero"/>
        <c:crossBetween val="midCat"/>
      </c:valAx>
      <c:valAx>
        <c:axId val="534989056"/>
        <c:scaling>
          <c:orientation val="minMax"/>
          <c:max val="30"/>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0161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Exponential Smoothing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'Exponential Smoothing'!$B$1</c:f>
              <c:strCache>
                <c:ptCount val="1"/>
                <c:pt idx="0">
                  <c:v>Salesofgallons (thousands)</c:v>
                </c:pt>
              </c:strCache>
            </c:strRef>
          </c:tx>
          <c:spPr>
            <a:ln w="19050" cap="rnd">
              <a:solidFill>
                <a:srgbClr val="0070C0"/>
              </a:solidFill>
              <a:round/>
            </a:ln>
            <a:effectLst/>
          </c:spPr>
          <c:marker>
            <c:symbol val="circle"/>
            <c:size val="5"/>
            <c:spPr>
              <a:solidFill>
                <a:schemeClr val="accent1"/>
              </a:solidFill>
              <a:ln w="9525">
                <a:solidFill>
                  <a:schemeClr val="accent1"/>
                </a:solidFill>
              </a:ln>
              <a:effectLst/>
            </c:spPr>
          </c:marker>
          <c:xVal>
            <c:strRef>
              <c:f>'Exponential Smoothing'!$A$2:$A$14</c:f>
              <c:strCache>
                <c:ptCount val="13"/>
                <c:pt idx="0">
                  <c:v>1</c:v>
                </c:pt>
                <c:pt idx="1">
                  <c:v>2</c:v>
                </c:pt>
                <c:pt idx="2">
                  <c:v>3</c:v>
                </c:pt>
                <c:pt idx="3">
                  <c:v>4</c:v>
                </c:pt>
                <c:pt idx="4">
                  <c:v>5</c:v>
                </c:pt>
                <c:pt idx="5">
                  <c:v>6</c:v>
                </c:pt>
                <c:pt idx="6">
                  <c:v>7</c:v>
                </c:pt>
                <c:pt idx="7">
                  <c:v>8</c:v>
                </c:pt>
                <c:pt idx="8">
                  <c:v>9</c:v>
                </c:pt>
                <c:pt idx="9">
                  <c:v>10</c:v>
                </c:pt>
                <c:pt idx="10">
                  <c:v>11</c:v>
                </c:pt>
                <c:pt idx="11">
                  <c:v>12</c:v>
                </c:pt>
                <c:pt idx="12">
                  <c:v>Prediction</c:v>
                </c:pt>
              </c:strCache>
            </c:strRef>
          </c:xVal>
          <c:yVal>
            <c:numRef>
              <c:f>'Exponential Smoothing'!$B$2:$B$14</c:f>
              <c:numCache>
                <c:formatCode>General</c:formatCode>
                <c:ptCount val="13"/>
                <c:pt idx="0">
                  <c:v>17</c:v>
                </c:pt>
                <c:pt idx="1">
                  <c:v>21</c:v>
                </c:pt>
                <c:pt idx="2">
                  <c:v>19</c:v>
                </c:pt>
                <c:pt idx="3">
                  <c:v>23</c:v>
                </c:pt>
                <c:pt idx="4">
                  <c:v>18</c:v>
                </c:pt>
                <c:pt idx="5">
                  <c:v>16</c:v>
                </c:pt>
                <c:pt idx="6">
                  <c:v>20</c:v>
                </c:pt>
                <c:pt idx="7">
                  <c:v>18</c:v>
                </c:pt>
                <c:pt idx="8">
                  <c:v>22</c:v>
                </c:pt>
                <c:pt idx="9">
                  <c:v>20</c:v>
                </c:pt>
                <c:pt idx="10">
                  <c:v>15</c:v>
                </c:pt>
                <c:pt idx="11">
                  <c:v>22</c:v>
                </c:pt>
              </c:numCache>
            </c:numRef>
          </c:yVal>
          <c:smooth val="0"/>
          <c:extLst>
            <c:ext xmlns:c16="http://schemas.microsoft.com/office/drawing/2014/chart" uri="{C3380CC4-5D6E-409C-BE32-E72D297353CC}">
              <c16:uniqueId val="{00000000-28EA-4443-B6F9-3D58227AB703}"/>
            </c:ext>
          </c:extLst>
        </c:ser>
        <c:ser>
          <c:idx val="1"/>
          <c:order val="1"/>
          <c:tx>
            <c:strRef>
              <c:f>'Exponential Smoothing'!$C$1</c:f>
              <c:strCache>
                <c:ptCount val="1"/>
                <c:pt idx="0">
                  <c:v>Forecast (thousands)</c:v>
                </c:pt>
              </c:strCache>
            </c:strRef>
          </c:tx>
          <c:spPr>
            <a:ln w="19050" cap="rnd">
              <a:solidFill>
                <a:srgbClr val="FFC000"/>
              </a:solidFill>
              <a:round/>
            </a:ln>
            <a:effectLst/>
          </c:spPr>
          <c:marker>
            <c:symbol val="circle"/>
            <c:size val="5"/>
            <c:spPr>
              <a:solidFill>
                <a:schemeClr val="accent2"/>
              </a:solidFill>
              <a:ln w="9525">
                <a:solidFill>
                  <a:schemeClr val="accent2"/>
                </a:solidFill>
              </a:ln>
              <a:effectLst/>
            </c:spPr>
          </c:marker>
          <c:xVal>
            <c:strRef>
              <c:f>'Exponential Smoothing'!$A$2:$A$14</c:f>
              <c:strCache>
                <c:ptCount val="13"/>
                <c:pt idx="0">
                  <c:v>1</c:v>
                </c:pt>
                <c:pt idx="1">
                  <c:v>2</c:v>
                </c:pt>
                <c:pt idx="2">
                  <c:v>3</c:v>
                </c:pt>
                <c:pt idx="3">
                  <c:v>4</c:v>
                </c:pt>
                <c:pt idx="4">
                  <c:v>5</c:v>
                </c:pt>
                <c:pt idx="5">
                  <c:v>6</c:v>
                </c:pt>
                <c:pt idx="6">
                  <c:v>7</c:v>
                </c:pt>
                <c:pt idx="7">
                  <c:v>8</c:v>
                </c:pt>
                <c:pt idx="8">
                  <c:v>9</c:v>
                </c:pt>
                <c:pt idx="9">
                  <c:v>10</c:v>
                </c:pt>
                <c:pt idx="10">
                  <c:v>11</c:v>
                </c:pt>
                <c:pt idx="11">
                  <c:v>12</c:v>
                </c:pt>
                <c:pt idx="12">
                  <c:v>Prediction</c:v>
                </c:pt>
              </c:strCache>
            </c:strRef>
          </c:xVal>
          <c:yVal>
            <c:numRef>
              <c:f>'Exponential Smoothing'!$C$2:$C$15</c:f>
              <c:numCache>
                <c:formatCode>General</c:formatCode>
                <c:ptCount val="14"/>
                <c:pt idx="1">
                  <c:v>17</c:v>
                </c:pt>
                <c:pt idx="2" formatCode="0.00">
                  <c:v>17.8</c:v>
                </c:pt>
                <c:pt idx="3" formatCode="0.00">
                  <c:v>18.040000000000003</c:v>
                </c:pt>
                <c:pt idx="4" formatCode="0.00">
                  <c:v>19.032000000000004</c:v>
                </c:pt>
                <c:pt idx="5" formatCode="0.00">
                  <c:v>18.825600000000005</c:v>
                </c:pt>
                <c:pt idx="6" formatCode="0.00">
                  <c:v>18.260480000000005</c:v>
                </c:pt>
                <c:pt idx="7" formatCode="0.00">
                  <c:v>18.608384000000004</c:v>
                </c:pt>
                <c:pt idx="8" formatCode="0.00">
                  <c:v>18.486707200000005</c:v>
                </c:pt>
                <c:pt idx="9" formatCode="0.00">
                  <c:v>19.189365760000005</c:v>
                </c:pt>
                <c:pt idx="10" formatCode="0.00">
                  <c:v>19.351492608000004</c:v>
                </c:pt>
                <c:pt idx="11" formatCode="0.00">
                  <c:v>18.481194086400002</c:v>
                </c:pt>
                <c:pt idx="13" formatCode="0.00">
                  <c:v>19.184955269120003</c:v>
                </c:pt>
              </c:numCache>
            </c:numRef>
          </c:yVal>
          <c:smooth val="0"/>
          <c:extLst>
            <c:ext xmlns:c16="http://schemas.microsoft.com/office/drawing/2014/chart" uri="{C3380CC4-5D6E-409C-BE32-E72D297353CC}">
              <c16:uniqueId val="{00000001-28EA-4443-B6F9-3D58227AB703}"/>
            </c:ext>
          </c:extLst>
        </c:ser>
        <c:ser>
          <c:idx val="2"/>
          <c:order val="2"/>
          <c:tx>
            <c:v>Prediction</c:v>
          </c:tx>
          <c:spPr>
            <a:ln w="19050" cap="rnd">
              <a:solidFill>
                <a:srgbClr val="7030A0"/>
              </a:solidFill>
              <a:round/>
            </a:ln>
            <a:effectLst/>
          </c:spPr>
          <c:marker>
            <c:symbol val="circle"/>
            <c:size val="5"/>
            <c:spPr>
              <a:solidFill>
                <a:srgbClr val="7030A0"/>
              </a:solidFill>
              <a:ln w="9525">
                <a:solidFill>
                  <a:schemeClr val="accent3"/>
                </a:solidFill>
              </a:ln>
              <a:effectLst/>
            </c:spPr>
          </c:marker>
          <c:xVal>
            <c:numRef>
              <c:f>'Exponential Smoothing'!$A$15</c:f>
              <c:numCache>
                <c:formatCode>General</c:formatCode>
                <c:ptCount val="1"/>
                <c:pt idx="0">
                  <c:v>13</c:v>
                </c:pt>
              </c:numCache>
            </c:numRef>
          </c:xVal>
          <c:yVal>
            <c:numRef>
              <c:f>'Exponential Smoothing'!$C$15</c:f>
              <c:numCache>
                <c:formatCode>0.00</c:formatCode>
                <c:ptCount val="1"/>
                <c:pt idx="0">
                  <c:v>19.184955269120003</c:v>
                </c:pt>
              </c:numCache>
            </c:numRef>
          </c:yVal>
          <c:smooth val="0"/>
          <c:extLst>
            <c:ext xmlns:c16="http://schemas.microsoft.com/office/drawing/2014/chart" uri="{C3380CC4-5D6E-409C-BE32-E72D297353CC}">
              <c16:uniqueId val="{00000000-3003-4CCE-8A1B-985A197A7326}"/>
            </c:ext>
          </c:extLst>
        </c:ser>
        <c:dLbls>
          <c:showLegendKey val="0"/>
          <c:showVal val="0"/>
          <c:showCatName val="0"/>
          <c:showSerName val="0"/>
          <c:showPercent val="0"/>
          <c:showBubbleSize val="0"/>
        </c:dLbls>
        <c:axId val="57869136"/>
        <c:axId val="2123369936"/>
      </c:scatterChart>
      <c:valAx>
        <c:axId val="57869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69936"/>
        <c:crosses val="autoZero"/>
        <c:crossBetween val="midCat"/>
      </c:valAx>
      <c:valAx>
        <c:axId val="2123369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of Gallons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691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Smoothing</a:t>
            </a:r>
          </a:p>
        </c:rich>
      </c:tx>
      <c:overlay val="0"/>
    </c:title>
    <c:autoTitleDeleted val="0"/>
    <c:plotArea>
      <c:layout/>
      <c:lineChart>
        <c:grouping val="standard"/>
        <c:varyColors val="0"/>
        <c:ser>
          <c:idx val="0"/>
          <c:order val="0"/>
          <c:tx>
            <c:v>Actual</c:v>
          </c:tx>
          <c:val>
            <c:numRef>
              <c:f>'Exponential with excel'!$B$2:$B$13</c:f>
              <c:numCache>
                <c:formatCode>General</c:formatCode>
                <c:ptCount val="12"/>
                <c:pt idx="0">
                  <c:v>17</c:v>
                </c:pt>
                <c:pt idx="1">
                  <c:v>21</c:v>
                </c:pt>
                <c:pt idx="2">
                  <c:v>19</c:v>
                </c:pt>
                <c:pt idx="3">
                  <c:v>23</c:v>
                </c:pt>
                <c:pt idx="4">
                  <c:v>18</c:v>
                </c:pt>
                <c:pt idx="5">
                  <c:v>16</c:v>
                </c:pt>
                <c:pt idx="6">
                  <c:v>20</c:v>
                </c:pt>
                <c:pt idx="7">
                  <c:v>18</c:v>
                </c:pt>
                <c:pt idx="8">
                  <c:v>22</c:v>
                </c:pt>
                <c:pt idx="9">
                  <c:v>20</c:v>
                </c:pt>
                <c:pt idx="10">
                  <c:v>15</c:v>
                </c:pt>
                <c:pt idx="11">
                  <c:v>22</c:v>
                </c:pt>
              </c:numCache>
            </c:numRef>
          </c:val>
          <c:smooth val="0"/>
          <c:extLst>
            <c:ext xmlns:c16="http://schemas.microsoft.com/office/drawing/2014/chart" uri="{C3380CC4-5D6E-409C-BE32-E72D297353CC}">
              <c16:uniqueId val="{00000001-279F-4C37-8393-38F562FCE388}"/>
            </c:ext>
          </c:extLst>
        </c:ser>
        <c:ser>
          <c:idx val="1"/>
          <c:order val="1"/>
          <c:tx>
            <c:v>Forecast</c:v>
          </c:tx>
          <c:val>
            <c:numRef>
              <c:f>'Exponential with excel'!$D$2:$D$13</c:f>
              <c:numCache>
                <c:formatCode>General</c:formatCode>
                <c:ptCount val="12"/>
                <c:pt idx="0">
                  <c:v>#N/A</c:v>
                </c:pt>
                <c:pt idx="1">
                  <c:v>17</c:v>
                </c:pt>
                <c:pt idx="2">
                  <c:v>17.8</c:v>
                </c:pt>
                <c:pt idx="3">
                  <c:v>18.040000000000003</c:v>
                </c:pt>
                <c:pt idx="4">
                  <c:v>19.032000000000004</c:v>
                </c:pt>
                <c:pt idx="5">
                  <c:v>18.825600000000005</c:v>
                </c:pt>
                <c:pt idx="6">
                  <c:v>18.260480000000005</c:v>
                </c:pt>
                <c:pt idx="7">
                  <c:v>18.608384000000004</c:v>
                </c:pt>
                <c:pt idx="8">
                  <c:v>18.486707200000005</c:v>
                </c:pt>
                <c:pt idx="9">
                  <c:v>19.189365760000005</c:v>
                </c:pt>
                <c:pt idx="10">
                  <c:v>19.351492608000004</c:v>
                </c:pt>
                <c:pt idx="11">
                  <c:v>18.481194086400002</c:v>
                </c:pt>
              </c:numCache>
            </c:numRef>
          </c:val>
          <c:smooth val="0"/>
          <c:extLst>
            <c:ext xmlns:c16="http://schemas.microsoft.com/office/drawing/2014/chart" uri="{C3380CC4-5D6E-409C-BE32-E72D297353CC}">
              <c16:uniqueId val="{00000002-279F-4C37-8393-38F562FCE388}"/>
            </c:ext>
          </c:extLst>
        </c:ser>
        <c:dLbls>
          <c:showLegendKey val="0"/>
          <c:showVal val="0"/>
          <c:showCatName val="0"/>
          <c:showSerName val="0"/>
          <c:showPercent val="0"/>
          <c:showBubbleSize val="0"/>
        </c:dLbls>
        <c:marker val="1"/>
        <c:smooth val="0"/>
        <c:axId val="2119494560"/>
        <c:axId val="2123359856"/>
      </c:lineChart>
      <c:catAx>
        <c:axId val="2119494560"/>
        <c:scaling>
          <c:orientation val="minMax"/>
        </c:scaling>
        <c:delete val="0"/>
        <c:axPos val="b"/>
        <c:title>
          <c:tx>
            <c:rich>
              <a:bodyPr/>
              <a:lstStyle/>
              <a:p>
                <a:pPr>
                  <a:defRPr/>
                </a:pPr>
                <a:r>
                  <a:rPr lang="en-US"/>
                  <a:t>Data Point</a:t>
                </a:r>
              </a:p>
            </c:rich>
          </c:tx>
          <c:overlay val="0"/>
        </c:title>
        <c:majorTickMark val="out"/>
        <c:minorTickMark val="none"/>
        <c:tickLblPos val="nextTo"/>
        <c:crossAx val="2123359856"/>
        <c:crosses val="autoZero"/>
        <c:auto val="1"/>
        <c:lblAlgn val="ctr"/>
        <c:lblOffset val="100"/>
        <c:noMultiLvlLbl val="0"/>
      </c:catAx>
      <c:valAx>
        <c:axId val="2123359856"/>
        <c:scaling>
          <c:orientation val="minMax"/>
        </c:scaling>
        <c:delete val="0"/>
        <c:axPos val="l"/>
        <c:title>
          <c:tx>
            <c:rich>
              <a:bodyPr/>
              <a:lstStyle/>
              <a:p>
                <a:pPr>
                  <a:defRPr/>
                </a:pPr>
                <a:r>
                  <a:rPr lang="en-US"/>
                  <a:t>Value</a:t>
                </a:r>
              </a:p>
            </c:rich>
          </c:tx>
          <c:overlay val="0"/>
        </c:title>
        <c:numFmt formatCode="General" sourceLinked="1"/>
        <c:majorTickMark val="out"/>
        <c:minorTickMark val="none"/>
        <c:tickLblPos val="nextTo"/>
        <c:crossAx val="211949456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'18.2'!$B$1</c:f>
              <c:strCache>
                <c:ptCount val="1"/>
                <c:pt idx="0">
                  <c:v>Salesofgallons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'18.2'!$A$2:$A$23</c:f>
              <c:numCache>
                <c:formatCode>General</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xVal>
          <c:yVal>
            <c:numRef>
              <c:f>'18.2'!$B$2:$B$23</c:f>
              <c:numCache>
                <c:formatCode>General</c:formatCode>
                <c:ptCount val="22"/>
                <c:pt idx="0">
                  <c:v>17</c:v>
                </c:pt>
                <c:pt idx="1">
                  <c:v>21</c:v>
                </c:pt>
                <c:pt idx="2">
                  <c:v>19</c:v>
                </c:pt>
                <c:pt idx="3">
                  <c:v>23</c:v>
                </c:pt>
                <c:pt idx="4">
                  <c:v>18</c:v>
                </c:pt>
                <c:pt idx="5">
                  <c:v>16</c:v>
                </c:pt>
                <c:pt idx="6">
                  <c:v>20</c:v>
                </c:pt>
                <c:pt idx="7">
                  <c:v>18</c:v>
                </c:pt>
                <c:pt idx="8">
                  <c:v>22</c:v>
                </c:pt>
                <c:pt idx="9">
                  <c:v>20</c:v>
                </c:pt>
                <c:pt idx="10">
                  <c:v>15</c:v>
                </c:pt>
                <c:pt idx="11">
                  <c:v>22</c:v>
                </c:pt>
                <c:pt idx="12">
                  <c:v>31</c:v>
                </c:pt>
                <c:pt idx="13">
                  <c:v>34</c:v>
                </c:pt>
                <c:pt idx="14">
                  <c:v>31</c:v>
                </c:pt>
                <c:pt idx="15">
                  <c:v>33</c:v>
                </c:pt>
                <c:pt idx="16">
                  <c:v>28</c:v>
                </c:pt>
                <c:pt idx="17">
                  <c:v>32</c:v>
                </c:pt>
                <c:pt idx="18">
                  <c:v>30</c:v>
                </c:pt>
                <c:pt idx="19">
                  <c:v>29</c:v>
                </c:pt>
                <c:pt idx="20">
                  <c:v>34</c:v>
                </c:pt>
                <c:pt idx="21">
                  <c:v>33</c:v>
                </c:pt>
              </c:numCache>
            </c:numRef>
          </c:yVal>
          <c:smooth val="0"/>
          <c:extLst>
            <c:ext xmlns:c16="http://schemas.microsoft.com/office/drawing/2014/chart" uri="{C3380CC4-5D6E-409C-BE32-E72D297353CC}">
              <c16:uniqueId val="{00000000-57A6-46A3-A991-9C3DB5D190BB}"/>
            </c:ext>
          </c:extLst>
        </c:ser>
        <c:dLbls>
          <c:showLegendKey val="0"/>
          <c:showVal val="0"/>
          <c:showCatName val="0"/>
          <c:showSerName val="0"/>
          <c:showPercent val="0"/>
          <c:showBubbleSize val="0"/>
        </c:dLbls>
        <c:axId val="1045011552"/>
        <c:axId val="997386320"/>
      </c:scatterChart>
      <c:valAx>
        <c:axId val="104501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386320"/>
        <c:crosses val="autoZero"/>
        <c:crossBetween val="midCat"/>
      </c:valAx>
      <c:valAx>
        <c:axId val="99738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11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'18.4 Trend'!$B$1</c:f>
              <c:strCache>
                <c:ptCount val="1"/>
                <c:pt idx="0">
                  <c:v>Sales(1000s)</c:v>
                </c:pt>
              </c:strCache>
            </c:strRef>
          </c:tx>
          <c:spPr>
            <a:ln w="19050" cap="rnd">
              <a:solidFill>
                <a:srgbClr val="FFC000"/>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'18.4 Trend'!$A$2:$A$11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'18.4 Trend'!$B$2:$B$11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0-C750-4914-960C-9F4A36E3D44B}"/>
            </c:ext>
          </c:extLst>
        </c:ser>
        <c:dLbls>
          <c:showLegendKey val="0"/>
          <c:showVal val="0"/>
          <c:showCatName val="0"/>
          <c:showSerName val="0"/>
          <c:showPercent val="0"/>
          <c:showBubbleSize val="0"/>
        </c:dLbls>
        <c:axId val="53630848"/>
        <c:axId val="2123386736"/>
      </c:scatterChart>
      <c:valAx>
        <c:axId val="53630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6736"/>
        <c:crosses val="autoZero"/>
        <c:crossBetween val="midCat"/>
      </c:valAx>
      <c:valAx>
        <c:axId val="2123386736"/>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(1000s)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308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1-E586-413D-99C4-98F76370BC7E}"/>
            </c:ext>
          </c:extLst>
        </c:ser>
        <c:ser>
          <c:idx val="1"/>
          <c:order val="1"/>
          <c:tx>
            <c:v>Predicted 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forecast'!$B$43:$B$52</c:f>
              <c:numCache>
                <c:formatCode>General</c:formatCode>
                <c:ptCount val="10"/>
                <c:pt idx="0">
                  <c:v>21.5</c:v>
                </c:pt>
                <c:pt idx="1">
                  <c:v>22.6</c:v>
                </c:pt>
                <c:pt idx="2">
                  <c:v>23.7</c:v>
                </c:pt>
                <c:pt idx="3">
                  <c:v>24.8</c:v>
                </c:pt>
                <c:pt idx="4">
                  <c:v>25.900000000000002</c:v>
                </c:pt>
                <c:pt idx="5">
                  <c:v>27</c:v>
                </c:pt>
                <c:pt idx="6">
                  <c:v>28.1</c:v>
                </c:pt>
                <c:pt idx="7">
                  <c:v>29.200000000000003</c:v>
                </c:pt>
                <c:pt idx="8">
                  <c:v>30.300000000000004</c:v>
                </c:pt>
                <c:pt idx="9">
                  <c:v>31.400000000000006</c:v>
                </c:pt>
              </c:numCache>
            </c:numRef>
          </c:yVal>
          <c:smooth val="0"/>
          <c:extLst>
            <c:ext xmlns:c16="http://schemas.microsoft.com/office/drawing/2014/chart" uri="{C3380CC4-5D6E-409C-BE32-E72D297353CC}">
              <c16:uniqueId val="{00000002-E586-413D-99C4-98F76370BC7E}"/>
            </c:ext>
          </c:extLst>
        </c:ser>
        <c:dLbls>
          <c:showLegendKey val="0"/>
          <c:showVal val="0"/>
          <c:showCatName val="0"/>
          <c:showSerName val="0"/>
          <c:showPercent val="0"/>
          <c:showBubbleSize val="0"/>
        </c:dLbls>
        <c:axId val="2129031776"/>
        <c:axId val="2123364656"/>
      </c:scatterChart>
      <c:valAx>
        <c:axId val="2129031776"/>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2123364656"/>
        <c:crosses val="autoZero"/>
        <c:crossBetween val="midCat"/>
      </c:valAx>
      <c:valAx>
        <c:axId val="2123364656"/>
        <c:scaling>
          <c:orientation val="minMax"/>
        </c:scaling>
        <c:delete val="0"/>
        <c:axPos val="l"/>
        <c:title>
          <c:tx>
            <c:rich>
              <a:bodyPr/>
              <a:lstStyle/>
              <a:p>
                <a:pPr>
                  <a:defRPr/>
                </a:pPr>
                <a:r>
                  <a:rPr lang="en-US"/>
                  <a:t>Sales(1000s)</a:t>
                </a:r>
              </a:p>
            </c:rich>
          </c:tx>
          <c:overlay val="0"/>
        </c:title>
        <c:numFmt formatCode="General" sourceLinked="1"/>
        <c:majorTickMark val="out"/>
        <c:minorTickMark val="none"/>
        <c:tickLblPos val="nextTo"/>
        <c:crossAx val="212903177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1-8451-4326-A89E-FA38642AB089}"/>
            </c:ext>
          </c:extLst>
        </c:ser>
        <c:ser>
          <c:idx val="1"/>
          <c:order val="1"/>
          <c:tx>
            <c:v>Predicted Sales(1000s)</c:v>
          </c:tx>
          <c:spPr>
            <a:ln w="19050">
              <a:noFill/>
            </a:ln>
          </c:spP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forecast'!$B$43:$B$52</c:f>
              <c:numCache>
                <c:formatCode>General</c:formatCode>
                <c:ptCount val="10"/>
                <c:pt idx="0">
                  <c:v>21.5</c:v>
                </c:pt>
                <c:pt idx="1">
                  <c:v>22.6</c:v>
                </c:pt>
                <c:pt idx="2">
                  <c:v>23.7</c:v>
                </c:pt>
                <c:pt idx="3">
                  <c:v>24.8</c:v>
                </c:pt>
                <c:pt idx="4">
                  <c:v>25.900000000000002</c:v>
                </c:pt>
                <c:pt idx="5">
                  <c:v>27</c:v>
                </c:pt>
                <c:pt idx="6">
                  <c:v>28.1</c:v>
                </c:pt>
                <c:pt idx="7">
                  <c:v>29.200000000000003</c:v>
                </c:pt>
                <c:pt idx="8">
                  <c:v>30.300000000000004</c:v>
                </c:pt>
                <c:pt idx="9">
                  <c:v>31.400000000000006</c:v>
                </c:pt>
              </c:numCache>
            </c:numRef>
          </c:yVal>
          <c:smooth val="0"/>
          <c:extLst>
            <c:ext xmlns:c16="http://schemas.microsoft.com/office/drawing/2014/chart" uri="{C3380CC4-5D6E-409C-BE32-E72D297353CC}">
              <c16:uniqueId val="{00000002-8451-4326-A89E-FA38642AB089}"/>
            </c:ext>
          </c:extLst>
        </c:ser>
        <c:dLbls>
          <c:showLegendKey val="0"/>
          <c:showVal val="0"/>
          <c:showCatName val="0"/>
          <c:showSerName val="0"/>
          <c:showPercent val="0"/>
          <c:showBubbleSize val="0"/>
        </c:dLbls>
        <c:axId val="278220768"/>
        <c:axId val="2123381936"/>
      </c:scatterChart>
      <c:valAx>
        <c:axId val="27822076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2123381936"/>
        <c:crosses val="autoZero"/>
        <c:crossBetween val="midCat"/>
      </c:valAx>
      <c:valAx>
        <c:axId val="2123381936"/>
        <c:scaling>
          <c:orientation val="minMax"/>
        </c:scaling>
        <c:delete val="0"/>
        <c:axPos val="l"/>
        <c:title>
          <c:tx>
            <c:rich>
              <a:bodyPr/>
              <a:lstStyle/>
              <a:p>
                <a:pPr>
                  <a:defRPr/>
                </a:pPr>
                <a:r>
                  <a:rPr lang="en-US"/>
                  <a:t>Sales(1000s)</a:t>
                </a:r>
              </a:p>
            </c:rich>
          </c:tx>
          <c:overlay val="0"/>
        </c:title>
        <c:numFmt formatCode="General" sourceLinked="1"/>
        <c:majorTickMark val="out"/>
        <c:minorTickMark val="none"/>
        <c:tickLblPos val="nextTo"/>
        <c:crossAx val="278220768"/>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'Linear Trend with forecast'!$B$1</c:f>
              <c:strCache>
                <c:ptCount val="1"/>
                <c:pt idx="0">
                  <c:v>Sales(1000s)</c:v>
                </c:pt>
              </c:strCache>
            </c:strRef>
          </c:tx>
          <c:spPr>
            <a:ln w="19050" cap="rnd">
              <a:solidFill>
                <a:schemeClr val="bg2">
                  <a:lumMod val="10000"/>
                </a:schemeClr>
              </a:solidFill>
              <a:round/>
            </a:ln>
            <a:effectLst/>
          </c:spPr>
          <c:marker>
            <c:symbol val="circle"/>
            <c:size val="5"/>
            <c:spPr>
              <a:solidFill>
                <a:schemeClr val="tx1"/>
              </a:solidFill>
              <a:ln w="9525">
                <a:noFill/>
              </a:ln>
              <a:effectLst/>
            </c:spPr>
          </c:marke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0-6577-458A-9B79-7AC5E3B7B5A3}"/>
            </c:ext>
          </c:extLst>
        </c:ser>
        <c:ser>
          <c:idx val="1"/>
          <c:order val="1"/>
          <c:tx>
            <c:v>Forecast</c:v>
          </c:tx>
          <c:spPr>
            <a:ln w="19050" cap="rnd">
              <a:solidFill>
                <a:srgbClr val="00B050"/>
              </a:solidFill>
              <a:round/>
            </a:ln>
            <a:effectLst/>
          </c:spPr>
          <c:marker>
            <c:symbol val="circle"/>
            <c:size val="5"/>
            <c:spPr>
              <a:solidFill>
                <a:srgbClr val="00B050"/>
              </a:solidFill>
              <a:ln w="9525">
                <a:noFill/>
              </a:ln>
              <a:effectLst/>
            </c:spPr>
          </c:marker>
          <c:xVal>
            <c:numRef>
              <c:f>'Linear Trend with forecast'!$A$2:$A$11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'Linear Trend with forecast'!$D$2:$D$11</c:f>
              <c:numCache>
                <c:formatCode>General</c:formatCode>
                <c:ptCount val="10"/>
                <c:pt idx="0">
                  <c:v>21.5</c:v>
                </c:pt>
                <c:pt idx="1">
                  <c:v>22.6</c:v>
                </c:pt>
                <c:pt idx="2">
                  <c:v>23.7</c:v>
                </c:pt>
                <c:pt idx="3">
                  <c:v>24.8</c:v>
                </c:pt>
                <c:pt idx="4">
                  <c:v>25.900000000000002</c:v>
                </c:pt>
                <c:pt idx="5">
                  <c:v>27</c:v>
                </c:pt>
                <c:pt idx="6">
                  <c:v>28.1</c:v>
                </c:pt>
                <c:pt idx="7">
                  <c:v>29.200000000000003</c:v>
                </c:pt>
                <c:pt idx="8">
                  <c:v>30.300000000000004</c:v>
                </c:pt>
                <c:pt idx="9">
                  <c:v>31.400000000000006</c:v>
                </c:pt>
              </c:numCache>
            </c:numRef>
          </c:yVal>
          <c:smooth val="0"/>
          <c:extLst>
            <c:ext xmlns:c16="http://schemas.microsoft.com/office/drawing/2014/chart" uri="{C3380CC4-5D6E-409C-BE32-E72D297353CC}">
              <c16:uniqueId val="{00000001-6577-458A-9B79-7AC5E3B7B5A3}"/>
            </c:ext>
          </c:extLst>
        </c:ser>
        <c:ser>
          <c:idx val="2"/>
          <c:order val="2"/>
          <c:tx>
            <c:v>Future Forecast</c:v>
          </c:tx>
          <c:spPr>
            <a:ln w="19050" cap="rnd">
              <a:solidFill>
                <a:srgbClr val="0070C0"/>
              </a:solidFill>
              <a:round/>
            </a:ln>
            <a:effectLst/>
          </c:spPr>
          <c:marker>
            <c:symbol val="circle"/>
            <c:size val="5"/>
            <c:spPr>
              <a:solidFill>
                <a:srgbClr val="0070C0"/>
              </a:solidFill>
              <a:ln w="9525">
                <a:solidFill>
                  <a:schemeClr val="accent1"/>
                </a:solidFill>
              </a:ln>
              <a:effectLst/>
            </c:spPr>
          </c:marker>
          <c:dPt>
            <c:idx val="0"/>
            <c:marker>
              <c:symbol val="circle"/>
              <c:size val="5"/>
              <c:spPr>
                <a:noFill/>
                <a:ln w="9525">
                  <a:noFill/>
                </a:ln>
                <a:effectLst/>
              </c:spPr>
            </c:marker>
            <c:bubble3D val="0"/>
            <c:extLst>
              <c:ext xmlns:c16="http://schemas.microsoft.com/office/drawing/2014/chart" uri="{C3380CC4-5D6E-409C-BE32-E72D297353CC}">
                <c16:uniqueId val="{0000000B-6577-458A-9B79-7AC5E3B7B5A3}"/>
              </c:ext>
            </c:extLst>
          </c:dPt>
          <c:xVal>
            <c:numRef>
              <c:f>'Linear Trend with forecast'!$A$12:$A$15</c:f>
              <c:numCache>
                <c:formatCode>General</c:formatCode>
                <c:ptCount val="4"/>
                <c:pt idx="0">
                  <c:v>10.1</c:v>
                </c:pt>
                <c:pt idx="1">
                  <c:v>11</c:v>
                </c:pt>
                <c:pt idx="2">
                  <c:v>12</c:v>
                </c:pt>
                <c:pt idx="3">
                  <c:v>13</c:v>
                </c:pt>
              </c:numCache>
            </c:numRef>
          </c:xVal>
          <c:yVal>
            <c:numRef>
              <c:f>'Linear Trend with forecast'!$D$12:$D$15</c:f>
              <c:numCache>
                <c:formatCode>General</c:formatCode>
                <c:ptCount val="4"/>
                <c:pt idx="0">
                  <c:v>31.5</c:v>
                </c:pt>
                <c:pt idx="1">
                  <c:v>32.5</c:v>
                </c:pt>
                <c:pt idx="2">
                  <c:v>33.600000000000009</c:v>
                </c:pt>
                <c:pt idx="3">
                  <c:v>34.700000000000003</c:v>
                </c:pt>
              </c:numCache>
            </c:numRef>
          </c:yVal>
          <c:smooth val="0"/>
          <c:extLst>
            <c:ext xmlns:c16="http://schemas.microsoft.com/office/drawing/2014/chart" uri="{C3380CC4-5D6E-409C-BE32-E72D297353CC}">
              <c16:uniqueId val="{0000000A-6577-458A-9B79-7AC5E3B7B5A3}"/>
            </c:ext>
          </c:extLst>
        </c:ser>
        <c:dLbls>
          <c:showLegendKey val="0"/>
          <c:showVal val="0"/>
          <c:showCatName val="0"/>
          <c:showSerName val="0"/>
          <c:showPercent val="0"/>
          <c:showBubbleSize val="0"/>
        </c:dLbls>
        <c:axId val="1005269984"/>
        <c:axId val="56660528"/>
      </c:scatterChart>
      <c:valAx>
        <c:axId val="100526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0528"/>
        <c:crosses val="autoZero"/>
        <c:crossBetween val="midCat"/>
      </c:valAx>
      <c:valAx>
        <c:axId val="5666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269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'Holts linear exponential'!$B$1</c:f>
              <c:strCache>
                <c:ptCount val="1"/>
                <c:pt idx="0">
                  <c:v>Sales(1000s)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'Holts linear exponential'!$A$2:$A$11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'Holts linear exponential'!$B$2:$B$11</c:f>
              <c:numCache>
                <c:formatCode>General</c:formatCode>
                <c:ptCount val="10"/>
                <c:pt idx="0">
                  <c:v>21.6</c:v>
                </c:pt>
                <c:pt idx="1">
                  <c:v>22.9</c:v>
                </c:pt>
                <c:pt idx="2">
                  <c:v>25.5</c:v>
                </c:pt>
                <c:pt idx="3">
                  <c:v>21.9</c:v>
                </c:pt>
                <c:pt idx="4">
                  <c:v>23.9</c:v>
                </c:pt>
                <c:pt idx="5">
                  <c:v>27.5</c:v>
                </c:pt>
                <c:pt idx="6">
                  <c:v>31.5</c:v>
                </c:pt>
                <c:pt idx="7">
                  <c:v>29.7</c:v>
                </c:pt>
                <c:pt idx="8">
                  <c:v>28.6</c:v>
                </c:pt>
                <c:pt idx="9">
                  <c:v>31.4</c:v>
                </c:pt>
              </c:numCache>
            </c:numRef>
          </c:yVal>
          <c:smooth val="0"/>
          <c:extLst>
            <c:ext xmlns:c16="http://schemas.microsoft.com/office/drawing/2014/chart" uri="{C3380CC4-5D6E-409C-BE32-E72D297353CC}">
              <c16:uniqueId val="{00000000-9656-4381-B7A9-9ADB8A68E20F}"/>
            </c:ext>
          </c:extLst>
        </c:ser>
        <c:ser>
          <c:idx val="1"/>
          <c:order val="1"/>
          <c:tx>
            <c:v>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'Holts linear exponential'!$A$3:$A$11</c:f>
              <c:numCache>
                <c:formatCode>General</c:formatCode>
                <c:ptCount val="9"/>
                <c:pt idx="0">
                  <c:v>2</c:v>
                </c:pt>
                <c:pt idx="1">
                  <c:v>3</c:v>
                </c:pt>
                <c:pt idx="2">
                  <c:v>4</c:v>
                </c:pt>
                <c:pt idx="3">
                  <c:v>5</c:v>
                </c:pt>
                <c:pt idx="4">
                  <c:v>6</c:v>
                </c:pt>
                <c:pt idx="5">
                  <c:v>7</c:v>
                </c:pt>
                <c:pt idx="6">
                  <c:v>8</c:v>
                </c:pt>
                <c:pt idx="7">
                  <c:v>9</c:v>
                </c:pt>
                <c:pt idx="8">
                  <c:v>10</c:v>
                </c:pt>
              </c:numCache>
            </c:numRef>
          </c:xVal>
          <c:yVal>
            <c:numRef>
              <c:f>'Holts linear exponential'!$C$3:$C$11</c:f>
              <c:numCache>
                <c:formatCode>General</c:formatCode>
                <c:ptCount val="9"/>
                <c:pt idx="0">
                  <c:v>22.9</c:v>
                </c:pt>
                <c:pt idx="1">
                  <c:v>24.199999999999996</c:v>
                </c:pt>
                <c:pt idx="2">
                  <c:v>25.655999999999995</c:v>
                </c:pt>
                <c:pt idx="3">
                  <c:v>26.531279999999995</c:v>
                </c:pt>
                <c:pt idx="4">
                  <c:v>27.466406399999997</c:v>
                </c:pt>
                <c:pt idx="5">
                  <c:v>28.668692031999996</c:v>
                </c:pt>
                <c:pt idx="6">
                  <c:v>30.207375260159996</c:v>
                </c:pt>
                <c:pt idx="7">
                  <c:v>31.402042660300793</c:v>
                </c:pt>
                <c:pt idx="8">
                  <c:v>32.311202467221499</c:v>
                </c:pt>
              </c:numCache>
            </c:numRef>
          </c:yVal>
          <c:smooth val="0"/>
          <c:extLst>
            <c:ext xmlns:c16="http://schemas.microsoft.com/office/drawing/2014/chart" uri="{C3380CC4-5D6E-409C-BE32-E72D297353CC}">
              <c16:uniqueId val="{00000001-9656-4381-B7A9-9ADB8A68E20F}"/>
            </c:ext>
          </c:extLst>
        </c:ser>
        <c:ser>
          <c:idx val="2"/>
          <c:order val="2"/>
          <c:tx>
            <c:v>Future Forecast</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noFill/>
                <a:ln w="9525">
                  <a:noFill/>
                </a:ln>
                <a:effectLst/>
              </c:spPr>
            </c:marker>
            <c:bubble3D val="0"/>
            <c:spPr>
              <a:ln w="19050" cap="rnd">
                <a:noFill/>
                <a:round/>
              </a:ln>
              <a:effectLst/>
            </c:spPr>
            <c:extLst>
              <c:ext xmlns:c16="http://schemas.microsoft.com/office/drawing/2014/chart" uri="{C3380CC4-5D6E-409C-BE32-E72D297353CC}">
                <c16:uniqueId val="{00000003-9656-4381-B7A9-9ADB8A68E20F}"/>
              </c:ext>
            </c:extLst>
          </c:dPt>
          <c:xVal>
            <c:numRef>
              <c:f>'Holts linear exponential'!$A$14:$A$15</c:f>
              <c:numCache>
                <c:formatCode>General</c:formatCode>
                <c:ptCount val="2"/>
                <c:pt idx="0">
                  <c:v>10.1</c:v>
                </c:pt>
                <c:pt idx="1">
                  <c:v>11</c:v>
                </c:pt>
              </c:numCache>
            </c:numRef>
          </c:xVal>
          <c:yVal>
            <c:numRef>
              <c:f>'Holts linear exponential'!$C$14:$C$15</c:f>
              <c:numCache>
                <c:formatCode>General</c:formatCode>
                <c:ptCount val="2"/>
                <c:pt idx="0">
                  <c:v>31.5</c:v>
                </c:pt>
                <c:pt idx="1">
                  <c:v>33.391222244105705</c:v>
                </c:pt>
              </c:numCache>
            </c:numRef>
          </c:yVal>
          <c:smooth val="0"/>
          <c:extLst>
            <c:ext xmlns:c16="http://schemas.microsoft.com/office/drawing/2014/chart" uri="{C3380CC4-5D6E-409C-BE32-E72D297353CC}">
              <c16:uniqueId val="{00000002-9656-4381-B7A9-9ADB8A68E20F}"/>
            </c:ext>
          </c:extLst>
        </c:ser>
        <c:dLbls>
          <c:showLegendKey val="0"/>
          <c:showVal val="0"/>
          <c:showCatName val="0"/>
          <c:showSerName val="0"/>
          <c:showPercent val="0"/>
          <c:showBubbleSize val="0"/>
        </c:dLbls>
        <c:axId val="278240256"/>
        <c:axId val="56687408"/>
      </c:scatterChart>
      <c:valAx>
        <c:axId val="27824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7408"/>
        <c:crosses val="autoZero"/>
        <c:crossBetween val="midCat"/>
      </c:valAx>
      <c:valAx>
        <c:axId val="566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240256"/>
        <c:crosses val="autoZero"/>
        <c:crossBetween val="midCat"/>
      </c:valAx>
      <c:spPr>
        <a:noFill/>
        <a:ln>
          <a:noFill/>
        </a:ln>
        <a:effectLst/>
      </c:spPr>
    </c:plotArea>
    <c:legend>
      <c:legendPos val="r"/>
      <c:layout>
        <c:manualLayout>
          <c:xMode val="edge"/>
          <c:yMode val="edge"/>
          <c:x val="0.77807808438008952"/>
          <c:y val="0.37752639483121281"/>
          <c:w val="0.19851151845422754"/>
          <c:h val="0.27788065980351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'Nonlinear Trend not adressed'!$B$1</c:f>
              <c:strCache>
                <c:ptCount val="1"/>
                <c:pt idx="0">
                  <c:v>Revenue ($millions)</c:v>
                </c:pt>
              </c:strCache>
            </c:strRef>
          </c:tx>
          <c:spPr>
            <a:ln w="19050" cap="rnd">
              <a:solidFill>
                <a:schemeClr val="bg2">
                  <a:lumMod val="10000"/>
                </a:schemeClr>
              </a:solidFill>
              <a:round/>
            </a:ln>
            <a:effectLst/>
          </c:spPr>
          <c:marker>
            <c:symbol val="circle"/>
            <c:size val="5"/>
            <c:spPr>
              <a:solidFill>
                <a:schemeClr val="accent1"/>
              </a:solidFill>
              <a:ln w="9525">
                <a:solidFill>
                  <a:schemeClr val="accent1"/>
                </a:solidFill>
              </a:ln>
              <a:effectLst/>
            </c:spPr>
          </c:marke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0-8988-40BF-B6CD-F92596BF29E9}"/>
            </c:ext>
          </c:extLst>
        </c:ser>
        <c:dLbls>
          <c:showLegendKey val="0"/>
          <c:showVal val="0"/>
          <c:showCatName val="0"/>
          <c:showSerName val="0"/>
          <c:showPercent val="0"/>
          <c:showBubbleSize val="0"/>
        </c:dLbls>
        <c:axId val="2129495712"/>
        <c:axId val="1174108063"/>
      </c:scatterChart>
      <c:valAx>
        <c:axId val="2129495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08063"/>
        <c:crosses val="autoZero"/>
        <c:crossBetween val="midCat"/>
      </c:valAx>
      <c:valAx>
        <c:axId val="117410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957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Revenue ($millions)</c:v>
          </c:tx>
          <c:spPr>
            <a:ln w="19050">
              <a:noFill/>
            </a:ln>
          </c:spP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2FD2-48CE-855F-D0E4AD3DF397}"/>
            </c:ext>
          </c:extLst>
        </c:ser>
        <c:ser>
          <c:idx val="1"/>
          <c:order val="1"/>
          <c:tx>
            <c:v>Predicted Revenue ($millions)</c:v>
          </c:tx>
          <c:spPr>
            <a:ln w="19050">
              <a:noFill/>
            </a:ln>
          </c:spP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adressed'!$B$38:$B$47</c:f>
              <c:numCache>
                <c:formatCode>General</c:formatCode>
                <c:ptCount val="10"/>
                <c:pt idx="0">
                  <c:v>11.938181818181812</c:v>
                </c:pt>
                <c:pt idx="1">
                  <c:v>19.969696969696965</c:v>
                </c:pt>
                <c:pt idx="2">
                  <c:v>28.00121212121212</c:v>
                </c:pt>
                <c:pt idx="3">
                  <c:v>36.032727272727271</c:v>
                </c:pt>
                <c:pt idx="4">
                  <c:v>44.064242424242423</c:v>
                </c:pt>
                <c:pt idx="5">
                  <c:v>52.095757575757581</c:v>
                </c:pt>
                <c:pt idx="6">
                  <c:v>60.127272727272732</c:v>
                </c:pt>
                <c:pt idx="7">
                  <c:v>68.158787878787876</c:v>
                </c:pt>
                <c:pt idx="8">
                  <c:v>76.190303030303028</c:v>
                </c:pt>
                <c:pt idx="9">
                  <c:v>84.221818181818179</c:v>
                </c:pt>
              </c:numCache>
            </c:numRef>
          </c:yVal>
          <c:smooth val="0"/>
          <c:extLst>
            <c:ext xmlns:c16="http://schemas.microsoft.com/office/drawing/2014/chart" uri="{C3380CC4-5D6E-409C-BE32-E72D297353CC}">
              <c16:uniqueId val="{00000002-2FD2-48CE-855F-D0E4AD3DF397}"/>
            </c:ext>
          </c:extLst>
        </c:ser>
        <c:dLbls>
          <c:showLegendKey val="0"/>
          <c:showVal val="0"/>
          <c:showCatName val="0"/>
          <c:showSerName val="0"/>
          <c:showPercent val="0"/>
          <c:showBubbleSize val="0"/>
        </c:dLbls>
        <c:axId val="278231904"/>
        <c:axId val="1174099903"/>
      </c:scatterChart>
      <c:valAx>
        <c:axId val="278231904"/>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74099903"/>
        <c:crosses val="autoZero"/>
        <c:crossBetween val="midCat"/>
      </c:valAx>
      <c:valAx>
        <c:axId val="1174099903"/>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27823190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a:t>
            </a:r>
            <a:r>
              <a:rPr lang="en-US" baseline="0"/>
              <a:t> </a:t>
            </a:r>
            <a:r>
              <a:rPr lang="en-US"/>
              <a:t>Residual</a:t>
            </a:r>
            <a:r>
              <a:rPr lang="en-US" baseline="0"/>
              <a:t> Plot (not standardized)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'Nonlinear Trend not adressed'!$B$38:$B$47</c:f>
              <c:numCache>
                <c:formatCode>General</c:formatCode>
                <c:ptCount val="10"/>
                <c:pt idx="0">
                  <c:v>11.938181818181812</c:v>
                </c:pt>
                <c:pt idx="1">
                  <c:v>19.969696969696965</c:v>
                </c:pt>
                <c:pt idx="2">
                  <c:v>28.00121212121212</c:v>
                </c:pt>
                <c:pt idx="3">
                  <c:v>36.032727272727271</c:v>
                </c:pt>
                <c:pt idx="4">
                  <c:v>44.064242424242423</c:v>
                </c:pt>
                <c:pt idx="5">
                  <c:v>52.095757575757581</c:v>
                </c:pt>
                <c:pt idx="6">
                  <c:v>60.127272727272732</c:v>
                </c:pt>
                <c:pt idx="7">
                  <c:v>68.158787878787876</c:v>
                </c:pt>
                <c:pt idx="8">
                  <c:v>76.190303030303028</c:v>
                </c:pt>
                <c:pt idx="9">
                  <c:v>84.221818181818179</c:v>
                </c:pt>
              </c:numCache>
            </c:numRef>
          </c:xVal>
          <c:yVal>
            <c:numRef>
              <c:f>'Nonlinear Trend not adressed'!$D$38:$D$47</c:f>
              <c:numCache>
                <c:formatCode>General</c:formatCode>
                <c:ptCount val="10"/>
                <c:pt idx="0">
                  <c:v>1.4161646821291347</c:v>
                </c:pt>
                <c:pt idx="1">
                  <c:v>0.1687832696570267</c:v>
                </c:pt>
                <c:pt idx="2">
                  <c:v>-7.6279272665043238E-2</c:v>
                </c:pt>
                <c:pt idx="3">
                  <c:v>-0.18177842800419533</c:v>
                </c:pt>
                <c:pt idx="4">
                  <c:v>-1.3022840341281974</c:v>
                </c:pt>
                <c:pt idx="5">
                  <c:v>-1.1286564155015166</c:v>
                </c:pt>
                <c:pt idx="6">
                  <c:v>-7.9585733072903578E-2</c:v>
                </c:pt>
                <c:pt idx="7">
                  <c:v>-0.47689924301269854</c:v>
                </c:pt>
                <c:pt idx="8">
                  <c:v>-0.2525213018467754</c:v>
                </c:pt>
                <c:pt idx="9">
                  <c:v>1.9130564764451712</c:v>
                </c:pt>
              </c:numCache>
            </c:numRef>
          </c:yVal>
          <c:smooth val="0"/>
          <c:extLst>
            <c:ext xmlns:c16="http://schemas.microsoft.com/office/drawing/2014/chart" uri="{C3380CC4-5D6E-409C-BE32-E72D297353CC}">
              <c16:uniqueId val="{00000000-A2C3-49FC-BB2B-6BCD6A27775B}"/>
            </c:ext>
          </c:extLst>
        </c:ser>
        <c:dLbls>
          <c:showLegendKey val="0"/>
          <c:showVal val="0"/>
          <c:showCatName val="0"/>
          <c:showSerName val="0"/>
          <c:showPercent val="0"/>
          <c:showBubbleSize val="0"/>
        </c:dLbls>
        <c:axId val="282076816"/>
        <c:axId val="1174109023"/>
      </c:scatterChart>
      <c:valAx>
        <c:axId val="282076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09023"/>
        <c:crosses val="autoZero"/>
        <c:crossBetween val="midCat"/>
      </c:valAx>
      <c:valAx>
        <c:axId val="117410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76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layout>
        <c:manualLayout>
          <c:xMode val="edge"/>
          <c:yMode val="edge"/>
          <c:x val="0.20545420569032444"/>
          <c:y val="4.6434494195688222E-2"/>
        </c:manualLayout>
      </c:layout>
      <c:overlay val="0"/>
    </c:title>
    <c:autoTitleDeleted val="0"/>
    <c:plotArea>
      <c:layout/>
      <c:scatterChart>
        <c:scatterStyle val="lineMarker"/>
        <c:varyColors val="0"/>
        <c:ser>
          <c:idx val="0"/>
          <c:order val="0"/>
          <c:spPr>
            <a:ln w="19050">
              <a:noFill/>
            </a:ln>
          </c:spPr>
          <c:xVal>
            <c:numRef>
              <c:f>'Nonlinear Trend not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not adressed'!$C$38:$C$47</c:f>
              <c:numCache>
                <c:formatCode>General</c:formatCode>
                <c:ptCount val="10"/>
                <c:pt idx="0">
                  <c:v>11.161818181818189</c:v>
                </c:pt>
                <c:pt idx="1">
                  <c:v>1.3303030303030354</c:v>
                </c:pt>
                <c:pt idx="2">
                  <c:v>-0.60121212121212153</c:v>
                </c:pt>
                <c:pt idx="3">
                  <c:v>-1.43272727272727</c:v>
                </c:pt>
                <c:pt idx="4">
                  <c:v>-10.264242424242425</c:v>
                </c:pt>
                <c:pt idx="5">
                  <c:v>-8.8957575757575782</c:v>
                </c:pt>
                <c:pt idx="6">
                  <c:v>-0.62727272727273231</c:v>
                </c:pt>
                <c:pt idx="7">
                  <c:v>-3.7587878787878708</c:v>
                </c:pt>
                <c:pt idx="8">
                  <c:v>-1.9903030303030249</c:v>
                </c:pt>
                <c:pt idx="9">
                  <c:v>15.078181818181818</c:v>
                </c:pt>
              </c:numCache>
            </c:numRef>
          </c:yVal>
          <c:smooth val="0"/>
          <c:extLst>
            <c:ext xmlns:c16="http://schemas.microsoft.com/office/drawing/2014/chart" uri="{C3380CC4-5D6E-409C-BE32-E72D297353CC}">
              <c16:uniqueId val="{00000001-3077-47CF-8571-73C896529779}"/>
            </c:ext>
          </c:extLst>
        </c:ser>
        <c:dLbls>
          <c:showLegendKey val="0"/>
          <c:showVal val="0"/>
          <c:showCatName val="0"/>
          <c:showSerName val="0"/>
          <c:showPercent val="0"/>
          <c:showBubbleSize val="0"/>
        </c:dLbls>
        <c:axId val="1183161583"/>
        <c:axId val="1186992623"/>
      </c:scatterChart>
      <c:valAx>
        <c:axId val="118316158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86992623"/>
        <c:crosses val="autoZero"/>
        <c:crossBetween val="midCat"/>
      </c:valAx>
      <c:valAx>
        <c:axId val="11869926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831615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'Nonlinear Trend not adressed'!$F$38:$F$47</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'Nonlinear Trend not adressed'!$G$38:$G$47</c:f>
              <c:numCache>
                <c:formatCode>General</c:formatCode>
                <c:ptCount val="10"/>
                <c:pt idx="0">
                  <c:v>21.3</c:v>
                </c:pt>
                <c:pt idx="1">
                  <c:v>23.1</c:v>
                </c:pt>
                <c:pt idx="2">
                  <c:v>27.4</c:v>
                </c:pt>
                <c:pt idx="3">
                  <c:v>33.799999999999997</c:v>
                </c:pt>
                <c:pt idx="4">
                  <c:v>34.6</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0E46-4813-9AAD-9651FD9D5F50}"/>
            </c:ext>
          </c:extLst>
        </c:ser>
        <c:dLbls>
          <c:showLegendKey val="0"/>
          <c:showVal val="0"/>
          <c:showCatName val="0"/>
          <c:showSerName val="0"/>
          <c:showPercent val="0"/>
          <c:showBubbleSize val="0"/>
        </c:dLbls>
        <c:axId val="1183108223"/>
        <c:axId val="1186978703"/>
      </c:scatterChart>
      <c:valAx>
        <c:axId val="1183108223"/>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186978703"/>
        <c:crosses val="autoZero"/>
        <c:crossBetween val="midCat"/>
      </c:valAx>
      <c:valAx>
        <c:axId val="1186978703"/>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11831082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19050">
              <a:noFill/>
            </a:ln>
          </c:spPr>
          <c:xVal>
            <c:numRef>
              <c:f>'Nonlinear Trend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Adressed'!$C$39:$C$48</c:f>
              <c:numCache>
                <c:formatCode>General</c:formatCode>
                <c:ptCount val="10"/>
                <c:pt idx="0">
                  <c:v>0.10272727272727877</c:v>
                </c:pt>
                <c:pt idx="1">
                  <c:v>-2.356060606060602</c:v>
                </c:pt>
                <c:pt idx="2">
                  <c:v>1.2419696969697007</c:v>
                </c:pt>
                <c:pt idx="3">
                  <c:v>4.0968181818181861</c:v>
                </c:pt>
                <c:pt idx="4">
                  <c:v>-2.8915151515151578</c:v>
                </c:pt>
                <c:pt idx="5">
                  <c:v>-1.5230303030302963</c:v>
                </c:pt>
                <c:pt idx="6">
                  <c:v>4.9022727272727238</c:v>
                </c:pt>
                <c:pt idx="7">
                  <c:v>-1.9156060606060521</c:v>
                </c:pt>
                <c:pt idx="8">
                  <c:v>-5.6766666666666623</c:v>
                </c:pt>
                <c:pt idx="9">
                  <c:v>4.0190909090908917</c:v>
                </c:pt>
              </c:numCache>
            </c:numRef>
          </c:yVal>
          <c:smooth val="0"/>
          <c:extLst>
            <c:ext xmlns:c16="http://schemas.microsoft.com/office/drawing/2014/chart" uri="{C3380CC4-5D6E-409C-BE32-E72D297353CC}">
              <c16:uniqueId val="{00000001-CF83-4564-8553-0FFF610ED048}"/>
            </c:ext>
          </c:extLst>
        </c:ser>
        <c:dLbls>
          <c:showLegendKey val="0"/>
          <c:showVal val="0"/>
          <c:showCatName val="0"/>
          <c:showSerName val="0"/>
          <c:showPercent val="0"/>
          <c:showBubbleSize val="0"/>
        </c:dLbls>
        <c:axId val="918869088"/>
        <c:axId val="1183879759"/>
      </c:scatterChart>
      <c:valAx>
        <c:axId val="918869088"/>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83879759"/>
        <c:crosses val="autoZero"/>
        <c:crossBetween val="midCat"/>
      </c:valAx>
      <c:valAx>
        <c:axId val="118387975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91886908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Squared  Residual Plot</a:t>
            </a:r>
          </a:p>
        </c:rich>
      </c:tx>
      <c:overlay val="0"/>
    </c:title>
    <c:autoTitleDeleted val="0"/>
    <c:plotArea>
      <c:layout/>
      <c:scatterChart>
        <c:scatterStyle val="lineMarker"/>
        <c:varyColors val="0"/>
        <c:ser>
          <c:idx val="0"/>
          <c:order val="0"/>
          <c:spPr>
            <a:ln w="19050">
              <a:noFill/>
            </a:ln>
          </c:spPr>
          <c:xVal>
            <c:numRef>
              <c:f>'Nonlinear Trend Adressed'!$B$2:$B$11</c:f>
              <c:numCache>
                <c:formatCode>General</c:formatCode>
                <c:ptCount val="10"/>
                <c:pt idx="0">
                  <c:v>1</c:v>
                </c:pt>
                <c:pt idx="1">
                  <c:v>4</c:v>
                </c:pt>
                <c:pt idx="2">
                  <c:v>9</c:v>
                </c:pt>
                <c:pt idx="3">
                  <c:v>16</c:v>
                </c:pt>
                <c:pt idx="4">
                  <c:v>25</c:v>
                </c:pt>
                <c:pt idx="5">
                  <c:v>36</c:v>
                </c:pt>
                <c:pt idx="6">
                  <c:v>49</c:v>
                </c:pt>
                <c:pt idx="7">
                  <c:v>64</c:v>
                </c:pt>
                <c:pt idx="8">
                  <c:v>81</c:v>
                </c:pt>
                <c:pt idx="9">
                  <c:v>100</c:v>
                </c:pt>
              </c:numCache>
            </c:numRef>
          </c:xVal>
          <c:yVal>
            <c:numRef>
              <c:f>'Nonlinear Trend Adressed'!$C$39:$C$48</c:f>
              <c:numCache>
                <c:formatCode>General</c:formatCode>
                <c:ptCount val="10"/>
                <c:pt idx="0">
                  <c:v>0.10272727272727877</c:v>
                </c:pt>
                <c:pt idx="1">
                  <c:v>-2.356060606060602</c:v>
                </c:pt>
                <c:pt idx="2">
                  <c:v>1.2419696969697007</c:v>
                </c:pt>
                <c:pt idx="3">
                  <c:v>4.0968181818181861</c:v>
                </c:pt>
                <c:pt idx="4">
                  <c:v>-2.8915151515151578</c:v>
                </c:pt>
                <c:pt idx="5">
                  <c:v>-1.5230303030302963</c:v>
                </c:pt>
                <c:pt idx="6">
                  <c:v>4.9022727272727238</c:v>
                </c:pt>
                <c:pt idx="7">
                  <c:v>-1.9156060606060521</c:v>
                </c:pt>
                <c:pt idx="8">
                  <c:v>-5.6766666666666623</c:v>
                </c:pt>
                <c:pt idx="9">
                  <c:v>4.0190909090908917</c:v>
                </c:pt>
              </c:numCache>
            </c:numRef>
          </c:yVal>
          <c:smooth val="0"/>
          <c:extLst>
            <c:ext xmlns:c16="http://schemas.microsoft.com/office/drawing/2014/chart" uri="{C3380CC4-5D6E-409C-BE32-E72D297353CC}">
              <c16:uniqueId val="{00000001-4C37-420F-99AF-5CDF21BC328F}"/>
            </c:ext>
          </c:extLst>
        </c:ser>
        <c:dLbls>
          <c:showLegendKey val="0"/>
          <c:showVal val="0"/>
          <c:showCatName val="0"/>
          <c:showSerName val="0"/>
          <c:showPercent val="0"/>
          <c:showBubbleSize val="0"/>
        </c:dLbls>
        <c:axId val="1183149983"/>
        <c:axId val="1183901359"/>
      </c:scatterChart>
      <c:valAx>
        <c:axId val="1183149983"/>
        <c:scaling>
          <c:orientation val="minMax"/>
        </c:scaling>
        <c:delete val="0"/>
        <c:axPos val="b"/>
        <c:title>
          <c:tx>
            <c:rich>
              <a:bodyPr/>
              <a:lstStyle/>
              <a:p>
                <a:pPr>
                  <a:defRPr/>
                </a:pPr>
                <a:r>
                  <a:rPr lang="en-US"/>
                  <a:t>Year Squared</a:t>
                </a:r>
              </a:p>
            </c:rich>
          </c:tx>
          <c:overlay val="0"/>
        </c:title>
        <c:numFmt formatCode="General" sourceLinked="1"/>
        <c:majorTickMark val="out"/>
        <c:minorTickMark val="none"/>
        <c:tickLblPos val="nextTo"/>
        <c:crossAx val="1183901359"/>
        <c:crosses val="autoZero"/>
        <c:crossBetween val="midCat"/>
      </c:valAx>
      <c:valAx>
        <c:axId val="118390135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1831499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Revenue ($millions)</c:v>
          </c:tx>
          <c:spPr>
            <a:ln w="19050">
              <a:noFill/>
            </a:ln>
          </c:spPr>
          <c:xVal>
            <c:numRef>
              <c:f>'Nonlinear Trend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Adressed'!$C$2:$C$11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CD49-4157-95D0-E837BBFC99E3}"/>
            </c:ext>
          </c:extLst>
        </c:ser>
        <c:ser>
          <c:idx val="1"/>
          <c:order val="1"/>
          <c:tx>
            <c:v>Predicted Revenue ($millions)</c:v>
          </c:tx>
          <c:spPr>
            <a:ln w="19050">
              <a:noFill/>
            </a:ln>
          </c:spPr>
          <c:xVal>
            <c:numRef>
              <c:f>'Nonlinear Trend Adressed'!$A$2:$A$11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'Nonlinear Trend Adressed'!$B$39:$B$48</c:f>
              <c:numCache>
                <c:formatCode>General</c:formatCode>
                <c:ptCount val="10"/>
                <c:pt idx="0">
                  <c:v>22.997272727272723</c:v>
                </c:pt>
                <c:pt idx="1">
                  <c:v>23.656060606060603</c:v>
                </c:pt>
                <c:pt idx="2">
                  <c:v>26.158030303030298</c:v>
                </c:pt>
                <c:pt idx="3">
                  <c:v>30.503181818181815</c:v>
                </c:pt>
                <c:pt idx="4">
                  <c:v>36.691515151515155</c:v>
                </c:pt>
                <c:pt idx="5">
                  <c:v>44.723030303030299</c:v>
                </c:pt>
                <c:pt idx="6">
                  <c:v>54.597727272727276</c:v>
                </c:pt>
                <c:pt idx="7">
                  <c:v>66.315606060606058</c:v>
                </c:pt>
                <c:pt idx="8">
                  <c:v>79.876666666666665</c:v>
                </c:pt>
                <c:pt idx="9">
                  <c:v>95.280909090909105</c:v>
                </c:pt>
              </c:numCache>
            </c:numRef>
          </c:yVal>
          <c:smooth val="0"/>
          <c:extLst>
            <c:ext xmlns:c16="http://schemas.microsoft.com/office/drawing/2014/chart" uri="{C3380CC4-5D6E-409C-BE32-E72D297353CC}">
              <c16:uniqueId val="{00000002-CD49-4157-95D0-E837BBFC99E3}"/>
            </c:ext>
          </c:extLst>
        </c:ser>
        <c:dLbls>
          <c:showLegendKey val="0"/>
          <c:showVal val="0"/>
          <c:showCatName val="0"/>
          <c:showSerName val="0"/>
          <c:showPercent val="0"/>
          <c:showBubbleSize val="0"/>
        </c:dLbls>
        <c:axId val="1183149983"/>
        <c:axId val="1183897039"/>
      </c:scatterChart>
      <c:valAx>
        <c:axId val="118314998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1183897039"/>
        <c:crosses val="autoZero"/>
        <c:crossBetween val="midCat"/>
      </c:valAx>
      <c:valAx>
        <c:axId val="1183897039"/>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11831499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Squared Line Fit  Plot</a:t>
            </a:r>
          </a:p>
        </c:rich>
      </c:tx>
      <c:overlay val="0"/>
    </c:title>
    <c:autoTitleDeleted val="0"/>
    <c:plotArea>
      <c:layout/>
      <c:scatterChart>
        <c:scatterStyle val="lineMarker"/>
        <c:varyColors val="0"/>
        <c:ser>
          <c:idx val="0"/>
          <c:order val="0"/>
          <c:tx>
            <c:v>Revenue ($millions)</c:v>
          </c:tx>
          <c:spPr>
            <a:ln w="19050">
              <a:noFill/>
            </a:ln>
          </c:spPr>
          <c:xVal>
            <c:numRef>
              <c:f>'Nonlinear Trend Adressed'!$B$2:$B$11</c:f>
              <c:numCache>
                <c:formatCode>General</c:formatCode>
                <c:ptCount val="10"/>
                <c:pt idx="0">
                  <c:v>1</c:v>
                </c:pt>
                <c:pt idx="1">
                  <c:v>4</c:v>
                </c:pt>
                <c:pt idx="2">
                  <c:v>9</c:v>
                </c:pt>
                <c:pt idx="3">
                  <c:v>16</c:v>
                </c:pt>
                <c:pt idx="4">
                  <c:v>25</c:v>
                </c:pt>
                <c:pt idx="5">
                  <c:v>36</c:v>
                </c:pt>
                <c:pt idx="6">
                  <c:v>49</c:v>
                </c:pt>
                <c:pt idx="7">
                  <c:v>64</c:v>
                </c:pt>
                <c:pt idx="8">
                  <c:v>81</c:v>
                </c:pt>
                <c:pt idx="9">
                  <c:v>100</c:v>
                </c:pt>
              </c:numCache>
            </c:numRef>
          </c:xVal>
          <c:yVal>
            <c:numRef>
              <c:f>'Nonlinear Trend Adressed'!$C$2:$C$11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2C0B-4937-A768-FA01EE2E631F}"/>
            </c:ext>
          </c:extLst>
        </c:ser>
        <c:ser>
          <c:idx val="1"/>
          <c:order val="1"/>
          <c:tx>
            <c:v>Predicted Revenue ($millions)</c:v>
          </c:tx>
          <c:spPr>
            <a:ln w="19050">
              <a:noFill/>
            </a:ln>
          </c:spPr>
          <c:xVal>
            <c:numRef>
              <c:f>'Nonlinear Trend Adressed'!$B$2:$B$11</c:f>
              <c:numCache>
                <c:formatCode>General</c:formatCode>
                <c:ptCount val="10"/>
                <c:pt idx="0">
                  <c:v>1</c:v>
                </c:pt>
                <c:pt idx="1">
                  <c:v>4</c:v>
                </c:pt>
                <c:pt idx="2">
                  <c:v>9</c:v>
                </c:pt>
                <c:pt idx="3">
                  <c:v>16</c:v>
                </c:pt>
                <c:pt idx="4">
                  <c:v>25</c:v>
                </c:pt>
                <c:pt idx="5">
                  <c:v>36</c:v>
                </c:pt>
                <c:pt idx="6">
                  <c:v>49</c:v>
                </c:pt>
                <c:pt idx="7">
                  <c:v>64</c:v>
                </c:pt>
                <c:pt idx="8">
                  <c:v>81</c:v>
                </c:pt>
                <c:pt idx="9">
                  <c:v>100</c:v>
                </c:pt>
              </c:numCache>
            </c:numRef>
          </c:xVal>
          <c:yVal>
            <c:numRef>
              <c:f>'Nonlinear Trend Adressed'!$B$39:$B$48</c:f>
              <c:numCache>
                <c:formatCode>General</c:formatCode>
                <c:ptCount val="10"/>
                <c:pt idx="0">
                  <c:v>22.997272727272723</c:v>
                </c:pt>
                <c:pt idx="1">
                  <c:v>23.656060606060603</c:v>
                </c:pt>
                <c:pt idx="2">
                  <c:v>26.158030303030298</c:v>
                </c:pt>
                <c:pt idx="3">
                  <c:v>30.503181818181815</c:v>
                </c:pt>
                <c:pt idx="4">
                  <c:v>36.691515151515155</c:v>
                </c:pt>
                <c:pt idx="5">
                  <c:v>44.723030303030299</c:v>
                </c:pt>
                <c:pt idx="6">
                  <c:v>54.597727272727276</c:v>
                </c:pt>
                <c:pt idx="7">
                  <c:v>66.315606060606058</c:v>
                </c:pt>
                <c:pt idx="8">
                  <c:v>79.876666666666665</c:v>
                </c:pt>
                <c:pt idx="9">
                  <c:v>95.280909090909105</c:v>
                </c:pt>
              </c:numCache>
            </c:numRef>
          </c:yVal>
          <c:smooth val="0"/>
          <c:extLst>
            <c:ext xmlns:c16="http://schemas.microsoft.com/office/drawing/2014/chart" uri="{C3380CC4-5D6E-409C-BE32-E72D297353CC}">
              <c16:uniqueId val="{00000002-2C0B-4937-A768-FA01EE2E631F}"/>
            </c:ext>
          </c:extLst>
        </c:ser>
        <c:dLbls>
          <c:showLegendKey val="0"/>
          <c:showVal val="0"/>
          <c:showCatName val="0"/>
          <c:showSerName val="0"/>
          <c:showPercent val="0"/>
          <c:showBubbleSize val="0"/>
        </c:dLbls>
        <c:axId val="1183133743"/>
        <c:axId val="1183882159"/>
      </c:scatterChart>
      <c:valAx>
        <c:axId val="1183133743"/>
        <c:scaling>
          <c:orientation val="minMax"/>
        </c:scaling>
        <c:delete val="0"/>
        <c:axPos val="b"/>
        <c:title>
          <c:tx>
            <c:rich>
              <a:bodyPr/>
              <a:lstStyle/>
              <a:p>
                <a:pPr>
                  <a:defRPr/>
                </a:pPr>
                <a:r>
                  <a:rPr lang="en-US"/>
                  <a:t>Year Squared</a:t>
                </a:r>
              </a:p>
            </c:rich>
          </c:tx>
          <c:overlay val="0"/>
        </c:title>
        <c:numFmt formatCode="General" sourceLinked="1"/>
        <c:majorTickMark val="out"/>
        <c:minorTickMark val="none"/>
        <c:tickLblPos val="nextTo"/>
        <c:crossAx val="1183882159"/>
        <c:crosses val="autoZero"/>
        <c:crossBetween val="midCat"/>
      </c:valAx>
      <c:valAx>
        <c:axId val="1183882159"/>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11831337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'Nonlinear Trend Adressed'!$F$39:$F$48</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'Nonlinear Trend Adressed'!$G$39:$G$48</c:f>
              <c:numCache>
                <c:formatCode>General</c:formatCode>
                <c:ptCount val="10"/>
                <c:pt idx="0">
                  <c:v>21.3</c:v>
                </c:pt>
                <c:pt idx="1">
                  <c:v>23.1</c:v>
                </c:pt>
                <c:pt idx="2">
                  <c:v>27.4</c:v>
                </c:pt>
                <c:pt idx="3">
                  <c:v>33.799999999999997</c:v>
                </c:pt>
                <c:pt idx="4">
                  <c:v>34.6</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1-45DA-4BAB-B83A-D978B1DBF919}"/>
            </c:ext>
          </c:extLst>
        </c:ser>
        <c:dLbls>
          <c:showLegendKey val="0"/>
          <c:showVal val="0"/>
          <c:showCatName val="0"/>
          <c:showSerName val="0"/>
          <c:showPercent val="0"/>
          <c:showBubbleSize val="0"/>
        </c:dLbls>
        <c:axId val="918867232"/>
        <c:axId val="1183908559"/>
      </c:scatterChart>
      <c:valAx>
        <c:axId val="918867232"/>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183908559"/>
        <c:crosses val="autoZero"/>
        <c:crossBetween val="midCat"/>
      </c:valAx>
      <c:valAx>
        <c:axId val="1183908559"/>
        <c:scaling>
          <c:orientation val="minMax"/>
        </c:scaling>
        <c:delete val="0"/>
        <c:axPos val="l"/>
        <c:title>
          <c:tx>
            <c:rich>
              <a:bodyPr/>
              <a:lstStyle/>
              <a:p>
                <a:pPr>
                  <a:defRPr/>
                </a:pPr>
                <a:r>
                  <a:rPr lang="en-US"/>
                  <a:t>Revenue ($millions)</a:t>
                </a:r>
              </a:p>
            </c:rich>
          </c:tx>
          <c:overlay val="0"/>
        </c:title>
        <c:numFmt formatCode="General" sourceLinked="1"/>
        <c:majorTickMark val="out"/>
        <c:minorTickMark val="none"/>
        <c:tickLblPos val="nextTo"/>
        <c:crossAx val="918867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'Nonlinear Trend Adressed'!$B$39:$B$48</c:f>
              <c:numCache>
                <c:formatCode>General</c:formatCode>
                <c:ptCount val="10"/>
                <c:pt idx="0">
                  <c:v>22.997272727272723</c:v>
                </c:pt>
                <c:pt idx="1">
                  <c:v>23.656060606060603</c:v>
                </c:pt>
                <c:pt idx="2">
                  <c:v>26.158030303030298</c:v>
                </c:pt>
                <c:pt idx="3">
                  <c:v>30.503181818181815</c:v>
                </c:pt>
                <c:pt idx="4">
                  <c:v>36.691515151515155</c:v>
                </c:pt>
                <c:pt idx="5">
                  <c:v>44.723030303030299</c:v>
                </c:pt>
                <c:pt idx="6">
                  <c:v>54.597727272727276</c:v>
                </c:pt>
                <c:pt idx="7">
                  <c:v>66.315606060606058</c:v>
                </c:pt>
                <c:pt idx="8">
                  <c:v>79.876666666666665</c:v>
                </c:pt>
                <c:pt idx="9">
                  <c:v>95.280909090909105</c:v>
                </c:pt>
              </c:numCache>
            </c:numRef>
          </c:xVal>
          <c:yVal>
            <c:numRef>
              <c:f>'Nonlinear Trend Adressed'!$D$39:$D$48</c:f>
              <c:numCache>
                <c:formatCode>General</c:formatCode>
                <c:ptCount val="10"/>
                <c:pt idx="0">
                  <c:v>2.9297824796827587E-2</c:v>
                </c:pt>
                <c:pt idx="1">
                  <c:v>-0.67194863656436776</c:v>
                </c:pt>
                <c:pt idx="2">
                  <c:v>0.35420983755100638</c:v>
                </c:pt>
                <c:pt idx="3">
                  <c:v>1.1684128092645654</c:v>
                </c:pt>
                <c:pt idx="4">
                  <c:v>-0.82466030740800289</c:v>
                </c:pt>
                <c:pt idx="5">
                  <c:v>-0.43436834049807121</c:v>
                </c:pt>
                <c:pt idx="6">
                  <c:v>1.3981284974945429</c:v>
                </c:pt>
                <c:pt idx="7">
                  <c:v>-0.54633097183815305</c:v>
                </c:pt>
                <c:pt idx="8">
                  <c:v>-1.6189856988759246</c:v>
                </c:pt>
                <c:pt idx="9">
                  <c:v>1.1462449860775803</c:v>
                </c:pt>
              </c:numCache>
            </c:numRef>
          </c:yVal>
          <c:smooth val="0"/>
          <c:extLst>
            <c:ext xmlns:c16="http://schemas.microsoft.com/office/drawing/2014/chart" uri="{C3380CC4-5D6E-409C-BE32-E72D297353CC}">
              <c16:uniqueId val="{00000001-78B8-4283-BB71-9B68E2D7280E}"/>
            </c:ext>
          </c:extLst>
        </c:ser>
        <c:dLbls>
          <c:showLegendKey val="0"/>
          <c:showVal val="0"/>
          <c:showCatName val="0"/>
          <c:showSerName val="0"/>
          <c:showPercent val="0"/>
          <c:showBubbleSize val="0"/>
        </c:dLbls>
        <c:axId val="41560367"/>
        <c:axId val="1183889839"/>
      </c:scatterChart>
      <c:valAx>
        <c:axId val="4156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889839"/>
        <c:crosses val="autoZero"/>
        <c:crossBetween val="midCat"/>
      </c:valAx>
      <c:valAx>
        <c:axId val="118388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03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'Another way to adress nonlinear'!$B$1</c:f>
              <c:strCache>
                <c:ptCount val="1"/>
                <c:pt idx="0">
                  <c:v>Revenue ($millions)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0-F2FC-4C70-9635-1EBDC6132DB3}"/>
            </c:ext>
          </c:extLst>
        </c:ser>
        <c:dLbls>
          <c:showLegendKey val="0"/>
          <c:showVal val="0"/>
          <c:showCatName val="0"/>
          <c:showSerName val="0"/>
          <c:showPercent val="0"/>
          <c:showBubbleSize val="0"/>
        </c:dLbls>
        <c:axId val="57879808"/>
        <c:axId val="2123385296"/>
      </c:scatterChart>
      <c:valAx>
        <c:axId val="5787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85296"/>
        <c:crosses val="autoZero"/>
        <c:crossBetween val="midCat"/>
      </c:valAx>
      <c:valAx>
        <c:axId val="212338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79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nonlinear'!$C$37:$C$46</c:f>
              <c:numCache>
                <c:formatCode>General</c:formatCode>
                <c:ptCount val="10"/>
                <c:pt idx="0">
                  <c:v>0.15410388631482519</c:v>
                </c:pt>
                <c:pt idx="1">
                  <c:v>-9.6753881568587552E-2</c:v>
                </c:pt>
                <c:pt idx="2">
                  <c:v>-1.4650163960986617E-2</c:v>
                </c:pt>
                <c:pt idx="3">
                  <c:v>4.8928281637623083E-2</c:v>
                </c:pt>
                <c:pt idx="4">
                  <c:v>-0.14419682100812725</c:v>
                </c:pt>
                <c:pt idx="5">
                  <c:v>-6.8549351318079488E-2</c:v>
                </c:pt>
                <c:pt idx="6">
                  <c:v>8.1854242912394959E-2</c:v>
                </c:pt>
                <c:pt idx="7">
                  <c:v>-8.7406595999253156E-3</c:v>
                </c:pt>
                <c:pt idx="8">
                  <c:v>-3.6822365607942942E-2</c:v>
                </c:pt>
                <c:pt idx="9">
                  <c:v>8.4826832198804603E-2</c:v>
                </c:pt>
              </c:numCache>
            </c:numRef>
          </c:yVal>
          <c:smooth val="0"/>
          <c:extLst>
            <c:ext xmlns:c16="http://schemas.microsoft.com/office/drawing/2014/chart" uri="{C3380CC4-5D6E-409C-BE32-E72D297353CC}">
              <c16:uniqueId val="{00000001-DB76-460A-A834-9AA729792FD6}"/>
            </c:ext>
          </c:extLst>
        </c:ser>
        <c:dLbls>
          <c:showLegendKey val="0"/>
          <c:showVal val="0"/>
          <c:showCatName val="0"/>
          <c:showSerName val="0"/>
          <c:showPercent val="0"/>
          <c:showBubbleSize val="0"/>
        </c:dLbls>
        <c:axId val="34275439"/>
        <c:axId val="2123374256"/>
      </c:scatterChart>
      <c:valAx>
        <c:axId val="34275439"/>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2123374256"/>
        <c:crosses val="autoZero"/>
        <c:crossBetween val="midCat"/>
      </c:valAx>
      <c:valAx>
        <c:axId val="2123374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427543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'Another way to adress nonlinear'!$F$37:$F$46</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'Another way to adress nonlinear'!$G$37:$G$46</c:f>
              <c:numCache>
                <c:formatCode>General</c:formatCode>
                <c:ptCount val="10"/>
                <c:pt idx="0">
                  <c:v>3.0587070727153796</c:v>
                </c:pt>
                <c:pt idx="1">
                  <c:v>3.1398326175277478</c:v>
                </c:pt>
                <c:pt idx="2">
                  <c:v>3.3105430133940246</c:v>
                </c:pt>
                <c:pt idx="3">
                  <c:v>3.520460802488973</c:v>
                </c:pt>
                <c:pt idx="4">
                  <c:v>3.5438536820636788</c:v>
                </c:pt>
                <c:pt idx="5">
                  <c:v>3.7658404952500648</c:v>
                </c:pt>
                <c:pt idx="6">
                  <c:v>4.0859763125515842</c:v>
                </c:pt>
                <c:pt idx="7">
                  <c:v>4.165113633110308</c:v>
                </c:pt>
                <c:pt idx="8">
                  <c:v>4.3067641501733345</c:v>
                </c:pt>
                <c:pt idx="9">
                  <c:v>4.598145571051127</c:v>
                </c:pt>
              </c:numCache>
            </c:numRef>
          </c:yVal>
          <c:smooth val="0"/>
          <c:extLst>
            <c:ext xmlns:c16="http://schemas.microsoft.com/office/drawing/2014/chart" uri="{C3380CC4-5D6E-409C-BE32-E72D297353CC}">
              <c16:uniqueId val="{00000001-657C-4D6A-B2E9-374678327249}"/>
            </c:ext>
          </c:extLst>
        </c:ser>
        <c:dLbls>
          <c:showLegendKey val="0"/>
          <c:showVal val="0"/>
          <c:showCatName val="0"/>
          <c:showSerName val="0"/>
          <c:showPercent val="0"/>
          <c:showBubbleSize val="0"/>
        </c:dLbls>
        <c:axId val="57921104"/>
        <c:axId val="2123360336"/>
      </c:scatterChart>
      <c:valAx>
        <c:axId val="57921104"/>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123360336"/>
        <c:crosses val="autoZero"/>
        <c:crossBetween val="midCat"/>
      </c:valAx>
      <c:valAx>
        <c:axId val="2123360336"/>
        <c:scaling>
          <c:orientation val="minMax"/>
        </c:scaling>
        <c:delete val="0"/>
        <c:axPos val="l"/>
        <c:title>
          <c:tx>
            <c:rich>
              <a:bodyPr/>
              <a:lstStyle/>
              <a:p>
                <a:pPr>
                  <a:defRPr/>
                </a:pPr>
                <a:r>
                  <a:rPr lang="en-US"/>
                  <a:t>Ln (observed values)</a:t>
                </a:r>
              </a:p>
            </c:rich>
          </c:tx>
          <c:overlay val="0"/>
        </c:title>
        <c:numFmt formatCode="General" sourceLinked="1"/>
        <c:majorTickMark val="out"/>
        <c:minorTickMark val="none"/>
        <c:tickLblPos val="nextTo"/>
        <c:crossAx val="5792110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Residual Plot</a:t>
            </a:r>
          </a:p>
        </c:rich>
      </c:tx>
      <c:overlay val="0"/>
    </c:title>
    <c:autoTitleDeleted val="0"/>
    <c:plotArea>
      <c:layout/>
      <c:scatterChart>
        <c:scatterStyle val="lineMarker"/>
        <c:varyColors val="0"/>
        <c:ser>
          <c:idx val="0"/>
          <c:order val="0"/>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nonlinear'!$C$37:$C$46</c:f>
              <c:numCache>
                <c:formatCode>General</c:formatCode>
                <c:ptCount val="10"/>
                <c:pt idx="0">
                  <c:v>0.15410388631482519</c:v>
                </c:pt>
                <c:pt idx="1">
                  <c:v>-9.6753881568587552E-2</c:v>
                </c:pt>
                <c:pt idx="2">
                  <c:v>-1.4650163960986617E-2</c:v>
                </c:pt>
                <c:pt idx="3">
                  <c:v>4.8928281637623083E-2</c:v>
                </c:pt>
                <c:pt idx="4">
                  <c:v>-0.14419682100812725</c:v>
                </c:pt>
                <c:pt idx="5">
                  <c:v>-6.8549351318079488E-2</c:v>
                </c:pt>
                <c:pt idx="6">
                  <c:v>8.1854242912394959E-2</c:v>
                </c:pt>
                <c:pt idx="7">
                  <c:v>-8.7406595999253156E-3</c:v>
                </c:pt>
                <c:pt idx="8">
                  <c:v>-3.6822365607942942E-2</c:v>
                </c:pt>
                <c:pt idx="9">
                  <c:v>8.4826832198804603E-2</c:v>
                </c:pt>
              </c:numCache>
            </c:numRef>
          </c:yVal>
          <c:smooth val="0"/>
          <c:extLst>
            <c:ext xmlns:c16="http://schemas.microsoft.com/office/drawing/2014/chart" uri="{C3380CC4-5D6E-409C-BE32-E72D297353CC}">
              <c16:uniqueId val="{00000001-5C7E-493D-85A0-9B505F976083}"/>
            </c:ext>
          </c:extLst>
        </c:ser>
        <c:dLbls>
          <c:showLegendKey val="0"/>
          <c:showVal val="0"/>
          <c:showCatName val="0"/>
          <c:showSerName val="0"/>
          <c:showPercent val="0"/>
          <c:showBubbleSize val="0"/>
        </c:dLbls>
        <c:axId val="34292143"/>
        <c:axId val="56676848"/>
      </c:scatterChart>
      <c:valAx>
        <c:axId val="3429214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56676848"/>
        <c:crosses val="autoZero"/>
        <c:crossBetween val="midCat"/>
      </c:valAx>
      <c:valAx>
        <c:axId val="566768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3429214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Year Line Fit  Plot</a:t>
            </a:r>
          </a:p>
        </c:rich>
      </c:tx>
      <c:overlay val="0"/>
    </c:title>
    <c:autoTitleDeleted val="0"/>
    <c:plotArea>
      <c:layout/>
      <c:scatterChart>
        <c:scatterStyle val="lineMarker"/>
        <c:varyColors val="0"/>
        <c:ser>
          <c:idx val="0"/>
          <c:order val="0"/>
          <c:tx>
            <c:v>Ln (observed values)</c:v>
          </c:tx>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nonlinear'!$C$2:$C$11</c:f>
              <c:numCache>
                <c:formatCode>General</c:formatCode>
                <c:ptCount val="10"/>
                <c:pt idx="0">
                  <c:v>3.1398326175277478</c:v>
                </c:pt>
                <c:pt idx="1">
                  <c:v>3.0587070727153796</c:v>
                </c:pt>
                <c:pt idx="2">
                  <c:v>3.3105430133940246</c:v>
                </c:pt>
                <c:pt idx="3">
                  <c:v>3.5438536820636788</c:v>
                </c:pt>
                <c:pt idx="4">
                  <c:v>3.520460802488973</c:v>
                </c:pt>
                <c:pt idx="5">
                  <c:v>3.7658404952500648</c:v>
                </c:pt>
                <c:pt idx="6">
                  <c:v>4.0859763125515842</c:v>
                </c:pt>
                <c:pt idx="7">
                  <c:v>4.165113633110308</c:v>
                </c:pt>
                <c:pt idx="8">
                  <c:v>4.3067641501733345</c:v>
                </c:pt>
                <c:pt idx="9">
                  <c:v>4.598145571051127</c:v>
                </c:pt>
              </c:numCache>
            </c:numRef>
          </c:yVal>
          <c:smooth val="0"/>
          <c:extLst>
            <c:ext xmlns:c16="http://schemas.microsoft.com/office/drawing/2014/chart" uri="{C3380CC4-5D6E-409C-BE32-E72D297353CC}">
              <c16:uniqueId val="{00000001-93FC-4613-8942-D9E68E5B67E2}"/>
            </c:ext>
          </c:extLst>
        </c:ser>
        <c:ser>
          <c:idx val="1"/>
          <c:order val="1"/>
          <c:tx>
            <c:v>Predicted Ln (observed values)</c:v>
          </c:tx>
          <c:spPr>
            <a:ln w="19050">
              <a:noFill/>
            </a:ln>
          </c:spP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nonlinear'!$B$37:$B$46</c:f>
              <c:numCache>
                <c:formatCode>General</c:formatCode>
                <c:ptCount val="10"/>
                <c:pt idx="0">
                  <c:v>2.9857287312129226</c:v>
                </c:pt>
                <c:pt idx="1">
                  <c:v>3.1554609542839671</c:v>
                </c:pt>
                <c:pt idx="2">
                  <c:v>3.3251931773550112</c:v>
                </c:pt>
                <c:pt idx="3">
                  <c:v>3.4949254004260557</c:v>
                </c:pt>
                <c:pt idx="4">
                  <c:v>3.6646576234971002</c:v>
                </c:pt>
                <c:pt idx="5">
                  <c:v>3.8343898465681443</c:v>
                </c:pt>
                <c:pt idx="6">
                  <c:v>4.0041220696391893</c:v>
                </c:pt>
                <c:pt idx="7">
                  <c:v>4.1738542927102333</c:v>
                </c:pt>
                <c:pt idx="8">
                  <c:v>4.3435865157812774</c:v>
                </c:pt>
                <c:pt idx="9">
                  <c:v>4.5133187388523224</c:v>
                </c:pt>
              </c:numCache>
            </c:numRef>
          </c:yVal>
          <c:smooth val="0"/>
          <c:extLst>
            <c:ext xmlns:c16="http://schemas.microsoft.com/office/drawing/2014/chart" uri="{C3380CC4-5D6E-409C-BE32-E72D297353CC}">
              <c16:uniqueId val="{00000002-93FC-4613-8942-D9E68E5B67E2}"/>
            </c:ext>
          </c:extLst>
        </c:ser>
        <c:dLbls>
          <c:showLegendKey val="0"/>
          <c:showVal val="0"/>
          <c:showCatName val="0"/>
          <c:showSerName val="0"/>
          <c:showPercent val="0"/>
          <c:showBubbleSize val="0"/>
        </c:dLbls>
        <c:axId val="34285183"/>
        <c:axId val="56658608"/>
      </c:scatterChart>
      <c:valAx>
        <c:axId val="34285183"/>
        <c:scaling>
          <c:orientation val="minMax"/>
        </c:scaling>
        <c:delete val="0"/>
        <c:axPos val="b"/>
        <c:title>
          <c:tx>
            <c:rich>
              <a:bodyPr/>
              <a:lstStyle/>
              <a:p>
                <a:pPr>
                  <a:defRPr/>
                </a:pPr>
                <a:r>
                  <a:rPr lang="en-US"/>
                  <a:t>Year</a:t>
                </a:r>
              </a:p>
            </c:rich>
          </c:tx>
          <c:overlay val="0"/>
        </c:title>
        <c:numFmt formatCode="General" sourceLinked="1"/>
        <c:majorTickMark val="out"/>
        <c:minorTickMark val="none"/>
        <c:tickLblPos val="nextTo"/>
        <c:crossAx val="56658608"/>
        <c:crosses val="autoZero"/>
        <c:crossBetween val="midCat"/>
      </c:valAx>
      <c:valAx>
        <c:axId val="56658608"/>
        <c:scaling>
          <c:orientation val="minMax"/>
        </c:scaling>
        <c:delete val="0"/>
        <c:axPos val="l"/>
        <c:title>
          <c:tx>
            <c:rich>
              <a:bodyPr/>
              <a:lstStyle/>
              <a:p>
                <a:pPr>
                  <a:defRPr/>
                </a:pPr>
                <a:r>
                  <a:rPr lang="en-US"/>
                  <a:t>Ln (observed values)</a:t>
                </a:r>
              </a:p>
            </c:rich>
          </c:tx>
          <c:overlay val="0"/>
        </c:title>
        <c:numFmt formatCode="General" sourceLinked="1"/>
        <c:majorTickMark val="out"/>
        <c:minorTickMark val="none"/>
        <c:tickLblPos val="nextTo"/>
        <c:crossAx val="3428518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a:noFill/>
            </a:ln>
          </c:spPr>
          <c:xVal>
            <c:numRef>
              <c:f>'Another way to adress nonlinear'!$F$37:$F$46</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'Another way to adress nonlinear'!$G$37:$G$46</c:f>
              <c:numCache>
                <c:formatCode>General</c:formatCode>
                <c:ptCount val="10"/>
                <c:pt idx="0">
                  <c:v>3.0587070727153796</c:v>
                </c:pt>
                <c:pt idx="1">
                  <c:v>3.1398326175277478</c:v>
                </c:pt>
                <c:pt idx="2">
                  <c:v>3.3105430133940246</c:v>
                </c:pt>
                <c:pt idx="3">
                  <c:v>3.520460802488973</c:v>
                </c:pt>
                <c:pt idx="4">
                  <c:v>3.5438536820636788</c:v>
                </c:pt>
                <c:pt idx="5">
                  <c:v>3.7658404952500648</c:v>
                </c:pt>
                <c:pt idx="6">
                  <c:v>4.0859763125515842</c:v>
                </c:pt>
                <c:pt idx="7">
                  <c:v>4.165113633110308</c:v>
                </c:pt>
                <c:pt idx="8">
                  <c:v>4.3067641501733345</c:v>
                </c:pt>
                <c:pt idx="9">
                  <c:v>4.598145571051127</c:v>
                </c:pt>
              </c:numCache>
            </c:numRef>
          </c:yVal>
          <c:smooth val="0"/>
          <c:extLst>
            <c:ext xmlns:c16="http://schemas.microsoft.com/office/drawing/2014/chart" uri="{C3380CC4-5D6E-409C-BE32-E72D297353CC}">
              <c16:uniqueId val="{00000001-A8C6-40D6-B0FE-4251121072FA}"/>
            </c:ext>
          </c:extLst>
        </c:ser>
        <c:dLbls>
          <c:showLegendKey val="0"/>
          <c:showVal val="0"/>
          <c:showCatName val="0"/>
          <c:showSerName val="0"/>
          <c:showPercent val="0"/>
          <c:showBubbleSize val="0"/>
        </c:dLbls>
        <c:axId val="34282399"/>
        <c:axId val="2123388176"/>
      </c:scatterChart>
      <c:valAx>
        <c:axId val="34282399"/>
        <c:scaling>
          <c:orientation val="minMax"/>
        </c:scaling>
        <c:delete val="0"/>
        <c:axPos val="b"/>
        <c:numFmt formatCode="General" sourceLinked="1"/>
        <c:majorTickMark val="out"/>
        <c:minorTickMark val="none"/>
        <c:tickLblPos val="nextTo"/>
        <c:crossAx val="2123388176"/>
        <c:crosses val="autoZero"/>
        <c:crossBetween val="midCat"/>
      </c:valAx>
      <c:valAx>
        <c:axId val="2123388176"/>
        <c:scaling>
          <c:orientation val="minMax"/>
        </c:scaling>
        <c:delete val="0"/>
        <c:axPos val="l"/>
        <c:numFmt formatCode="General" sourceLinked="1"/>
        <c:majorTickMark val="out"/>
        <c:minorTickMark val="none"/>
        <c:tickLblPos val="nextTo"/>
        <c:crossAx val="34282399"/>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 Fit</a:t>
            </a:r>
            <a:r>
              <a:rPr lang="en-US" baseline="0"/>
              <a:t> plot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rgbClr val="00B050"/>
              </a:solidFill>
              <a:round/>
            </a:ln>
            <a:effectLst/>
          </c:spPr>
          <c:marker>
            <c:symbol val="circle"/>
            <c:size val="5"/>
            <c:spPr>
              <a:solidFill>
                <a:srgbClr val="00B050"/>
              </a:solidFill>
              <a:ln w="9525">
                <a:solidFill>
                  <a:srgbClr val="00B050"/>
                </a:solidFill>
              </a:ln>
              <a:effectLst/>
            </c:spPr>
          </c:marke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nonlinear'!$B$2:$B$11</c:f>
              <c:numCache>
                <c:formatCode>General</c:formatCode>
                <c:ptCount val="10"/>
                <c:pt idx="0">
                  <c:v>23.1</c:v>
                </c:pt>
                <c:pt idx="1">
                  <c:v>21.3</c:v>
                </c:pt>
                <c:pt idx="2">
                  <c:v>27.4</c:v>
                </c:pt>
                <c:pt idx="3">
                  <c:v>34.6</c:v>
                </c:pt>
                <c:pt idx="4">
                  <c:v>33.799999999999997</c:v>
                </c:pt>
                <c:pt idx="5">
                  <c:v>43.2</c:v>
                </c:pt>
                <c:pt idx="6">
                  <c:v>59.5</c:v>
                </c:pt>
                <c:pt idx="7">
                  <c:v>64.400000000000006</c:v>
                </c:pt>
                <c:pt idx="8">
                  <c:v>74.2</c:v>
                </c:pt>
                <c:pt idx="9">
                  <c:v>99.3</c:v>
                </c:pt>
              </c:numCache>
            </c:numRef>
          </c:yVal>
          <c:smooth val="0"/>
          <c:extLst>
            <c:ext xmlns:c16="http://schemas.microsoft.com/office/drawing/2014/chart" uri="{C3380CC4-5D6E-409C-BE32-E72D297353CC}">
              <c16:uniqueId val="{00000000-B453-4398-AC84-66330B790B8D}"/>
            </c:ext>
          </c:extLst>
        </c:ser>
        <c:ser>
          <c:idx val="1"/>
          <c:order val="1"/>
          <c:spPr>
            <a:ln w="25400" cap="rnd">
              <a:solidFill>
                <a:srgbClr val="FFC000">
                  <a:alpha val="30000"/>
                </a:srgbClr>
              </a:solidFill>
              <a:round/>
            </a:ln>
            <a:effectLst/>
          </c:spPr>
          <c:marker>
            <c:symbol val="circle"/>
            <c:size val="5"/>
            <c:spPr>
              <a:solidFill>
                <a:schemeClr val="accent2"/>
              </a:solidFill>
              <a:ln w="9525">
                <a:solidFill>
                  <a:schemeClr val="accent2"/>
                </a:solidFill>
              </a:ln>
              <a:effectLst/>
            </c:spPr>
          </c:marker>
          <c:xVal>
            <c:numRef>
              <c:f>'Another way to adress nonlinear'!$A$2:$A$11</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'Another way to adress nonlinear'!$E$2:$E$11</c:f>
              <c:numCache>
                <c:formatCode>General</c:formatCode>
                <c:ptCount val="10"/>
                <c:pt idx="0">
                  <c:v>19.800926533223823</c:v>
                </c:pt>
                <c:pt idx="1">
                  <c:v>23.463850361370511</c:v>
                </c:pt>
                <c:pt idx="2">
                  <c:v>27.804369298427247</c:v>
                </c:pt>
                <c:pt idx="3">
                  <c:v>32.947829967245454</c:v>
                </c:pt>
                <c:pt idx="4">
                  <c:v>39.042766548634582</c:v>
                </c:pt>
                <c:pt idx="5">
                  <c:v>46.265190189659648</c:v>
                </c:pt>
                <c:pt idx="6">
                  <c:v>54.823671898840857</c:v>
                </c:pt>
                <c:pt idx="7">
                  <c:v>64.965365713410918</c:v>
                </c:pt>
                <c:pt idx="8">
                  <c:v>76.983146077205035</c:v>
                </c:pt>
                <c:pt idx="9">
                  <c:v>91.22406554421805</c:v>
                </c:pt>
              </c:numCache>
            </c:numRef>
          </c:yVal>
          <c:smooth val="0"/>
          <c:extLst>
            <c:ext xmlns:c16="http://schemas.microsoft.com/office/drawing/2014/chart" uri="{C3380CC4-5D6E-409C-BE32-E72D297353CC}">
              <c16:uniqueId val="{00000002-B453-4398-AC84-66330B790B8D}"/>
            </c:ext>
          </c:extLst>
        </c:ser>
        <c:dLbls>
          <c:showLegendKey val="0"/>
          <c:showVal val="0"/>
          <c:showCatName val="0"/>
          <c:showSerName val="0"/>
          <c:showPercent val="0"/>
          <c:showBubbleSize val="0"/>
        </c:dLbls>
        <c:axId val="1404565104"/>
        <c:axId val="1019637536"/>
      </c:scatterChart>
      <c:valAx>
        <c:axId val="140456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37536"/>
        <c:crosses val="autoZero"/>
        <c:crossBetween val="midCat"/>
      </c:valAx>
      <c:valAx>
        <c:axId val="10196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5651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'Another way to adress nonlinear'!$B$37:$B$46</c:f>
              <c:numCache>
                <c:formatCode>General</c:formatCode>
                <c:ptCount val="10"/>
                <c:pt idx="0">
                  <c:v>2.9857287312129226</c:v>
                </c:pt>
                <c:pt idx="1">
                  <c:v>3.1554609542839671</c:v>
                </c:pt>
                <c:pt idx="2">
                  <c:v>3.3251931773550112</c:v>
                </c:pt>
                <c:pt idx="3">
                  <c:v>3.4949254004260557</c:v>
                </c:pt>
                <c:pt idx="4">
                  <c:v>3.6646576234971002</c:v>
                </c:pt>
                <c:pt idx="5">
                  <c:v>3.8343898465681443</c:v>
                </c:pt>
                <c:pt idx="6">
                  <c:v>4.0041220696391893</c:v>
                </c:pt>
                <c:pt idx="7">
                  <c:v>4.1738542927102333</c:v>
                </c:pt>
                <c:pt idx="8">
                  <c:v>4.3435865157812774</c:v>
                </c:pt>
                <c:pt idx="9">
                  <c:v>4.5133187388523224</c:v>
                </c:pt>
              </c:numCache>
            </c:numRef>
          </c:xVal>
          <c:yVal>
            <c:numRef>
              <c:f>'Another way to adress nonlinear'!$D$37:$D$46</c:f>
              <c:numCache>
                <c:formatCode>General</c:formatCode>
                <c:ptCount val="10"/>
                <c:pt idx="0">
                  <c:v>1.6710800937511083</c:v>
                </c:pt>
                <c:pt idx="1">
                  <c:v>-1.0491849968800206</c:v>
                </c:pt>
                <c:pt idx="2">
                  <c:v>-0.15886424379577396</c:v>
                </c:pt>
                <c:pt idx="3">
                  <c:v>0.53057115833563506</c:v>
                </c:pt>
                <c:pt idx="4">
                  <c:v>-1.563649320800365</c:v>
                </c:pt>
                <c:pt idx="5">
                  <c:v>-0.74333917960493245</c:v>
                </c:pt>
                <c:pt idx="6">
                  <c:v>0.88761548583224725</c:v>
                </c:pt>
                <c:pt idx="7">
                  <c:v>-9.4782439385401498E-2</c:v>
                </c:pt>
                <c:pt idx="8">
                  <c:v>-0.39929636846763439</c:v>
                </c:pt>
                <c:pt idx="9">
                  <c:v>0.91984981101512286</c:v>
                </c:pt>
              </c:numCache>
            </c:numRef>
          </c:yVal>
          <c:smooth val="0"/>
          <c:extLst>
            <c:ext xmlns:c16="http://schemas.microsoft.com/office/drawing/2014/chart" uri="{C3380CC4-5D6E-409C-BE32-E72D297353CC}">
              <c16:uniqueId val="{00000000-7085-4B13-B607-50E925F39A6D}"/>
            </c:ext>
          </c:extLst>
        </c:ser>
        <c:dLbls>
          <c:showLegendKey val="0"/>
          <c:showVal val="0"/>
          <c:showCatName val="0"/>
          <c:showSerName val="0"/>
          <c:showPercent val="0"/>
          <c:showBubbleSize val="0"/>
        </c:dLbls>
        <c:axId val="1509806272"/>
        <c:axId val="1410548752"/>
      </c:scatterChart>
      <c:valAx>
        <c:axId val="1509806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48752"/>
        <c:crosses val="autoZero"/>
        <c:crossBetween val="midCat"/>
      </c:valAx>
      <c:valAx>
        <c:axId val="141054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062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lt1">
                  <a:shade val="50000"/>
                </a:schemeClr>
              </a:solidFill>
              <a:round/>
            </a:ln>
            <a:effectLst/>
          </c:spPr>
          <c:marker>
            <c:symbol val="circle"/>
            <c:size val="5"/>
            <c:spPr>
              <a:solidFill>
                <a:schemeClr val="accent1"/>
              </a:solidFill>
              <a:ln w="9525">
                <a:solidFill>
                  <a:schemeClr val="accent1"/>
                </a:solidFill>
              </a:ln>
              <a:effectLst/>
            </c:spPr>
          </c:marker>
          <c:yVal>
            <c:numRef>
              <c:f>'18.17 Seasonality not adressed'!$C$2:$C$21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FE1E-4300-B2E2-D6FCA8939F0A}"/>
            </c:ext>
          </c:extLst>
        </c:ser>
        <c:dLbls>
          <c:showLegendKey val="0"/>
          <c:showVal val="0"/>
          <c:showCatName val="0"/>
          <c:showSerName val="0"/>
          <c:showPercent val="0"/>
          <c:showBubbleSize val="0"/>
        </c:dLbls>
        <c:axId val="1509800240"/>
        <c:axId val="1410539632"/>
      </c:scatterChart>
      <c:valAx>
        <c:axId val="15098002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39632"/>
        <c:crosses val="autoZero"/>
        <c:crossBetween val="midCat"/>
      </c:valAx>
      <c:valAx>
        <c:axId val="141053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8002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Residual Plot</a:t>
            </a:r>
          </a:p>
        </c:rich>
      </c:tx>
      <c:overlay val="0"/>
    </c:title>
    <c:autoTitleDeleted val="0"/>
    <c:plotArea>
      <c:layout/>
      <c:scatterChart>
        <c:scatterStyle val="lineMarker"/>
        <c:varyColors val="0"/>
        <c:ser>
          <c:idx val="0"/>
          <c:order val="0"/>
          <c:spPr>
            <a:ln w="19050">
              <a:noFill/>
            </a:ln>
          </c:spPr>
          <c:xVal>
            <c:numRef>
              <c:f>'Seasonality Adressed'!$C$2:$C$21</c:f>
              <c:numCache>
                <c:formatCode>General</c:formatCode>
                <c:ptCount val="20"/>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pt idx="16">
                  <c:v>1</c:v>
                </c:pt>
                <c:pt idx="17">
                  <c:v>0</c:v>
                </c:pt>
                <c:pt idx="18">
                  <c:v>0</c:v>
                </c:pt>
                <c:pt idx="19">
                  <c:v>0</c:v>
                </c:pt>
              </c:numCache>
            </c:numRef>
          </c:xVal>
          <c:yVal>
            <c:numRef>
              <c:f>'Seasonality Adressed'!$E$50:$E$69</c:f>
              <c:numCache>
                <c:formatCode>General</c:formatCode>
                <c:ptCount val="20"/>
                <c:pt idx="0">
                  <c:v>1</c:v>
                </c:pt>
                <c:pt idx="1">
                  <c:v>1.0000000000000284</c:v>
                </c:pt>
                <c:pt idx="2">
                  <c:v>-15</c:v>
                </c:pt>
                <c:pt idx="3">
                  <c:v>-7</c:v>
                </c:pt>
                <c:pt idx="4">
                  <c:v>-6</c:v>
                </c:pt>
                <c:pt idx="5">
                  <c:v>9.0000000000000284</c:v>
                </c:pt>
                <c:pt idx="6">
                  <c:v>12</c:v>
                </c:pt>
                <c:pt idx="7">
                  <c:v>7</c:v>
                </c:pt>
                <c:pt idx="8">
                  <c:v>14</c:v>
                </c:pt>
                <c:pt idx="9">
                  <c:v>-7.9999999999999716</c:v>
                </c:pt>
                <c:pt idx="10">
                  <c:v>-8</c:v>
                </c:pt>
                <c:pt idx="11">
                  <c:v>-15</c:v>
                </c:pt>
                <c:pt idx="12">
                  <c:v>-15</c:v>
                </c:pt>
                <c:pt idx="13">
                  <c:v>-14.999999999999972</c:v>
                </c:pt>
                <c:pt idx="14">
                  <c:v>4</c:v>
                </c:pt>
                <c:pt idx="15">
                  <c:v>14</c:v>
                </c:pt>
                <c:pt idx="16">
                  <c:v>6</c:v>
                </c:pt>
                <c:pt idx="17">
                  <c:v>13.000000000000028</c:v>
                </c:pt>
                <c:pt idx="18">
                  <c:v>7</c:v>
                </c:pt>
                <c:pt idx="19">
                  <c:v>1</c:v>
                </c:pt>
              </c:numCache>
            </c:numRef>
          </c:yVal>
          <c:smooth val="0"/>
          <c:extLst>
            <c:ext xmlns:c16="http://schemas.microsoft.com/office/drawing/2014/chart" uri="{C3380CC4-5D6E-409C-BE32-E72D297353CC}">
              <c16:uniqueId val="{00000001-4333-4400-A99D-5AACA492A84F}"/>
            </c:ext>
          </c:extLst>
        </c:ser>
        <c:dLbls>
          <c:showLegendKey val="0"/>
          <c:showVal val="0"/>
          <c:showCatName val="0"/>
          <c:showSerName val="0"/>
          <c:showPercent val="0"/>
          <c:showBubbleSize val="0"/>
        </c:dLbls>
        <c:axId val="1602031760"/>
        <c:axId val="1410562672"/>
      </c:scatterChart>
      <c:valAx>
        <c:axId val="1602031760"/>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410562672"/>
        <c:crosses val="autoZero"/>
        <c:crossBetween val="midCat"/>
      </c:valAx>
      <c:valAx>
        <c:axId val="141056267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0203176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Residual Plot</a:t>
            </a:r>
          </a:p>
        </c:rich>
      </c:tx>
      <c:overlay val="0"/>
    </c:title>
    <c:autoTitleDeleted val="0"/>
    <c:plotArea>
      <c:layout/>
      <c:scatterChart>
        <c:scatterStyle val="lineMarker"/>
        <c:varyColors val="0"/>
        <c:ser>
          <c:idx val="0"/>
          <c:order val="0"/>
          <c:spPr>
            <a:ln w="19050">
              <a:noFill/>
            </a:ln>
          </c:spPr>
          <c:xVal>
            <c:numRef>
              <c:f>'Seasonality Adressed'!$D$2:$D$21</c:f>
              <c:numCache>
                <c:formatCode>General</c:formatCode>
                <c:ptCount val="20"/>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1</c:v>
                </c:pt>
                <c:pt idx="18">
                  <c:v>0</c:v>
                </c:pt>
                <c:pt idx="19">
                  <c:v>0</c:v>
                </c:pt>
              </c:numCache>
            </c:numRef>
          </c:xVal>
          <c:yVal>
            <c:numRef>
              <c:f>'Seasonality Adressed'!$E$50:$E$69</c:f>
              <c:numCache>
                <c:formatCode>General</c:formatCode>
                <c:ptCount val="20"/>
                <c:pt idx="0">
                  <c:v>1</c:v>
                </c:pt>
                <c:pt idx="1">
                  <c:v>1.0000000000000284</c:v>
                </c:pt>
                <c:pt idx="2">
                  <c:v>-15</c:v>
                </c:pt>
                <c:pt idx="3">
                  <c:v>-7</c:v>
                </c:pt>
                <c:pt idx="4">
                  <c:v>-6</c:v>
                </c:pt>
                <c:pt idx="5">
                  <c:v>9.0000000000000284</c:v>
                </c:pt>
                <c:pt idx="6">
                  <c:v>12</c:v>
                </c:pt>
                <c:pt idx="7">
                  <c:v>7</c:v>
                </c:pt>
                <c:pt idx="8">
                  <c:v>14</c:v>
                </c:pt>
                <c:pt idx="9">
                  <c:v>-7.9999999999999716</c:v>
                </c:pt>
                <c:pt idx="10">
                  <c:v>-8</c:v>
                </c:pt>
                <c:pt idx="11">
                  <c:v>-15</c:v>
                </c:pt>
                <c:pt idx="12">
                  <c:v>-15</c:v>
                </c:pt>
                <c:pt idx="13">
                  <c:v>-14.999999999999972</c:v>
                </c:pt>
                <c:pt idx="14">
                  <c:v>4</c:v>
                </c:pt>
                <c:pt idx="15">
                  <c:v>14</c:v>
                </c:pt>
                <c:pt idx="16">
                  <c:v>6</c:v>
                </c:pt>
                <c:pt idx="17">
                  <c:v>13.000000000000028</c:v>
                </c:pt>
                <c:pt idx="18">
                  <c:v>7</c:v>
                </c:pt>
                <c:pt idx="19">
                  <c:v>1</c:v>
                </c:pt>
              </c:numCache>
            </c:numRef>
          </c:yVal>
          <c:smooth val="0"/>
          <c:extLst>
            <c:ext xmlns:c16="http://schemas.microsoft.com/office/drawing/2014/chart" uri="{C3380CC4-5D6E-409C-BE32-E72D297353CC}">
              <c16:uniqueId val="{00000001-A001-4804-83AA-1D178E0866E3}"/>
            </c:ext>
          </c:extLst>
        </c:ser>
        <c:dLbls>
          <c:showLegendKey val="0"/>
          <c:showVal val="0"/>
          <c:showCatName val="0"/>
          <c:showSerName val="0"/>
          <c:showPercent val="0"/>
          <c:showBubbleSize val="0"/>
        </c:dLbls>
        <c:axId val="1602035472"/>
        <c:axId val="1410550192"/>
      </c:scatterChart>
      <c:valAx>
        <c:axId val="1602035472"/>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410550192"/>
        <c:crosses val="autoZero"/>
        <c:crossBetween val="midCat"/>
      </c:valAx>
      <c:valAx>
        <c:axId val="141055019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0203547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Residual Plot</a:t>
            </a:r>
          </a:p>
        </c:rich>
      </c:tx>
      <c:overlay val="0"/>
    </c:title>
    <c:autoTitleDeleted val="0"/>
    <c:plotArea>
      <c:layout/>
      <c:scatterChart>
        <c:scatterStyle val="lineMarker"/>
        <c:varyColors val="0"/>
        <c:ser>
          <c:idx val="0"/>
          <c:order val="0"/>
          <c:spPr>
            <a:ln w="19050">
              <a:noFill/>
            </a:ln>
          </c:spPr>
          <c:xVal>
            <c:numRef>
              <c:f>'Seasonality Adressed'!$E$2:$E$21</c:f>
              <c:numCache>
                <c:formatCode>General</c:formatCode>
                <c:ptCount val="20"/>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pt idx="16">
                  <c:v>0</c:v>
                </c:pt>
                <c:pt idx="17">
                  <c:v>0</c:v>
                </c:pt>
                <c:pt idx="18">
                  <c:v>1</c:v>
                </c:pt>
                <c:pt idx="19">
                  <c:v>0</c:v>
                </c:pt>
              </c:numCache>
            </c:numRef>
          </c:xVal>
          <c:yVal>
            <c:numRef>
              <c:f>'Seasonality Adressed'!$E$50:$E$69</c:f>
              <c:numCache>
                <c:formatCode>General</c:formatCode>
                <c:ptCount val="20"/>
                <c:pt idx="0">
                  <c:v>1</c:v>
                </c:pt>
                <c:pt idx="1">
                  <c:v>1.0000000000000284</c:v>
                </c:pt>
                <c:pt idx="2">
                  <c:v>-15</c:v>
                </c:pt>
                <c:pt idx="3">
                  <c:v>-7</c:v>
                </c:pt>
                <c:pt idx="4">
                  <c:v>-6</c:v>
                </c:pt>
                <c:pt idx="5">
                  <c:v>9.0000000000000284</c:v>
                </c:pt>
                <c:pt idx="6">
                  <c:v>12</c:v>
                </c:pt>
                <c:pt idx="7">
                  <c:v>7</c:v>
                </c:pt>
                <c:pt idx="8">
                  <c:v>14</c:v>
                </c:pt>
                <c:pt idx="9">
                  <c:v>-7.9999999999999716</c:v>
                </c:pt>
                <c:pt idx="10">
                  <c:v>-8</c:v>
                </c:pt>
                <c:pt idx="11">
                  <c:v>-15</c:v>
                </c:pt>
                <c:pt idx="12">
                  <c:v>-15</c:v>
                </c:pt>
                <c:pt idx="13">
                  <c:v>-14.999999999999972</c:v>
                </c:pt>
                <c:pt idx="14">
                  <c:v>4</c:v>
                </c:pt>
                <c:pt idx="15">
                  <c:v>14</c:v>
                </c:pt>
                <c:pt idx="16">
                  <c:v>6</c:v>
                </c:pt>
                <c:pt idx="17">
                  <c:v>13.000000000000028</c:v>
                </c:pt>
                <c:pt idx="18">
                  <c:v>7</c:v>
                </c:pt>
                <c:pt idx="19">
                  <c:v>1</c:v>
                </c:pt>
              </c:numCache>
            </c:numRef>
          </c:yVal>
          <c:smooth val="0"/>
          <c:extLst>
            <c:ext xmlns:c16="http://schemas.microsoft.com/office/drawing/2014/chart" uri="{C3380CC4-5D6E-409C-BE32-E72D297353CC}">
              <c16:uniqueId val="{00000001-E1A8-4DC6-A557-BD6494FEC103}"/>
            </c:ext>
          </c:extLst>
        </c:ser>
        <c:dLbls>
          <c:showLegendKey val="0"/>
          <c:showVal val="0"/>
          <c:showCatName val="0"/>
          <c:showSerName val="0"/>
          <c:showPercent val="0"/>
          <c:showBubbleSize val="0"/>
        </c:dLbls>
        <c:axId val="1602035472"/>
        <c:axId val="1410554032"/>
      </c:scatterChart>
      <c:valAx>
        <c:axId val="1602035472"/>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410554032"/>
        <c:crosses val="autoZero"/>
        <c:crossBetween val="midCat"/>
      </c:valAx>
      <c:valAx>
        <c:axId val="1410554032"/>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0203547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Line Fit  Plot</a:t>
            </a:r>
          </a:p>
        </c:rich>
      </c:tx>
      <c:overlay val="0"/>
    </c:title>
    <c:autoTitleDeleted val="0"/>
    <c:plotArea>
      <c:layout/>
      <c:scatterChart>
        <c:scatterStyle val="lineMarker"/>
        <c:varyColors val="0"/>
        <c:ser>
          <c:idx val="0"/>
          <c:order val="0"/>
          <c:tx>
            <c:v>Sales</c:v>
          </c:tx>
          <c:spPr>
            <a:ln w="19050">
              <a:noFill/>
            </a:ln>
          </c:spPr>
          <c:xVal>
            <c:numRef>
              <c:f>'Seasonality Adressed'!$C$2:$C$21</c:f>
              <c:numCache>
                <c:formatCode>General</c:formatCode>
                <c:ptCount val="20"/>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pt idx="16">
                  <c:v>1</c:v>
                </c:pt>
                <c:pt idx="17">
                  <c:v>0</c:v>
                </c:pt>
                <c:pt idx="18">
                  <c:v>0</c:v>
                </c:pt>
                <c:pt idx="19">
                  <c:v>0</c:v>
                </c:pt>
              </c:numCache>
            </c:numRef>
          </c:xVal>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6E42-45AA-A2C8-7F5BC099997C}"/>
            </c:ext>
          </c:extLst>
        </c:ser>
        <c:ser>
          <c:idx val="1"/>
          <c:order val="1"/>
          <c:tx>
            <c:v>Predicted Sales</c:v>
          </c:tx>
          <c:spPr>
            <a:ln w="19050">
              <a:noFill/>
            </a:ln>
          </c:spPr>
          <c:xVal>
            <c:numRef>
              <c:f>'Seasonality Adressed'!$C$2:$C$21</c:f>
              <c:numCache>
                <c:formatCode>General</c:formatCode>
                <c:ptCount val="20"/>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pt idx="16">
                  <c:v>1</c:v>
                </c:pt>
                <c:pt idx="17">
                  <c:v>0</c:v>
                </c:pt>
                <c:pt idx="18">
                  <c:v>0</c:v>
                </c:pt>
                <c:pt idx="19">
                  <c:v>0</c:v>
                </c:pt>
              </c:numCache>
            </c:numRef>
          </c:xVal>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2-6E42-45AA-A2C8-7F5BC099997C}"/>
            </c:ext>
          </c:extLst>
        </c:ser>
        <c:dLbls>
          <c:showLegendKey val="0"/>
          <c:showVal val="0"/>
          <c:showCatName val="0"/>
          <c:showSerName val="0"/>
          <c:showPercent val="0"/>
          <c:showBubbleSize val="0"/>
        </c:dLbls>
        <c:axId val="1020920160"/>
        <c:axId val="1410542992"/>
      </c:scatterChart>
      <c:valAx>
        <c:axId val="1020920160"/>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410542992"/>
        <c:crosses val="autoZero"/>
        <c:crossBetween val="midCat"/>
      </c:valAx>
      <c:valAx>
        <c:axId val="1410542992"/>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02092016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Line Fit  Plot</a:t>
            </a:r>
          </a:p>
        </c:rich>
      </c:tx>
      <c:overlay val="0"/>
    </c:title>
    <c:autoTitleDeleted val="0"/>
    <c:plotArea>
      <c:layout/>
      <c:scatterChart>
        <c:scatterStyle val="lineMarker"/>
        <c:varyColors val="0"/>
        <c:ser>
          <c:idx val="0"/>
          <c:order val="0"/>
          <c:tx>
            <c:v>Sales</c:v>
          </c:tx>
          <c:spPr>
            <a:ln w="19050">
              <a:noFill/>
            </a:ln>
          </c:spPr>
          <c:xVal>
            <c:numRef>
              <c:f>'Seasonality Adressed'!$D$2:$D$21</c:f>
              <c:numCache>
                <c:formatCode>General</c:formatCode>
                <c:ptCount val="20"/>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1</c:v>
                </c:pt>
                <c:pt idx="18">
                  <c:v>0</c:v>
                </c:pt>
                <c:pt idx="19">
                  <c:v>0</c:v>
                </c:pt>
              </c:numCache>
            </c:numRef>
          </c:xVal>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5F6C-4B20-9D62-44A83DB5736F}"/>
            </c:ext>
          </c:extLst>
        </c:ser>
        <c:ser>
          <c:idx val="1"/>
          <c:order val="1"/>
          <c:tx>
            <c:v>Predicted Sales</c:v>
          </c:tx>
          <c:spPr>
            <a:ln w="19050">
              <a:noFill/>
            </a:ln>
          </c:spPr>
          <c:xVal>
            <c:numRef>
              <c:f>'Seasonality Adressed'!$D$2:$D$21</c:f>
              <c:numCache>
                <c:formatCode>General</c:formatCode>
                <c:ptCount val="20"/>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pt idx="16">
                  <c:v>0</c:v>
                </c:pt>
                <c:pt idx="17">
                  <c:v>1</c:v>
                </c:pt>
                <c:pt idx="18">
                  <c:v>0</c:v>
                </c:pt>
                <c:pt idx="19">
                  <c:v>0</c:v>
                </c:pt>
              </c:numCache>
            </c:numRef>
          </c:xVal>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2-5F6C-4B20-9D62-44A83DB5736F}"/>
            </c:ext>
          </c:extLst>
        </c:ser>
        <c:dLbls>
          <c:showLegendKey val="0"/>
          <c:showVal val="0"/>
          <c:showCatName val="0"/>
          <c:showSerName val="0"/>
          <c:showPercent val="0"/>
          <c:showBubbleSize val="0"/>
        </c:dLbls>
        <c:axId val="1020894640"/>
        <c:axId val="1410570832"/>
      </c:scatterChart>
      <c:valAx>
        <c:axId val="1020894640"/>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410570832"/>
        <c:crosses val="autoZero"/>
        <c:crossBetween val="midCat"/>
      </c:valAx>
      <c:valAx>
        <c:axId val="1410570832"/>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020894640"/>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Line Fit  Plot</a:t>
            </a:r>
          </a:p>
        </c:rich>
      </c:tx>
      <c:overlay val="0"/>
    </c:title>
    <c:autoTitleDeleted val="0"/>
    <c:plotArea>
      <c:layout/>
      <c:scatterChart>
        <c:scatterStyle val="lineMarker"/>
        <c:varyColors val="0"/>
        <c:ser>
          <c:idx val="0"/>
          <c:order val="0"/>
          <c:tx>
            <c:v>Sales</c:v>
          </c:tx>
          <c:spPr>
            <a:ln w="19050">
              <a:noFill/>
            </a:ln>
          </c:spPr>
          <c:xVal>
            <c:numRef>
              <c:f>'Seasonality Adressed'!$E$2:$E$21</c:f>
              <c:numCache>
                <c:formatCode>General</c:formatCode>
                <c:ptCount val="20"/>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pt idx="16">
                  <c:v>0</c:v>
                </c:pt>
                <c:pt idx="17">
                  <c:v>0</c:v>
                </c:pt>
                <c:pt idx="18">
                  <c:v>1</c:v>
                </c:pt>
                <c:pt idx="19">
                  <c:v>0</c:v>
                </c:pt>
              </c:numCache>
            </c:numRef>
          </c:xVal>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1-69CC-4079-BF48-F6A8F6B8325A}"/>
            </c:ext>
          </c:extLst>
        </c:ser>
        <c:ser>
          <c:idx val="1"/>
          <c:order val="1"/>
          <c:tx>
            <c:v>Predicted Sales</c:v>
          </c:tx>
          <c:spPr>
            <a:ln w="19050">
              <a:noFill/>
            </a:ln>
          </c:spPr>
          <c:xVal>
            <c:numRef>
              <c:f>'Seasonality Adressed'!$E$2:$E$21</c:f>
              <c:numCache>
                <c:formatCode>General</c:formatCode>
                <c:ptCount val="20"/>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pt idx="16">
                  <c:v>0</c:v>
                </c:pt>
                <c:pt idx="17">
                  <c:v>0</c:v>
                </c:pt>
                <c:pt idx="18">
                  <c:v>1</c:v>
                </c:pt>
                <c:pt idx="19">
                  <c:v>0</c:v>
                </c:pt>
              </c:numCache>
            </c:numRef>
          </c:xVal>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2-69CC-4079-BF48-F6A8F6B8325A}"/>
            </c:ext>
          </c:extLst>
        </c:ser>
        <c:dLbls>
          <c:showLegendKey val="0"/>
          <c:showVal val="0"/>
          <c:showCatName val="0"/>
          <c:showSerName val="0"/>
          <c:showPercent val="0"/>
          <c:showBubbleSize val="0"/>
        </c:dLbls>
        <c:axId val="1020912736"/>
        <c:axId val="1250021504"/>
      </c:scatterChart>
      <c:valAx>
        <c:axId val="1020912736"/>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250021504"/>
        <c:crosses val="autoZero"/>
        <c:crossBetween val="midCat"/>
      </c:valAx>
      <c:valAx>
        <c:axId val="1250021504"/>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020912736"/>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layout>
        <c:manualLayout>
          <c:xMode val="edge"/>
          <c:yMode val="edge"/>
          <c:x val="0.18472222222222223"/>
          <c:y val="7.2249589490968796E-2"/>
        </c:manualLayout>
      </c:layout>
      <c:overlay val="0"/>
    </c:title>
    <c:autoTitleDeleted val="0"/>
    <c:plotArea>
      <c:layout/>
      <c:scatterChart>
        <c:scatterStyle val="lineMarker"/>
        <c:varyColors val="0"/>
        <c:ser>
          <c:idx val="0"/>
          <c:order val="0"/>
          <c:spPr>
            <a:ln w="19050">
              <a:noFill/>
            </a:ln>
          </c:spPr>
          <c:xVal>
            <c:numRef>
              <c:f>'Seasonality Adressed'!$H$50:$H$69</c:f>
              <c:numCache>
                <c:formatCode>General</c:formatCode>
                <c:ptCount val="20"/>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pt idx="14">
                  <c:v>72.5</c:v>
                </c:pt>
                <c:pt idx="15">
                  <c:v>77.5</c:v>
                </c:pt>
                <c:pt idx="16">
                  <c:v>82.5</c:v>
                </c:pt>
                <c:pt idx="17">
                  <c:v>87.5</c:v>
                </c:pt>
                <c:pt idx="18">
                  <c:v>92.5</c:v>
                </c:pt>
                <c:pt idx="19">
                  <c:v>97.5</c:v>
                </c:pt>
              </c:numCache>
            </c:numRef>
          </c:xVal>
          <c:yVal>
            <c:numRef>
              <c:f>'Seasonality Adressed'!$I$50:$I$69</c:f>
              <c:numCache>
                <c:formatCode>General</c:formatCode>
                <c:ptCount val="20"/>
                <c:pt idx="0">
                  <c:v>80</c:v>
                </c:pt>
                <c:pt idx="1">
                  <c:v>88</c:v>
                </c:pt>
                <c:pt idx="2">
                  <c:v>96</c:v>
                </c:pt>
                <c:pt idx="3">
                  <c:v>102</c:v>
                </c:pt>
                <c:pt idx="4">
                  <c:v>106</c:v>
                </c:pt>
                <c:pt idx="5">
                  <c:v>109</c:v>
                </c:pt>
                <c:pt idx="6">
                  <c:v>109</c:v>
                </c:pt>
                <c:pt idx="7">
                  <c:v>113</c:v>
                </c:pt>
                <c:pt idx="8">
                  <c:v>118</c:v>
                </c:pt>
                <c:pt idx="9">
                  <c:v>125</c:v>
                </c:pt>
                <c:pt idx="10">
                  <c:v>125</c:v>
                </c:pt>
                <c:pt idx="11">
                  <c:v>128</c:v>
                </c:pt>
                <c:pt idx="12">
                  <c:v>130</c:v>
                </c:pt>
                <c:pt idx="13">
                  <c:v>133</c:v>
                </c:pt>
                <c:pt idx="14">
                  <c:v>137</c:v>
                </c:pt>
                <c:pt idx="15">
                  <c:v>138</c:v>
                </c:pt>
                <c:pt idx="16">
                  <c:v>144</c:v>
                </c:pt>
                <c:pt idx="17">
                  <c:v>153</c:v>
                </c:pt>
                <c:pt idx="18">
                  <c:v>161</c:v>
                </c:pt>
                <c:pt idx="19">
                  <c:v>165</c:v>
                </c:pt>
              </c:numCache>
            </c:numRef>
          </c:yVal>
          <c:smooth val="0"/>
          <c:extLst>
            <c:ext xmlns:c16="http://schemas.microsoft.com/office/drawing/2014/chart" uri="{C3380CC4-5D6E-409C-BE32-E72D297353CC}">
              <c16:uniqueId val="{00000001-C0A5-4C96-90C6-3F8B7298ADA4}"/>
            </c:ext>
          </c:extLst>
        </c:ser>
        <c:dLbls>
          <c:showLegendKey val="0"/>
          <c:showVal val="0"/>
          <c:showCatName val="0"/>
          <c:showSerName val="0"/>
          <c:showPercent val="0"/>
          <c:showBubbleSize val="0"/>
        </c:dLbls>
        <c:axId val="1503790368"/>
        <c:axId val="1250051744"/>
      </c:scatterChart>
      <c:valAx>
        <c:axId val="1503790368"/>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250051744"/>
        <c:crosses val="autoZero"/>
        <c:crossBetween val="midCat"/>
      </c:valAx>
      <c:valAx>
        <c:axId val="1250051744"/>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50379036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94587821939189E-2"/>
          <c:y val="4.7434947570291666E-2"/>
          <c:w val="0.68793232727409181"/>
          <c:h val="0.77921935047058044"/>
        </c:manualLayout>
      </c:layout>
      <c:scatterChart>
        <c:scatterStyle val="lineMarker"/>
        <c:varyColors val="0"/>
        <c:ser>
          <c:idx val="0"/>
          <c:order val="0"/>
          <c:tx>
            <c:v>Observed Values</c:v>
          </c:tx>
          <c:spPr>
            <a:ln w="25400" cap="rnd">
              <a:solidFill>
                <a:srgbClr val="0070C0"/>
              </a:solidFill>
              <a:round/>
            </a:ln>
            <a:effectLst/>
          </c:spPr>
          <c:marker>
            <c:symbol val="circle"/>
            <c:size val="5"/>
            <c:spPr>
              <a:solidFill>
                <a:schemeClr val="accent1"/>
              </a:solidFill>
              <a:ln w="9525">
                <a:solidFill>
                  <a:schemeClr val="accent1"/>
                </a:solidFill>
              </a:ln>
              <a:effectLst/>
            </c:spPr>
          </c:marker>
          <c:yVal>
            <c:numRef>
              <c:f>'Seasonality Adressed'!$F$2:$F$21</c:f>
              <c:numCache>
                <c:formatCode>General</c:formatCode>
                <c:ptCount val="20"/>
                <c:pt idx="0">
                  <c:v>125</c:v>
                </c:pt>
                <c:pt idx="1">
                  <c:v>153</c:v>
                </c:pt>
                <c:pt idx="2">
                  <c:v>106</c:v>
                </c:pt>
                <c:pt idx="3">
                  <c:v>88</c:v>
                </c:pt>
                <c:pt idx="4">
                  <c:v>118</c:v>
                </c:pt>
                <c:pt idx="5">
                  <c:v>161</c:v>
                </c:pt>
                <c:pt idx="6">
                  <c:v>133</c:v>
                </c:pt>
                <c:pt idx="7">
                  <c:v>102</c:v>
                </c:pt>
                <c:pt idx="8">
                  <c:v>138</c:v>
                </c:pt>
                <c:pt idx="9">
                  <c:v>144</c:v>
                </c:pt>
                <c:pt idx="10">
                  <c:v>113</c:v>
                </c:pt>
                <c:pt idx="11">
                  <c:v>80</c:v>
                </c:pt>
                <c:pt idx="12">
                  <c:v>109</c:v>
                </c:pt>
                <c:pt idx="13">
                  <c:v>137</c:v>
                </c:pt>
                <c:pt idx="14">
                  <c:v>125</c:v>
                </c:pt>
                <c:pt idx="15">
                  <c:v>109</c:v>
                </c:pt>
                <c:pt idx="16">
                  <c:v>130</c:v>
                </c:pt>
                <c:pt idx="17">
                  <c:v>165</c:v>
                </c:pt>
                <c:pt idx="18">
                  <c:v>128</c:v>
                </c:pt>
                <c:pt idx="19">
                  <c:v>96</c:v>
                </c:pt>
              </c:numCache>
            </c:numRef>
          </c:yVal>
          <c:smooth val="0"/>
          <c:extLst>
            <c:ext xmlns:c16="http://schemas.microsoft.com/office/drawing/2014/chart" uri="{C3380CC4-5D6E-409C-BE32-E72D297353CC}">
              <c16:uniqueId val="{00000002-A74E-429F-814C-F5259EB5C1B0}"/>
            </c:ext>
          </c:extLst>
        </c:ser>
        <c:ser>
          <c:idx val="1"/>
          <c:order val="1"/>
          <c:tx>
            <c:v>Predicted Values</c:v>
          </c:tx>
          <c:spPr>
            <a:ln w="25400" cap="rnd">
              <a:solidFill>
                <a:schemeClr val="accent2"/>
              </a:solidFill>
              <a:round/>
            </a:ln>
            <a:effectLst/>
          </c:spPr>
          <c:marker>
            <c:symbol val="circle"/>
            <c:size val="5"/>
            <c:spPr>
              <a:solidFill>
                <a:schemeClr val="accent2"/>
              </a:solidFill>
              <a:ln w="9525">
                <a:solidFill>
                  <a:schemeClr val="accent2"/>
                </a:solidFill>
              </a:ln>
              <a:effectLst/>
            </c:spPr>
          </c:marker>
          <c:yVal>
            <c:numRef>
              <c:f>'Seasonality Adressed'!$D$50:$D$69</c:f>
              <c:numCache>
                <c:formatCode>General</c:formatCode>
                <c:ptCount val="20"/>
                <c:pt idx="0">
                  <c:v>124</c:v>
                </c:pt>
                <c:pt idx="1">
                  <c:v>151.99999999999997</c:v>
                </c:pt>
                <c:pt idx="2">
                  <c:v>121</c:v>
                </c:pt>
                <c:pt idx="3">
                  <c:v>95</c:v>
                </c:pt>
                <c:pt idx="4">
                  <c:v>124</c:v>
                </c:pt>
                <c:pt idx="5">
                  <c:v>151.99999999999997</c:v>
                </c:pt>
                <c:pt idx="6">
                  <c:v>121</c:v>
                </c:pt>
                <c:pt idx="7">
                  <c:v>95</c:v>
                </c:pt>
                <c:pt idx="8">
                  <c:v>124</c:v>
                </c:pt>
                <c:pt idx="9">
                  <c:v>151.99999999999997</c:v>
                </c:pt>
                <c:pt idx="10">
                  <c:v>121</c:v>
                </c:pt>
                <c:pt idx="11">
                  <c:v>95</c:v>
                </c:pt>
                <c:pt idx="12">
                  <c:v>124</c:v>
                </c:pt>
                <c:pt idx="13">
                  <c:v>151.99999999999997</c:v>
                </c:pt>
                <c:pt idx="14">
                  <c:v>121</c:v>
                </c:pt>
                <c:pt idx="15">
                  <c:v>95</c:v>
                </c:pt>
                <c:pt idx="16">
                  <c:v>124</c:v>
                </c:pt>
                <c:pt idx="17">
                  <c:v>151.99999999999997</c:v>
                </c:pt>
                <c:pt idx="18">
                  <c:v>121</c:v>
                </c:pt>
                <c:pt idx="19">
                  <c:v>95</c:v>
                </c:pt>
              </c:numCache>
            </c:numRef>
          </c:yVal>
          <c:smooth val="0"/>
          <c:extLst>
            <c:ext xmlns:c16="http://schemas.microsoft.com/office/drawing/2014/chart" uri="{C3380CC4-5D6E-409C-BE32-E72D297353CC}">
              <c16:uniqueId val="{00000003-A74E-429F-814C-F5259EB5C1B0}"/>
            </c:ext>
          </c:extLst>
        </c:ser>
        <c:ser>
          <c:idx val="2"/>
          <c:order val="2"/>
          <c:tx>
            <c:v>Future Forecast</c:v>
          </c:tx>
          <c:spPr>
            <a:ln w="19050" cap="rnd">
              <a:solidFill>
                <a:srgbClr val="7030A0"/>
              </a:solidFill>
              <a:round/>
            </a:ln>
            <a:effectLst/>
          </c:spPr>
          <c:marker>
            <c:symbol val="circle"/>
            <c:size val="5"/>
            <c:spPr>
              <a:solidFill>
                <a:srgbClr val="7030A0"/>
              </a:solidFill>
              <a:ln w="9525">
                <a:solidFill>
                  <a:srgbClr val="7030A0"/>
                </a:solidFill>
              </a:ln>
              <a:effectLst/>
            </c:spPr>
          </c:marker>
          <c:dPt>
            <c:idx val="0"/>
            <c:marker>
              <c:symbol val="circle"/>
              <c:size val="5"/>
              <c:spPr>
                <a:noFill/>
                <a:ln w="9525">
                  <a:noFill/>
                </a:ln>
                <a:effectLst/>
              </c:spPr>
            </c:marker>
            <c:bubble3D val="0"/>
            <c:extLst>
              <c:ext xmlns:c16="http://schemas.microsoft.com/office/drawing/2014/chart" uri="{C3380CC4-5D6E-409C-BE32-E72D297353CC}">
                <c16:uniqueId val="{00000001-A2EC-4116-9C52-C65BF80A45F2}"/>
              </c:ext>
            </c:extLst>
          </c:dPt>
          <c:xVal>
            <c:numRef>
              <c:f>'Seasonality Adressed'!$C$70:$C$74</c:f>
              <c:numCache>
                <c:formatCode>General</c:formatCode>
                <c:ptCount val="5"/>
                <c:pt idx="0">
                  <c:v>20.25</c:v>
                </c:pt>
                <c:pt idx="1">
                  <c:v>21</c:v>
                </c:pt>
                <c:pt idx="2">
                  <c:v>22</c:v>
                </c:pt>
                <c:pt idx="3">
                  <c:v>23</c:v>
                </c:pt>
                <c:pt idx="4">
                  <c:v>24</c:v>
                </c:pt>
              </c:numCache>
            </c:numRef>
          </c:xVal>
          <c:yVal>
            <c:numRef>
              <c:f>'Seasonality Adressed'!$D$70:$D$74</c:f>
              <c:numCache>
                <c:formatCode>General</c:formatCode>
                <c:ptCount val="5"/>
                <c:pt idx="0">
                  <c:v>95.25</c:v>
                </c:pt>
                <c:pt idx="1">
                  <c:v>124</c:v>
                </c:pt>
                <c:pt idx="2">
                  <c:v>151.99999999999997</c:v>
                </c:pt>
                <c:pt idx="3">
                  <c:v>121</c:v>
                </c:pt>
                <c:pt idx="4">
                  <c:v>95</c:v>
                </c:pt>
              </c:numCache>
            </c:numRef>
          </c:yVal>
          <c:smooth val="0"/>
          <c:extLst>
            <c:ext xmlns:c16="http://schemas.microsoft.com/office/drawing/2014/chart" uri="{C3380CC4-5D6E-409C-BE32-E72D297353CC}">
              <c16:uniqueId val="{00000000-A2EC-4116-9C52-C65BF80A45F2}"/>
            </c:ext>
          </c:extLst>
        </c:ser>
        <c:dLbls>
          <c:showLegendKey val="0"/>
          <c:showVal val="0"/>
          <c:showCatName val="0"/>
          <c:showSerName val="0"/>
          <c:showPercent val="0"/>
          <c:showBubbleSize val="0"/>
        </c:dLbls>
        <c:axId val="79467088"/>
        <c:axId val="67872160"/>
      </c:scatterChart>
      <c:valAx>
        <c:axId val="79467088"/>
        <c:scaling>
          <c:orientation val="minMax"/>
          <c:max val="23"/>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67872160"/>
        <c:crosses val="autoZero"/>
        <c:crossBetween val="midCat"/>
        <c:majorUnit val="1"/>
      </c:valAx>
      <c:valAx>
        <c:axId val="6787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70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Quarterly Sales in thousands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solidFill>
                <a:schemeClr val="lt1">
                  <a:shade val="50000"/>
                </a:schemeClr>
              </a:solidFill>
              <a:round/>
            </a:ln>
            <a:effectLst/>
          </c:spPr>
          <c:marker>
            <c:symbol val="circle"/>
            <c:size val="5"/>
            <c:spPr>
              <a:solidFill>
                <a:schemeClr val="accent1"/>
              </a:solidFill>
              <a:ln w="9525">
                <a:solidFill>
                  <a:schemeClr val="accent1"/>
                </a:solidFill>
              </a:ln>
              <a:effectLst/>
            </c:spPr>
          </c:marker>
          <c:xVal>
            <c:numRef>
              <c:f>'trend and seasonal plot'!$D$2:$D$17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'trend and seasonal plot'!$C$2:$C$17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E513-4D9A-9E06-FF3E0DFDD6A4}"/>
            </c:ext>
          </c:extLst>
        </c:ser>
        <c:dLbls>
          <c:showLegendKey val="0"/>
          <c:showVal val="0"/>
          <c:showCatName val="0"/>
          <c:showSerName val="0"/>
          <c:showPercent val="0"/>
          <c:showBubbleSize val="0"/>
        </c:dLbls>
        <c:axId val="58874048"/>
        <c:axId val="56667728"/>
      </c:scatterChart>
      <c:valAx>
        <c:axId val="5887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56667728"/>
        <c:crosses val="autoZero"/>
        <c:crossBetween val="midCat"/>
        <c:majorUnit val="1"/>
      </c:valAx>
      <c:valAx>
        <c:axId val="5666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in thousands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40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Observed Values</c:v>
          </c:tx>
          <c:spPr>
            <a:ln w="25400" cap="rnd">
              <a:solidFill>
                <a:srgbClr val="7030A0"/>
              </a:solidFill>
              <a:round/>
            </a:ln>
            <a:effectLst/>
          </c:spPr>
          <c:marker>
            <c:symbol val="circle"/>
            <c:size val="5"/>
            <c:spPr>
              <a:solidFill>
                <a:schemeClr val="accent1"/>
              </a:solidFill>
              <a:ln w="9525">
                <a:solidFill>
                  <a:schemeClr val="accent1"/>
                </a:solidFill>
              </a:ln>
              <a:effectLst/>
            </c:spPr>
          </c:marker>
          <c:yVal>
            <c:numRef>
              <c:f>'18.19 Seasonality and Trend'!$C$2:$C$17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0-4F73-4ED3-9A28-DC6A5CC89756}"/>
            </c:ext>
          </c:extLst>
        </c:ser>
        <c:dLbls>
          <c:showLegendKey val="0"/>
          <c:showVal val="0"/>
          <c:showCatName val="0"/>
          <c:showSerName val="0"/>
          <c:showPercent val="0"/>
          <c:showBubbleSize val="0"/>
        </c:dLbls>
        <c:axId val="1379014959"/>
        <c:axId val="1379553503"/>
      </c:scatterChart>
      <c:valAx>
        <c:axId val="1379014959"/>
        <c:scaling>
          <c:orientation val="minMax"/>
          <c:max val="19"/>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379553503"/>
        <c:crosses val="autoZero"/>
        <c:crossBetween val="midCat"/>
        <c:majorUnit val="1"/>
      </c:valAx>
      <c:valAx>
        <c:axId val="13795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49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Residual Plot</a:t>
            </a:r>
          </a:p>
        </c:rich>
      </c:tx>
      <c:overlay val="0"/>
    </c:title>
    <c:autoTitleDeleted val="0"/>
    <c:plotArea>
      <c:layout/>
      <c:scatterChart>
        <c:scatterStyle val="lineMarker"/>
        <c:varyColors val="0"/>
        <c:ser>
          <c:idx val="0"/>
          <c:order val="0"/>
          <c:spPr>
            <a:ln w="19050">
              <a:noFill/>
            </a:ln>
          </c:spPr>
          <c:xVal>
            <c:numRef>
              <c:f>'Seasonality and Trend Adressed'!$C$2:$C$17</c:f>
              <c:numCache>
                <c:formatCode>General</c:formatCode>
                <c:ptCount val="16"/>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CB89-49A1-B407-86E4AEC9EEBD}"/>
            </c:ext>
          </c:extLst>
        </c:ser>
        <c:dLbls>
          <c:showLegendKey val="0"/>
          <c:showVal val="0"/>
          <c:showCatName val="0"/>
          <c:showSerName val="0"/>
          <c:showPercent val="0"/>
          <c:showBubbleSize val="0"/>
        </c:dLbls>
        <c:axId val="1379011247"/>
        <c:axId val="1614400335"/>
      </c:scatterChart>
      <c:valAx>
        <c:axId val="1379011247"/>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614400335"/>
        <c:crosses val="autoZero"/>
        <c:crossBetween val="midCat"/>
      </c:valAx>
      <c:valAx>
        <c:axId val="161440033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9011247"/>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Residual Plot</a:t>
            </a:r>
          </a:p>
        </c:rich>
      </c:tx>
      <c:overlay val="0"/>
    </c:title>
    <c:autoTitleDeleted val="0"/>
    <c:plotArea>
      <c:layout/>
      <c:scatterChart>
        <c:scatterStyle val="lineMarker"/>
        <c:varyColors val="0"/>
        <c:ser>
          <c:idx val="0"/>
          <c:order val="0"/>
          <c:spPr>
            <a:ln w="19050">
              <a:noFill/>
            </a:ln>
          </c:spPr>
          <c:xVal>
            <c:numRef>
              <c:f>'Seasonality and Trend Adressed'!$D$2:$D$17</c:f>
              <c:numCache>
                <c:formatCode>General</c:formatCode>
                <c:ptCount val="16"/>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3C4E-46E9-A752-BB05752D1E2F}"/>
            </c:ext>
          </c:extLst>
        </c:ser>
        <c:dLbls>
          <c:showLegendKey val="0"/>
          <c:showVal val="0"/>
          <c:showCatName val="0"/>
          <c:showSerName val="0"/>
          <c:showPercent val="0"/>
          <c:showBubbleSize val="0"/>
        </c:dLbls>
        <c:axId val="1378992223"/>
        <c:axId val="1613832495"/>
      </c:scatterChart>
      <c:valAx>
        <c:axId val="1378992223"/>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613832495"/>
        <c:crosses val="autoZero"/>
        <c:crossBetween val="midCat"/>
      </c:valAx>
      <c:valAx>
        <c:axId val="16138324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899222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Residual Plot</a:t>
            </a:r>
          </a:p>
        </c:rich>
      </c:tx>
      <c:overlay val="0"/>
    </c:title>
    <c:autoTitleDeleted val="0"/>
    <c:plotArea>
      <c:layout/>
      <c:scatterChart>
        <c:scatterStyle val="lineMarker"/>
        <c:varyColors val="0"/>
        <c:ser>
          <c:idx val="0"/>
          <c:order val="0"/>
          <c:spPr>
            <a:ln w="19050">
              <a:noFill/>
            </a:ln>
          </c:spPr>
          <c:xVal>
            <c:numRef>
              <c:f>'Seasonality and Trend Adressed'!$E$2:$E$17</c:f>
              <c:numCache>
                <c:formatCode>General</c:formatCode>
                <c:ptCount val="16"/>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17A8-44AD-8FE6-0E85DDD665A1}"/>
            </c:ext>
          </c:extLst>
        </c:ser>
        <c:dLbls>
          <c:showLegendKey val="0"/>
          <c:showVal val="0"/>
          <c:showCatName val="0"/>
          <c:showSerName val="0"/>
          <c:showPercent val="0"/>
          <c:showBubbleSize val="0"/>
        </c:dLbls>
        <c:axId val="1379009391"/>
        <c:axId val="1613827695"/>
      </c:scatterChart>
      <c:valAx>
        <c:axId val="1379009391"/>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613827695"/>
        <c:crosses val="autoZero"/>
        <c:crossBetween val="midCat"/>
      </c:valAx>
      <c:valAx>
        <c:axId val="16138276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90093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Residual Plot</a:t>
            </a:r>
          </a:p>
        </c:rich>
      </c:tx>
      <c:overlay val="0"/>
    </c:title>
    <c:autoTitleDeleted val="0"/>
    <c:plotArea>
      <c:layout/>
      <c:scatterChart>
        <c:scatterStyle val="lineMarker"/>
        <c:varyColors val="0"/>
        <c:ser>
          <c:idx val="0"/>
          <c:order val="0"/>
          <c:spPr>
            <a:ln w="19050">
              <a:noFill/>
            </a:ln>
          </c:spPr>
          <c:xVal>
            <c:numRef>
              <c:f>'Seasonality and Trend Adressed'!$F$2:$F$17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Adressed'!$E$50:$E$65</c:f>
              <c:numCache>
                <c:formatCode>General</c:formatCode>
                <c:ptCount val="16"/>
                <c:pt idx="0">
                  <c:v>-5.1249999999999574E-2</c:v>
                </c:pt>
                <c:pt idx="1">
                  <c:v>-0.2262499999999994</c:v>
                </c:pt>
                <c:pt idx="2">
                  <c:v>-0.20124999999999993</c:v>
                </c:pt>
                <c:pt idx="3">
                  <c:v>-0.15125000000000011</c:v>
                </c:pt>
                <c:pt idx="4">
                  <c:v>0.36624999999999996</c:v>
                </c:pt>
                <c:pt idx="5">
                  <c:v>0.29125000000000068</c:v>
                </c:pt>
                <c:pt idx="6">
                  <c:v>1.6249999999999432E-2</c:v>
                </c:pt>
                <c:pt idx="7">
                  <c:v>0.16625000000000068</c:v>
                </c:pt>
                <c:pt idx="8">
                  <c:v>-1.6249999999999432E-2</c:v>
                </c:pt>
                <c:pt idx="9">
                  <c:v>0.10875000000000057</c:v>
                </c:pt>
                <c:pt idx="10">
                  <c:v>0.13374999999999915</c:v>
                </c:pt>
                <c:pt idx="11">
                  <c:v>-1.625000000000032E-2</c:v>
                </c:pt>
                <c:pt idx="12">
                  <c:v>-0.29875000000000007</c:v>
                </c:pt>
                <c:pt idx="13">
                  <c:v>-0.17374999999999918</c:v>
                </c:pt>
                <c:pt idx="14">
                  <c:v>5.1249999999999574E-2</c:v>
                </c:pt>
                <c:pt idx="15">
                  <c:v>1.2500000000006395E-3</c:v>
                </c:pt>
              </c:numCache>
            </c:numRef>
          </c:yVal>
          <c:smooth val="0"/>
          <c:extLst>
            <c:ext xmlns:c16="http://schemas.microsoft.com/office/drawing/2014/chart" uri="{C3380CC4-5D6E-409C-BE32-E72D297353CC}">
              <c16:uniqueId val="{00000001-80AC-43E4-8EA7-6F72943B0791}"/>
            </c:ext>
          </c:extLst>
        </c:ser>
        <c:dLbls>
          <c:showLegendKey val="0"/>
          <c:showVal val="0"/>
          <c:showCatName val="0"/>
          <c:showSerName val="0"/>
          <c:showPercent val="0"/>
          <c:showBubbleSize val="0"/>
        </c:dLbls>
        <c:axId val="1378991295"/>
        <c:axId val="1613830095"/>
      </c:scatterChart>
      <c:valAx>
        <c:axId val="1378991295"/>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613830095"/>
        <c:crosses val="autoZero"/>
        <c:crossBetween val="midCat"/>
      </c:valAx>
      <c:valAx>
        <c:axId val="16138300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37899129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Quarter1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Adressed'!$C$2:$C$17</c:f>
              <c:numCache>
                <c:formatCode>General</c:formatCode>
                <c:ptCount val="16"/>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1FBD-4B4F-A868-3C043619EEF8}"/>
            </c:ext>
          </c:extLst>
        </c:ser>
        <c:ser>
          <c:idx val="1"/>
          <c:order val="1"/>
          <c:tx>
            <c:v>Predicted Sales</c:v>
          </c:tx>
          <c:spPr>
            <a:ln w="19050">
              <a:noFill/>
            </a:ln>
          </c:spPr>
          <c:xVal>
            <c:numRef>
              <c:f>'Seasonality and Trend Adressed'!$C$2:$C$17</c:f>
              <c:numCache>
                <c:formatCode>General</c:formatCode>
                <c:ptCount val="16"/>
                <c:pt idx="0">
                  <c:v>1</c:v>
                </c:pt>
                <c:pt idx="1">
                  <c:v>0</c:v>
                </c:pt>
                <c:pt idx="2">
                  <c:v>0</c:v>
                </c:pt>
                <c:pt idx="3">
                  <c:v>0</c:v>
                </c:pt>
                <c:pt idx="4">
                  <c:v>1</c:v>
                </c:pt>
                <c:pt idx="5">
                  <c:v>0</c:v>
                </c:pt>
                <c:pt idx="6">
                  <c:v>0</c:v>
                </c:pt>
                <c:pt idx="7">
                  <c:v>0</c:v>
                </c:pt>
                <c:pt idx="8">
                  <c:v>1</c:v>
                </c:pt>
                <c:pt idx="9">
                  <c:v>0</c:v>
                </c:pt>
                <c:pt idx="10">
                  <c:v>0</c:v>
                </c:pt>
                <c:pt idx="11">
                  <c:v>0</c:v>
                </c:pt>
                <c:pt idx="12">
                  <c:v>1</c:v>
                </c:pt>
                <c:pt idx="13">
                  <c:v>0</c:v>
                </c:pt>
                <c:pt idx="14">
                  <c:v>0</c:v>
                </c:pt>
                <c:pt idx="15">
                  <c:v>0</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1FBD-4B4F-A868-3C043619EEF8}"/>
            </c:ext>
          </c:extLst>
        </c:ser>
        <c:dLbls>
          <c:showLegendKey val="0"/>
          <c:showVal val="0"/>
          <c:showCatName val="0"/>
          <c:showSerName val="0"/>
          <c:showPercent val="0"/>
          <c:showBubbleSize val="0"/>
        </c:dLbls>
        <c:axId val="1378991295"/>
        <c:axId val="1374634159"/>
      </c:scatterChart>
      <c:valAx>
        <c:axId val="1378991295"/>
        <c:scaling>
          <c:orientation val="minMax"/>
        </c:scaling>
        <c:delete val="0"/>
        <c:axPos val="b"/>
        <c:title>
          <c:tx>
            <c:rich>
              <a:bodyPr/>
              <a:lstStyle/>
              <a:p>
                <a:pPr>
                  <a:defRPr/>
                </a:pPr>
                <a:r>
                  <a:rPr lang="en-US"/>
                  <a:t>Quarter1</a:t>
                </a:r>
              </a:p>
            </c:rich>
          </c:tx>
          <c:overlay val="0"/>
        </c:title>
        <c:numFmt formatCode="General" sourceLinked="1"/>
        <c:majorTickMark val="out"/>
        <c:minorTickMark val="none"/>
        <c:tickLblPos val="nextTo"/>
        <c:crossAx val="1374634159"/>
        <c:crosses val="autoZero"/>
        <c:crossBetween val="midCat"/>
      </c:valAx>
      <c:valAx>
        <c:axId val="137463415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899129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2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Adressed'!$D$2:$D$17</c:f>
              <c:numCache>
                <c:formatCode>General</c:formatCode>
                <c:ptCount val="16"/>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121E-4A5E-9F5B-30127DE787BD}"/>
            </c:ext>
          </c:extLst>
        </c:ser>
        <c:ser>
          <c:idx val="1"/>
          <c:order val="1"/>
          <c:tx>
            <c:v>Predicted Sales</c:v>
          </c:tx>
          <c:spPr>
            <a:ln w="19050">
              <a:noFill/>
            </a:ln>
          </c:spPr>
          <c:xVal>
            <c:numRef>
              <c:f>'Seasonality and Trend Adressed'!$D$2:$D$17</c:f>
              <c:numCache>
                <c:formatCode>General</c:formatCode>
                <c:ptCount val="16"/>
                <c:pt idx="0">
                  <c:v>0</c:v>
                </c:pt>
                <c:pt idx="1">
                  <c:v>1</c:v>
                </c:pt>
                <c:pt idx="2">
                  <c:v>0</c:v>
                </c:pt>
                <c:pt idx="3">
                  <c:v>0</c:v>
                </c:pt>
                <c:pt idx="4">
                  <c:v>0</c:v>
                </c:pt>
                <c:pt idx="5">
                  <c:v>1</c:v>
                </c:pt>
                <c:pt idx="6">
                  <c:v>0</c:v>
                </c:pt>
                <c:pt idx="7">
                  <c:v>0</c:v>
                </c:pt>
                <c:pt idx="8">
                  <c:v>0</c:v>
                </c:pt>
                <c:pt idx="9">
                  <c:v>1</c:v>
                </c:pt>
                <c:pt idx="10">
                  <c:v>0</c:v>
                </c:pt>
                <c:pt idx="11">
                  <c:v>0</c:v>
                </c:pt>
                <c:pt idx="12">
                  <c:v>0</c:v>
                </c:pt>
                <c:pt idx="13">
                  <c:v>1</c:v>
                </c:pt>
                <c:pt idx="14">
                  <c:v>0</c:v>
                </c:pt>
                <c:pt idx="15">
                  <c:v>0</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121E-4A5E-9F5B-30127DE787BD}"/>
            </c:ext>
          </c:extLst>
        </c:ser>
        <c:dLbls>
          <c:showLegendKey val="0"/>
          <c:showVal val="0"/>
          <c:showCatName val="0"/>
          <c:showSerName val="0"/>
          <c:showPercent val="0"/>
          <c:showBubbleSize val="0"/>
        </c:dLbls>
        <c:axId val="1379014031"/>
        <c:axId val="1374629839"/>
      </c:scatterChart>
      <c:valAx>
        <c:axId val="1379014031"/>
        <c:scaling>
          <c:orientation val="minMax"/>
        </c:scaling>
        <c:delete val="0"/>
        <c:axPos val="b"/>
        <c:title>
          <c:tx>
            <c:rich>
              <a:bodyPr/>
              <a:lstStyle/>
              <a:p>
                <a:pPr>
                  <a:defRPr/>
                </a:pPr>
                <a:r>
                  <a:rPr lang="en-US"/>
                  <a:t>Quarter 2</a:t>
                </a:r>
              </a:p>
            </c:rich>
          </c:tx>
          <c:overlay val="0"/>
        </c:title>
        <c:numFmt formatCode="General" sourceLinked="1"/>
        <c:majorTickMark val="out"/>
        <c:minorTickMark val="none"/>
        <c:tickLblPos val="nextTo"/>
        <c:crossAx val="1374629839"/>
        <c:crosses val="autoZero"/>
        <c:crossBetween val="midCat"/>
      </c:valAx>
      <c:valAx>
        <c:axId val="137462983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901403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 3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Adressed'!$E$2:$E$17</c:f>
              <c:numCache>
                <c:formatCode>General</c:formatCode>
                <c:ptCount val="16"/>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22B1-4AEC-B248-C9FB6ECBEFB4}"/>
            </c:ext>
          </c:extLst>
        </c:ser>
        <c:ser>
          <c:idx val="1"/>
          <c:order val="1"/>
          <c:tx>
            <c:v>Predicted Sales</c:v>
          </c:tx>
          <c:spPr>
            <a:ln w="19050">
              <a:noFill/>
            </a:ln>
          </c:spPr>
          <c:xVal>
            <c:numRef>
              <c:f>'Seasonality and Trend Adressed'!$E$2:$E$17</c:f>
              <c:numCache>
                <c:formatCode>General</c:formatCode>
                <c:ptCount val="16"/>
                <c:pt idx="0">
                  <c:v>0</c:v>
                </c:pt>
                <c:pt idx="1">
                  <c:v>0</c:v>
                </c:pt>
                <c:pt idx="2">
                  <c:v>1</c:v>
                </c:pt>
                <c:pt idx="3">
                  <c:v>0</c:v>
                </c:pt>
                <c:pt idx="4">
                  <c:v>0</c:v>
                </c:pt>
                <c:pt idx="5">
                  <c:v>0</c:v>
                </c:pt>
                <c:pt idx="6">
                  <c:v>1</c:v>
                </c:pt>
                <c:pt idx="7">
                  <c:v>0</c:v>
                </c:pt>
                <c:pt idx="8">
                  <c:v>0</c:v>
                </c:pt>
                <c:pt idx="9">
                  <c:v>0</c:v>
                </c:pt>
                <c:pt idx="10">
                  <c:v>1</c:v>
                </c:pt>
                <c:pt idx="11">
                  <c:v>0</c:v>
                </c:pt>
                <c:pt idx="12">
                  <c:v>0</c:v>
                </c:pt>
                <c:pt idx="13">
                  <c:v>0</c:v>
                </c:pt>
                <c:pt idx="14">
                  <c:v>1</c:v>
                </c:pt>
                <c:pt idx="15">
                  <c:v>0</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22B1-4AEC-B248-C9FB6ECBEFB4}"/>
            </c:ext>
          </c:extLst>
        </c:ser>
        <c:dLbls>
          <c:showLegendKey val="0"/>
          <c:showVal val="0"/>
          <c:showCatName val="0"/>
          <c:showSerName val="0"/>
          <c:showPercent val="0"/>
          <c:showBubbleSize val="0"/>
        </c:dLbls>
        <c:axId val="1379006143"/>
        <c:axId val="1374631279"/>
      </c:scatterChart>
      <c:valAx>
        <c:axId val="1379006143"/>
        <c:scaling>
          <c:orientation val="minMax"/>
        </c:scaling>
        <c:delete val="0"/>
        <c:axPos val="b"/>
        <c:title>
          <c:tx>
            <c:rich>
              <a:bodyPr/>
              <a:lstStyle/>
              <a:p>
                <a:pPr>
                  <a:defRPr/>
                </a:pPr>
                <a:r>
                  <a:rPr lang="en-US"/>
                  <a:t>Quarter 3</a:t>
                </a:r>
              </a:p>
            </c:rich>
          </c:tx>
          <c:overlay val="0"/>
        </c:title>
        <c:numFmt formatCode="General" sourceLinked="1"/>
        <c:majorTickMark val="out"/>
        <c:minorTickMark val="none"/>
        <c:tickLblPos val="nextTo"/>
        <c:crossAx val="1374631279"/>
        <c:crosses val="autoZero"/>
        <c:crossBetween val="midCat"/>
      </c:valAx>
      <c:valAx>
        <c:axId val="137463127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9006143"/>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Line Fit  Plot</a:t>
            </a:r>
          </a:p>
        </c:rich>
      </c:tx>
      <c:overlay val="0"/>
    </c:title>
    <c:autoTitleDeleted val="0"/>
    <c:plotArea>
      <c:layout/>
      <c:scatterChart>
        <c:scatterStyle val="lineMarker"/>
        <c:varyColors val="0"/>
        <c:ser>
          <c:idx val="0"/>
          <c:order val="0"/>
          <c:tx>
            <c:v>Sales</c:v>
          </c:tx>
          <c:spPr>
            <a:ln w="19050">
              <a:noFill/>
            </a:ln>
          </c:spPr>
          <c:xVal>
            <c:numRef>
              <c:f>'Seasonality and Trend Adressed'!$F$2:$F$17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Adressed'!$G$2:$G$17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1-6093-48C6-9F56-A700AF58005A}"/>
            </c:ext>
          </c:extLst>
        </c:ser>
        <c:ser>
          <c:idx val="1"/>
          <c:order val="1"/>
          <c:tx>
            <c:v>Predicted Sales</c:v>
          </c:tx>
          <c:spPr>
            <a:ln w="19050">
              <a:noFill/>
            </a:ln>
          </c:spPr>
          <c:xVal>
            <c:numRef>
              <c:f>'Seasonality and Trend Adressed'!$F$2:$F$17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6093-48C6-9F56-A700AF58005A}"/>
            </c:ext>
          </c:extLst>
        </c:ser>
        <c:dLbls>
          <c:showLegendKey val="0"/>
          <c:showVal val="0"/>
          <c:showCatName val="0"/>
          <c:showSerName val="0"/>
          <c:showPercent val="0"/>
          <c:showBubbleSize val="0"/>
        </c:dLbls>
        <c:axId val="1379012175"/>
        <c:axId val="1374627919"/>
      </c:scatterChart>
      <c:valAx>
        <c:axId val="1379012175"/>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374627919"/>
        <c:crosses val="autoZero"/>
        <c:crossBetween val="midCat"/>
      </c:valAx>
      <c:valAx>
        <c:axId val="137462791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901217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'Seasonality and Trend Adressed'!$H$50:$H$65</c:f>
              <c:numCache>
                <c:formatCode>General</c:formatCode>
                <c:ptCount val="16"/>
                <c:pt idx="0">
                  <c:v>3.125</c:v>
                </c:pt>
                <c:pt idx="1">
                  <c:v>9.375</c:v>
                </c:pt>
                <c:pt idx="2">
                  <c:v>15.625</c:v>
                </c:pt>
                <c:pt idx="3">
                  <c:v>21.875</c:v>
                </c:pt>
                <c:pt idx="4">
                  <c:v>28.125</c:v>
                </c:pt>
                <c:pt idx="5">
                  <c:v>34.375</c:v>
                </c:pt>
                <c:pt idx="6">
                  <c:v>40.625</c:v>
                </c:pt>
                <c:pt idx="7">
                  <c:v>46.875</c:v>
                </c:pt>
                <c:pt idx="8">
                  <c:v>53.125</c:v>
                </c:pt>
                <c:pt idx="9">
                  <c:v>59.375</c:v>
                </c:pt>
                <c:pt idx="10">
                  <c:v>65.625</c:v>
                </c:pt>
                <c:pt idx="11">
                  <c:v>71.875</c:v>
                </c:pt>
                <c:pt idx="12">
                  <c:v>78.125</c:v>
                </c:pt>
                <c:pt idx="13">
                  <c:v>84.375</c:v>
                </c:pt>
                <c:pt idx="14">
                  <c:v>90.625</c:v>
                </c:pt>
                <c:pt idx="15">
                  <c:v>96.875</c:v>
                </c:pt>
              </c:numCache>
            </c:numRef>
          </c:xVal>
          <c:yVal>
            <c:numRef>
              <c:f>'Seasonality and Trend Adressed'!$I$50:$I$65</c:f>
              <c:numCache>
                <c:formatCode>General</c:formatCode>
                <c:ptCount val="16"/>
                <c:pt idx="0">
                  <c:v>4.0999999999999996</c:v>
                </c:pt>
                <c:pt idx="1">
                  <c:v>4.8</c:v>
                </c:pt>
                <c:pt idx="2">
                  <c:v>5.2</c:v>
                </c:pt>
                <c:pt idx="3">
                  <c:v>5.6</c:v>
                </c:pt>
                <c:pt idx="4">
                  <c:v>5.8</c:v>
                </c:pt>
                <c:pt idx="5">
                  <c:v>5.9</c:v>
                </c:pt>
                <c:pt idx="6">
                  <c:v>6</c:v>
                </c:pt>
                <c:pt idx="7">
                  <c:v>6</c:v>
                </c:pt>
                <c:pt idx="8">
                  <c:v>6.3</c:v>
                </c:pt>
                <c:pt idx="9">
                  <c:v>6.5</c:v>
                </c:pt>
                <c:pt idx="10">
                  <c:v>6.8</c:v>
                </c:pt>
                <c:pt idx="11">
                  <c:v>7.4</c:v>
                </c:pt>
                <c:pt idx="12">
                  <c:v>7.5</c:v>
                </c:pt>
                <c:pt idx="13">
                  <c:v>7.8</c:v>
                </c:pt>
                <c:pt idx="14">
                  <c:v>8</c:v>
                </c:pt>
                <c:pt idx="15">
                  <c:v>8.4</c:v>
                </c:pt>
              </c:numCache>
            </c:numRef>
          </c:yVal>
          <c:smooth val="0"/>
          <c:extLst>
            <c:ext xmlns:c16="http://schemas.microsoft.com/office/drawing/2014/chart" uri="{C3380CC4-5D6E-409C-BE32-E72D297353CC}">
              <c16:uniqueId val="{00000001-1E26-4948-B9E6-400CF7177D36}"/>
            </c:ext>
          </c:extLst>
        </c:ser>
        <c:dLbls>
          <c:showLegendKey val="0"/>
          <c:showVal val="0"/>
          <c:showCatName val="0"/>
          <c:showSerName val="0"/>
          <c:showPercent val="0"/>
          <c:showBubbleSize val="0"/>
        </c:dLbls>
        <c:axId val="1378998255"/>
        <c:axId val="1374640879"/>
      </c:scatterChart>
      <c:valAx>
        <c:axId val="1378998255"/>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374640879"/>
        <c:crosses val="autoZero"/>
        <c:crossBetween val="midCat"/>
      </c:valAx>
      <c:valAx>
        <c:axId val="1374640879"/>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1378998255"/>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Observed Values</c:v>
          </c:tx>
          <c:spPr>
            <a:ln w="25400" cap="rnd">
              <a:solidFill>
                <a:srgbClr val="7030A0"/>
              </a:solidFill>
              <a:round/>
            </a:ln>
            <a:effectLst/>
          </c:spPr>
          <c:marker>
            <c:symbol val="circle"/>
            <c:size val="5"/>
            <c:spPr>
              <a:solidFill>
                <a:schemeClr val="accent1"/>
              </a:solidFill>
              <a:ln w="9525">
                <a:solidFill>
                  <a:schemeClr val="accent1"/>
                </a:solidFill>
              </a:ln>
              <a:effectLst/>
            </c:spPr>
          </c:marker>
          <c:yVal>
            <c:numRef>
              <c:f>'18.19 Seasonality and Trend'!$C$2:$C$17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0-01D3-4411-B699-DC765B8CECE3}"/>
            </c:ext>
          </c:extLst>
        </c:ser>
        <c:ser>
          <c:idx val="1"/>
          <c:order val="1"/>
          <c:tx>
            <c:v>Predicted Values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'Seasonality and Trend Adressed'!$C$50:$C$65</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'Seasonality and Trend Adressed'!$D$50:$D$65</c:f>
              <c:numCache>
                <c:formatCode>General</c:formatCode>
                <c:ptCount val="16"/>
                <c:pt idx="0">
                  <c:v>4.8512499999999994</c:v>
                </c:pt>
                <c:pt idx="1">
                  <c:v>4.326249999999999</c:v>
                </c:pt>
                <c:pt idx="2">
                  <c:v>6.2012499999999999</c:v>
                </c:pt>
                <c:pt idx="3">
                  <c:v>6.6512500000000001</c:v>
                </c:pt>
                <c:pt idx="4">
                  <c:v>5.4337499999999999</c:v>
                </c:pt>
                <c:pt idx="5">
                  <c:v>4.9087499999999995</c:v>
                </c:pt>
                <c:pt idx="6">
                  <c:v>6.7837500000000004</c:v>
                </c:pt>
                <c:pt idx="7">
                  <c:v>7.2337499999999997</c:v>
                </c:pt>
                <c:pt idx="8">
                  <c:v>6.0162499999999994</c:v>
                </c:pt>
                <c:pt idx="9">
                  <c:v>5.4912499999999991</c:v>
                </c:pt>
                <c:pt idx="10">
                  <c:v>7.3662500000000009</c:v>
                </c:pt>
                <c:pt idx="11">
                  <c:v>7.8162500000000001</c:v>
                </c:pt>
                <c:pt idx="12">
                  <c:v>6.5987499999999999</c:v>
                </c:pt>
                <c:pt idx="13">
                  <c:v>6.0737499999999995</c:v>
                </c:pt>
                <c:pt idx="14">
                  <c:v>7.9487500000000004</c:v>
                </c:pt>
                <c:pt idx="15">
                  <c:v>8.3987499999999997</c:v>
                </c:pt>
              </c:numCache>
            </c:numRef>
          </c:yVal>
          <c:smooth val="0"/>
          <c:extLst>
            <c:ext xmlns:c16="http://schemas.microsoft.com/office/drawing/2014/chart" uri="{C3380CC4-5D6E-409C-BE32-E72D297353CC}">
              <c16:uniqueId val="{00000002-01D3-4411-B699-DC765B8CECE3}"/>
            </c:ext>
          </c:extLst>
        </c:ser>
        <c:ser>
          <c:idx val="2"/>
          <c:order val="2"/>
          <c:tx>
            <c:v>Future Predictions</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noFill/>
                <a:ln w="9525">
                  <a:noFill/>
                </a:ln>
                <a:effectLst/>
              </c:spPr>
            </c:marker>
            <c:bubble3D val="0"/>
            <c:spPr>
              <a:ln w="19050" cap="rnd">
                <a:noFill/>
                <a:round/>
              </a:ln>
              <a:effectLst/>
            </c:spPr>
            <c:extLst>
              <c:ext xmlns:c16="http://schemas.microsoft.com/office/drawing/2014/chart" uri="{C3380CC4-5D6E-409C-BE32-E72D297353CC}">
                <c16:uniqueId val="{00000004-01D3-4411-B699-DC765B8CECE3}"/>
              </c:ext>
            </c:extLst>
          </c:dPt>
          <c:xVal>
            <c:numRef>
              <c:f>'Seasonality and Trend Adressed'!$F$18:$F$22</c:f>
              <c:numCache>
                <c:formatCode>General</c:formatCode>
                <c:ptCount val="5"/>
                <c:pt idx="0">
                  <c:v>16.100000000000001</c:v>
                </c:pt>
                <c:pt idx="1">
                  <c:v>17</c:v>
                </c:pt>
                <c:pt idx="2">
                  <c:v>18</c:v>
                </c:pt>
                <c:pt idx="3">
                  <c:v>19</c:v>
                </c:pt>
                <c:pt idx="4">
                  <c:v>20</c:v>
                </c:pt>
              </c:numCache>
            </c:numRef>
          </c:xVal>
          <c:yVal>
            <c:numRef>
              <c:f>'Seasonality and Trend Adressed'!$G$18:$G$22</c:f>
              <c:numCache>
                <c:formatCode>General</c:formatCode>
                <c:ptCount val="5"/>
                <c:pt idx="0">
                  <c:v>8.5</c:v>
                </c:pt>
                <c:pt idx="1">
                  <c:v>7.1812500000000004</c:v>
                </c:pt>
                <c:pt idx="2">
                  <c:v>6.65625</c:v>
                </c:pt>
                <c:pt idx="3">
                  <c:v>8.53125</c:v>
                </c:pt>
                <c:pt idx="4">
                  <c:v>8.9812499999999993</c:v>
                </c:pt>
              </c:numCache>
            </c:numRef>
          </c:yVal>
          <c:smooth val="0"/>
          <c:extLst>
            <c:ext xmlns:c16="http://schemas.microsoft.com/office/drawing/2014/chart" uri="{C3380CC4-5D6E-409C-BE32-E72D297353CC}">
              <c16:uniqueId val="{00000003-01D3-4411-B699-DC765B8CECE3}"/>
            </c:ext>
          </c:extLst>
        </c:ser>
        <c:dLbls>
          <c:showLegendKey val="0"/>
          <c:showVal val="0"/>
          <c:showCatName val="0"/>
          <c:showSerName val="0"/>
          <c:showPercent val="0"/>
          <c:showBubbleSize val="0"/>
        </c:dLbls>
        <c:axId val="1379014959"/>
        <c:axId val="1379553503"/>
      </c:scatterChart>
      <c:valAx>
        <c:axId val="1379014959"/>
        <c:scaling>
          <c:orientation val="minMax"/>
          <c:max val="2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379553503"/>
        <c:crosses val="autoZero"/>
        <c:crossBetween val="midCat"/>
        <c:majorUnit val="1"/>
      </c:valAx>
      <c:valAx>
        <c:axId val="13795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4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Observed Values</c:v>
          </c:tx>
          <c:spPr>
            <a:ln w="25400" cap="rnd">
              <a:solidFill>
                <a:srgbClr val="7030A0"/>
              </a:solidFill>
              <a:round/>
            </a:ln>
            <a:effectLst/>
          </c:spPr>
          <c:marker>
            <c:symbol val="circle"/>
            <c:size val="5"/>
            <c:spPr>
              <a:solidFill>
                <a:schemeClr val="accent1"/>
              </a:solidFill>
              <a:ln w="9525">
                <a:solidFill>
                  <a:schemeClr val="accent1"/>
                </a:solidFill>
              </a:ln>
              <a:effectLst/>
            </c:spPr>
          </c:marker>
          <c:yVal>
            <c:numRef>
              <c:f>'18.19 Seasonality and Trend'!$C$2:$C$17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0-B4BC-4841-857C-B54B10907F3F}"/>
            </c:ext>
          </c:extLst>
        </c:ser>
        <c:ser>
          <c:idx val="1"/>
          <c:order val="1"/>
          <c:tx>
            <c:v>Centered Moving Average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'Decomposition seasonal indexes'!$G$4:$G$15</c:f>
              <c:numCache>
                <c:formatCode>General</c:formatCode>
                <c:ptCount val="12"/>
                <c:pt idx="0">
                  <c:v>3</c:v>
                </c:pt>
                <c:pt idx="1">
                  <c:v>4</c:v>
                </c:pt>
                <c:pt idx="2">
                  <c:v>5</c:v>
                </c:pt>
                <c:pt idx="3">
                  <c:v>6</c:v>
                </c:pt>
                <c:pt idx="4">
                  <c:v>7</c:v>
                </c:pt>
                <c:pt idx="5">
                  <c:v>8</c:v>
                </c:pt>
                <c:pt idx="6">
                  <c:v>9</c:v>
                </c:pt>
                <c:pt idx="7">
                  <c:v>10</c:v>
                </c:pt>
                <c:pt idx="8">
                  <c:v>11</c:v>
                </c:pt>
                <c:pt idx="9">
                  <c:v>12</c:v>
                </c:pt>
                <c:pt idx="10">
                  <c:v>13</c:v>
                </c:pt>
                <c:pt idx="11">
                  <c:v>14</c:v>
                </c:pt>
              </c:numCache>
            </c:numRef>
          </c:xVal>
          <c:yVal>
            <c:numRef>
              <c:f>'Decomposition seasonal indexes'!$E$4:$E$15</c:f>
              <c:numCache>
                <c:formatCode>0.000</c:formatCode>
                <c:ptCount val="12"/>
                <c:pt idx="0">
                  <c:v>5.4749999999999996</c:v>
                </c:pt>
                <c:pt idx="1">
                  <c:v>5.7375000000000007</c:v>
                </c:pt>
                <c:pt idx="2">
                  <c:v>5.9749999999999996</c:v>
                </c:pt>
                <c:pt idx="3">
                  <c:v>6.1875</c:v>
                </c:pt>
                <c:pt idx="4">
                  <c:v>6.3250000000000002</c:v>
                </c:pt>
                <c:pt idx="5">
                  <c:v>6.3999999999999995</c:v>
                </c:pt>
                <c:pt idx="6">
                  <c:v>6.5374999999999996</c:v>
                </c:pt>
                <c:pt idx="7">
                  <c:v>6.6750000000000007</c:v>
                </c:pt>
                <c:pt idx="8">
                  <c:v>6.7625000000000002</c:v>
                </c:pt>
                <c:pt idx="9">
                  <c:v>6.8375000000000004</c:v>
                </c:pt>
                <c:pt idx="10">
                  <c:v>6.9375</c:v>
                </c:pt>
                <c:pt idx="11">
                  <c:v>7.0750000000000002</c:v>
                </c:pt>
              </c:numCache>
            </c:numRef>
          </c:yVal>
          <c:smooth val="0"/>
          <c:extLst>
            <c:ext xmlns:c16="http://schemas.microsoft.com/office/drawing/2014/chart" uri="{C3380CC4-5D6E-409C-BE32-E72D297353CC}">
              <c16:uniqueId val="{00000002-B4BC-4841-857C-B54B10907F3F}"/>
            </c:ext>
          </c:extLst>
        </c:ser>
        <c:dLbls>
          <c:showLegendKey val="0"/>
          <c:showVal val="0"/>
          <c:showCatName val="0"/>
          <c:showSerName val="0"/>
          <c:showPercent val="0"/>
          <c:showBubbleSize val="0"/>
        </c:dLbls>
        <c:axId val="1379014959"/>
        <c:axId val="1379553503"/>
      </c:scatterChart>
      <c:valAx>
        <c:axId val="1379014959"/>
        <c:scaling>
          <c:orientation val="minMax"/>
          <c:max val="19"/>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379553503"/>
        <c:crosses val="autoZero"/>
        <c:crossBetween val="midCat"/>
        <c:majorUnit val="1"/>
      </c:valAx>
      <c:valAx>
        <c:axId val="137955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14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Deseasonalized Television</a:t>
            </a:r>
            <a:r>
              <a:rPr lang="en-US" baseline="0"/>
              <a:t> Set Sales Time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Deseasonalized Sales</c:v>
          </c:tx>
          <c:spPr>
            <a:ln w="25400" cap="rnd">
              <a:solidFill>
                <a:srgbClr val="0070C0"/>
              </a:solidFill>
              <a:round/>
            </a:ln>
            <a:effectLst/>
          </c:spPr>
          <c:marker>
            <c:symbol val="circle"/>
            <c:size val="5"/>
            <c:spPr>
              <a:solidFill>
                <a:schemeClr val="accent1"/>
              </a:solidFill>
              <a:ln w="9525">
                <a:solidFill>
                  <a:schemeClr val="accent1"/>
                </a:solidFill>
              </a:ln>
              <a:effectLst/>
            </c:spPr>
          </c:marker>
          <c:yVal>
            <c:numRef>
              <c:f>'Decomposition Deseasonalized '!$F$2:$F$17</c:f>
              <c:numCache>
                <c:formatCode>General</c:formatCode>
                <c:ptCount val="16"/>
                <c:pt idx="0">
                  <c:v>5.1491069966198779</c:v>
                </c:pt>
                <c:pt idx="1">
                  <c:v>4.8940077043632355</c:v>
                </c:pt>
                <c:pt idx="2">
                  <c:v>5.4877270351727612</c:v>
                </c:pt>
                <c:pt idx="3">
                  <c:v>5.6852713745967334</c:v>
                </c:pt>
                <c:pt idx="4">
                  <c:v>6.2218376209156858</c:v>
                </c:pt>
                <c:pt idx="5">
                  <c:v>6.2070341616314213</c:v>
                </c:pt>
                <c:pt idx="6">
                  <c:v>6.2194239731957719</c:v>
                </c:pt>
                <c:pt idx="7">
                  <c:v>6.4724627956947423</c:v>
                </c:pt>
                <c:pt idx="8">
                  <c:v>6.4363837457748474</c:v>
                </c:pt>
                <c:pt idx="9">
                  <c:v>6.6844983279107604</c:v>
                </c:pt>
                <c:pt idx="10">
                  <c:v>6.8596587939659246</c:v>
                </c:pt>
                <c:pt idx="11">
                  <c:v>6.8223256495160793</c:v>
                </c:pt>
                <c:pt idx="12">
                  <c:v>6.7582029330635898</c:v>
                </c:pt>
                <c:pt idx="13">
                  <c:v>7.0425964526202662</c:v>
                </c:pt>
                <c:pt idx="14">
                  <c:v>7.3169693802303195</c:v>
                </c:pt>
                <c:pt idx="15">
                  <c:v>7.3471199302480859</c:v>
                </c:pt>
              </c:numCache>
            </c:numRef>
          </c:yVal>
          <c:smooth val="0"/>
          <c:extLst>
            <c:ext xmlns:c16="http://schemas.microsoft.com/office/drawing/2014/chart" uri="{C3380CC4-5D6E-409C-BE32-E72D297353CC}">
              <c16:uniqueId val="{00000000-5A91-4F40-9742-068F06A0DF79}"/>
            </c:ext>
          </c:extLst>
        </c:ser>
        <c:ser>
          <c:idx val="1"/>
          <c:order val="1"/>
          <c:tx>
            <c:v>Trend of deseasonalized sales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'!$J$44:$J$59</c:f>
              <c:numCache>
                <c:formatCode>General</c:formatCode>
                <c:ptCount val="16"/>
                <c:pt idx="0">
                  <c:v>5.2467488107686799</c:v>
                </c:pt>
                <c:pt idx="1">
                  <c:v>5.3938875266288564</c:v>
                </c:pt>
                <c:pt idx="2">
                  <c:v>5.5410262424890329</c:v>
                </c:pt>
                <c:pt idx="3">
                  <c:v>5.6881649583492093</c:v>
                </c:pt>
                <c:pt idx="4">
                  <c:v>5.8353036742093867</c:v>
                </c:pt>
                <c:pt idx="5">
                  <c:v>5.9824423900695631</c:v>
                </c:pt>
                <c:pt idx="6">
                  <c:v>6.1295811059297396</c:v>
                </c:pt>
                <c:pt idx="7">
                  <c:v>6.2767198217899161</c:v>
                </c:pt>
                <c:pt idx="8">
                  <c:v>6.4238585376500925</c:v>
                </c:pt>
                <c:pt idx="9">
                  <c:v>6.570997253510269</c:v>
                </c:pt>
                <c:pt idx="10">
                  <c:v>6.7181359693704454</c:v>
                </c:pt>
                <c:pt idx="11">
                  <c:v>6.8652746852306219</c:v>
                </c:pt>
                <c:pt idx="12">
                  <c:v>7.0124134010907984</c:v>
                </c:pt>
                <c:pt idx="13">
                  <c:v>7.1595521169509748</c:v>
                </c:pt>
                <c:pt idx="14">
                  <c:v>7.3066908328111513</c:v>
                </c:pt>
                <c:pt idx="15">
                  <c:v>7.4538295486713277</c:v>
                </c:pt>
              </c:numCache>
            </c:numRef>
          </c:yVal>
          <c:smooth val="0"/>
          <c:extLst>
            <c:ext xmlns:c16="http://schemas.microsoft.com/office/drawing/2014/chart" uri="{C3380CC4-5D6E-409C-BE32-E72D297353CC}">
              <c16:uniqueId val="{00000000-9031-4C52-AAFE-75F72C408BD0}"/>
            </c:ext>
          </c:extLst>
        </c:ser>
        <c:ser>
          <c:idx val="2"/>
          <c:order val="2"/>
          <c:tx>
            <c:v>Future Trendt</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circle"/>
              <c:size val="5"/>
              <c:spPr>
                <a:noFill/>
                <a:ln w="9525">
                  <a:noFill/>
                </a:ln>
                <a:effectLst/>
              </c:spPr>
            </c:marker>
            <c:bubble3D val="0"/>
            <c:extLst>
              <c:ext xmlns:c16="http://schemas.microsoft.com/office/drawing/2014/chart" uri="{C3380CC4-5D6E-409C-BE32-E72D297353CC}">
                <c16:uniqueId val="{00000002-9031-4C52-AAFE-75F72C408BD0}"/>
              </c:ext>
            </c:extLst>
          </c:dPt>
          <c:xVal>
            <c:numRef>
              <c:f>'Decomposition Deseasonalized '!$A$18:$A$20</c:f>
              <c:numCache>
                <c:formatCode>General</c:formatCode>
                <c:ptCount val="3"/>
                <c:pt idx="0">
                  <c:v>16.100000000000001</c:v>
                </c:pt>
                <c:pt idx="1">
                  <c:v>17</c:v>
                </c:pt>
                <c:pt idx="2">
                  <c:v>18</c:v>
                </c:pt>
              </c:numCache>
            </c:numRef>
          </c:xVal>
          <c:yVal>
            <c:numRef>
              <c:f>'Decomposition Deseasonalized '!$G$18:$G$20</c:f>
              <c:numCache>
                <c:formatCode>0.0000</c:formatCode>
                <c:ptCount val="3"/>
                <c:pt idx="0" formatCode="General">
                  <c:v>7.45</c:v>
                </c:pt>
                <c:pt idx="1">
                  <c:v>7.6009682645315042</c:v>
                </c:pt>
                <c:pt idx="2" formatCode="0.000">
                  <c:v>7.7481069803916807</c:v>
                </c:pt>
              </c:numCache>
            </c:numRef>
          </c:yVal>
          <c:smooth val="0"/>
          <c:extLst>
            <c:ext xmlns:c16="http://schemas.microsoft.com/office/drawing/2014/chart" uri="{C3380CC4-5D6E-409C-BE32-E72D297353CC}">
              <c16:uniqueId val="{00000001-9031-4C52-AAFE-75F72C408BD0}"/>
            </c:ext>
          </c:extLst>
        </c:ser>
        <c:ser>
          <c:idx val="3"/>
          <c:order val="3"/>
          <c:tx>
            <c:v>Observed Sales</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'!$D$2:$D$17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0"/>
          <c:extLst>
            <c:ext xmlns:c16="http://schemas.microsoft.com/office/drawing/2014/chart" uri="{C3380CC4-5D6E-409C-BE32-E72D297353CC}">
              <c16:uniqueId val="{00000003-9031-4C52-AAFE-75F72C408BD0}"/>
            </c:ext>
          </c:extLst>
        </c:ser>
        <c:ser>
          <c:idx val="4"/>
          <c:order val="4"/>
          <c:tx>
            <c:v>Future Quarterly Forecast</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'Decomposition Deseasonalized '!$A$19:$A$22</c:f>
              <c:numCache>
                <c:formatCode>General</c:formatCode>
                <c:ptCount val="4"/>
                <c:pt idx="0">
                  <c:v>17</c:v>
                </c:pt>
                <c:pt idx="1">
                  <c:v>18</c:v>
                </c:pt>
                <c:pt idx="2">
                  <c:v>19</c:v>
                </c:pt>
                <c:pt idx="3">
                  <c:v>20</c:v>
                </c:pt>
              </c:numCache>
            </c:numRef>
          </c:xVal>
          <c:yVal>
            <c:numRef>
              <c:f>'Decomposition Deseasonalized '!$H$19:$H$22</c:f>
              <c:numCache>
                <c:formatCode>0.000</c:formatCode>
                <c:ptCount val="4"/>
                <c:pt idx="0">
                  <c:v>7.085626244259732</c:v>
                </c:pt>
                <c:pt idx="1">
                  <c:v>6.4910479383356749</c:v>
                </c:pt>
                <c:pt idx="2">
                  <c:v>8.6322577405710952</c:v>
                </c:pt>
                <c:pt idx="3">
                  <c:v>9.1948994576246115</c:v>
                </c:pt>
              </c:numCache>
            </c:numRef>
          </c:yVal>
          <c:smooth val="0"/>
          <c:extLst>
            <c:ext xmlns:c16="http://schemas.microsoft.com/office/drawing/2014/chart" uri="{C3380CC4-5D6E-409C-BE32-E72D297353CC}">
              <c16:uniqueId val="{00000004-9031-4C52-AAFE-75F72C408BD0}"/>
            </c:ext>
          </c:extLst>
        </c:ser>
        <c:ser>
          <c:idx val="5"/>
          <c:order val="5"/>
          <c:tx>
            <c:v>Predicted Sales</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'!$H$2:$H$17</c:f>
              <c:numCache>
                <c:formatCode>General</c:formatCode>
                <c:ptCount val="16"/>
                <c:pt idx="0">
                  <c:v>4.8910217457555092</c:v>
                </c:pt>
                <c:pt idx="1">
                  <c:v>4.5187789221218049</c:v>
                </c:pt>
                <c:pt idx="2">
                  <c:v>6.0582746266073277</c:v>
                </c:pt>
                <c:pt idx="3">
                  <c:v>6.5033082491849266</c:v>
                </c:pt>
                <c:pt idx="4">
                  <c:v>5.4396728703815658</c:v>
                </c:pt>
                <c:pt idx="5">
                  <c:v>5.0118461761752728</c:v>
                </c:pt>
                <c:pt idx="6">
                  <c:v>6.7017704050982871</c:v>
                </c:pt>
                <c:pt idx="7">
                  <c:v>7.176206051294848</c:v>
                </c:pt>
                <c:pt idx="8">
                  <c:v>5.9883239950076215</c:v>
                </c:pt>
                <c:pt idx="9">
                  <c:v>5.5049134302287399</c:v>
                </c:pt>
                <c:pt idx="10">
                  <c:v>7.3452661835892226</c:v>
                </c:pt>
                <c:pt idx="11">
                  <c:v>7.8491038534047686</c:v>
                </c:pt>
                <c:pt idx="12">
                  <c:v>6.5369751196336772</c:v>
                </c:pt>
                <c:pt idx="13">
                  <c:v>5.9979806842822079</c:v>
                </c:pt>
                <c:pt idx="14">
                  <c:v>7.988761962080158</c:v>
                </c:pt>
                <c:pt idx="15">
                  <c:v>8.5220016555146891</c:v>
                </c:pt>
              </c:numCache>
            </c:numRef>
          </c:yVal>
          <c:smooth val="0"/>
          <c:extLst>
            <c:ext xmlns:c16="http://schemas.microsoft.com/office/drawing/2014/chart" uri="{C3380CC4-5D6E-409C-BE32-E72D297353CC}">
              <c16:uniqueId val="{00000005-9031-4C52-AAFE-75F72C408BD0}"/>
            </c:ext>
          </c:extLst>
        </c:ser>
        <c:dLbls>
          <c:showLegendKey val="0"/>
          <c:showVal val="0"/>
          <c:showCatName val="0"/>
          <c:showSerName val="0"/>
          <c:showPercent val="0"/>
          <c:showBubbleSize val="0"/>
        </c:dLbls>
        <c:axId val="1850361167"/>
        <c:axId val="1073596879"/>
      </c:scatterChart>
      <c:valAx>
        <c:axId val="1850361167"/>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96879"/>
        <c:crosses val="autoZero"/>
        <c:crossBetween val="midCat"/>
      </c:valAx>
      <c:valAx>
        <c:axId val="1073596879"/>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611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Residual Plot</a:t>
            </a:r>
          </a:p>
        </c:rich>
      </c:tx>
      <c:overlay val="0"/>
    </c:title>
    <c:autoTitleDeleted val="0"/>
    <c:plotArea>
      <c:layout/>
      <c:scatterChart>
        <c:scatterStyle val="lineMarker"/>
        <c:varyColors val="0"/>
        <c:ser>
          <c:idx val="0"/>
          <c:order val="0"/>
          <c:spPr>
            <a:ln w="19050">
              <a:noFill/>
            </a:ln>
          </c:spP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'!$K$44:$K$59</c:f>
              <c:numCache>
                <c:formatCode>General</c:formatCode>
                <c:ptCount val="16"/>
                <c:pt idx="0">
                  <c:v>-9.764181414880202E-2</c:v>
                </c:pt>
                <c:pt idx="1">
                  <c:v>-0.49987982226562089</c:v>
                </c:pt>
                <c:pt idx="2">
                  <c:v>-5.3299207316293007E-2</c:v>
                </c:pt>
                <c:pt idx="3">
                  <c:v>-2.8935837524759478E-3</c:v>
                </c:pt>
                <c:pt idx="4">
                  <c:v>0.38653394670629915</c:v>
                </c:pt>
                <c:pt idx="5">
                  <c:v>0.22459177156185817</c:v>
                </c:pt>
                <c:pt idx="6">
                  <c:v>8.98428672660323E-2</c:v>
                </c:pt>
                <c:pt idx="7">
                  <c:v>0.1957429739048262</c:v>
                </c:pt>
                <c:pt idx="8">
                  <c:v>1.2525208124754883E-2</c:v>
                </c:pt>
                <c:pt idx="9">
                  <c:v>0.1135010744004914</c:v>
                </c:pt>
                <c:pt idx="10">
                  <c:v>0.14152282459547916</c:v>
                </c:pt>
                <c:pt idx="11">
                  <c:v>-4.2949035714542561E-2</c:v>
                </c:pt>
                <c:pt idx="12">
                  <c:v>-0.25421046802720859</c:v>
                </c:pt>
                <c:pt idx="13">
                  <c:v>-0.11695566433070859</c:v>
                </c:pt>
                <c:pt idx="14">
                  <c:v>1.0278547419168227E-2</c:v>
                </c:pt>
                <c:pt idx="15">
                  <c:v>-0.10670961842324189</c:v>
                </c:pt>
              </c:numCache>
            </c:numRef>
          </c:yVal>
          <c:smooth val="0"/>
          <c:extLst>
            <c:ext xmlns:c16="http://schemas.microsoft.com/office/drawing/2014/chart" uri="{C3380CC4-5D6E-409C-BE32-E72D297353CC}">
              <c16:uniqueId val="{00000001-0E58-4CD5-9580-D2CFCD7E3246}"/>
            </c:ext>
          </c:extLst>
        </c:ser>
        <c:dLbls>
          <c:showLegendKey val="0"/>
          <c:showVal val="0"/>
          <c:showCatName val="0"/>
          <c:showSerName val="0"/>
          <c:showPercent val="0"/>
          <c:showBubbleSize val="0"/>
        </c:dLbls>
        <c:axId val="1850300383"/>
        <c:axId val="1772287023"/>
      </c:scatterChart>
      <c:valAx>
        <c:axId val="1850300383"/>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772287023"/>
        <c:crosses val="autoZero"/>
        <c:crossBetween val="midCat"/>
      </c:valAx>
      <c:valAx>
        <c:axId val="1772287023"/>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0300383"/>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 Line Fit  Plot</a:t>
            </a:r>
          </a:p>
        </c:rich>
      </c:tx>
      <c:overlay val="0"/>
    </c:title>
    <c:autoTitleDeleted val="0"/>
    <c:plotArea>
      <c:layout/>
      <c:scatterChart>
        <c:scatterStyle val="lineMarker"/>
        <c:varyColors val="0"/>
        <c:ser>
          <c:idx val="0"/>
          <c:order val="0"/>
          <c:tx>
            <c:v>Deseasonalized Sales</c:v>
          </c:tx>
          <c:spPr>
            <a:ln w="19050">
              <a:noFill/>
            </a:ln>
          </c:spP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'!$F$2:$F$17</c:f>
              <c:numCache>
                <c:formatCode>General</c:formatCode>
                <c:ptCount val="16"/>
                <c:pt idx="0">
                  <c:v>5.1491069966198779</c:v>
                </c:pt>
                <c:pt idx="1">
                  <c:v>4.8940077043632355</c:v>
                </c:pt>
                <c:pt idx="2">
                  <c:v>5.4877270351727612</c:v>
                </c:pt>
                <c:pt idx="3">
                  <c:v>5.6852713745967334</c:v>
                </c:pt>
                <c:pt idx="4">
                  <c:v>6.2218376209156858</c:v>
                </c:pt>
                <c:pt idx="5">
                  <c:v>6.2070341616314213</c:v>
                </c:pt>
                <c:pt idx="6">
                  <c:v>6.2194239731957719</c:v>
                </c:pt>
                <c:pt idx="7">
                  <c:v>6.4724627956947423</c:v>
                </c:pt>
                <c:pt idx="8">
                  <c:v>6.4363837457748474</c:v>
                </c:pt>
                <c:pt idx="9">
                  <c:v>6.6844983279107604</c:v>
                </c:pt>
                <c:pt idx="10">
                  <c:v>6.8596587939659246</c:v>
                </c:pt>
                <c:pt idx="11">
                  <c:v>6.8223256495160793</c:v>
                </c:pt>
                <c:pt idx="12">
                  <c:v>6.7582029330635898</c:v>
                </c:pt>
                <c:pt idx="13">
                  <c:v>7.0425964526202662</c:v>
                </c:pt>
                <c:pt idx="14">
                  <c:v>7.3169693802303195</c:v>
                </c:pt>
                <c:pt idx="15">
                  <c:v>7.3471199302480859</c:v>
                </c:pt>
              </c:numCache>
            </c:numRef>
          </c:yVal>
          <c:smooth val="0"/>
          <c:extLst>
            <c:ext xmlns:c16="http://schemas.microsoft.com/office/drawing/2014/chart" uri="{C3380CC4-5D6E-409C-BE32-E72D297353CC}">
              <c16:uniqueId val="{00000001-D142-4B91-B844-7F15BD5A8080}"/>
            </c:ext>
          </c:extLst>
        </c:ser>
        <c:ser>
          <c:idx val="1"/>
          <c:order val="1"/>
          <c:tx>
            <c:v>Predicted Deseasonalized Sales</c:v>
          </c:tx>
          <c:spPr>
            <a:ln w="19050">
              <a:noFill/>
            </a:ln>
          </c:spP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'!$J$44:$J$59</c:f>
              <c:numCache>
                <c:formatCode>General</c:formatCode>
                <c:ptCount val="16"/>
                <c:pt idx="0">
                  <c:v>5.2467488107686799</c:v>
                </c:pt>
                <c:pt idx="1">
                  <c:v>5.3938875266288564</c:v>
                </c:pt>
                <c:pt idx="2">
                  <c:v>5.5410262424890329</c:v>
                </c:pt>
                <c:pt idx="3">
                  <c:v>5.6881649583492093</c:v>
                </c:pt>
                <c:pt idx="4">
                  <c:v>5.8353036742093867</c:v>
                </c:pt>
                <c:pt idx="5">
                  <c:v>5.9824423900695631</c:v>
                </c:pt>
                <c:pt idx="6">
                  <c:v>6.1295811059297396</c:v>
                </c:pt>
                <c:pt idx="7">
                  <c:v>6.2767198217899161</c:v>
                </c:pt>
                <c:pt idx="8">
                  <c:v>6.4238585376500925</c:v>
                </c:pt>
                <c:pt idx="9">
                  <c:v>6.570997253510269</c:v>
                </c:pt>
                <c:pt idx="10">
                  <c:v>6.7181359693704454</c:v>
                </c:pt>
                <c:pt idx="11">
                  <c:v>6.8652746852306219</c:v>
                </c:pt>
                <c:pt idx="12">
                  <c:v>7.0124134010907984</c:v>
                </c:pt>
                <c:pt idx="13">
                  <c:v>7.1595521169509748</c:v>
                </c:pt>
                <c:pt idx="14">
                  <c:v>7.3066908328111513</c:v>
                </c:pt>
                <c:pt idx="15">
                  <c:v>7.4538295486713277</c:v>
                </c:pt>
              </c:numCache>
            </c:numRef>
          </c:yVal>
          <c:smooth val="0"/>
          <c:extLst>
            <c:ext xmlns:c16="http://schemas.microsoft.com/office/drawing/2014/chart" uri="{C3380CC4-5D6E-409C-BE32-E72D297353CC}">
              <c16:uniqueId val="{00000002-D142-4B91-B844-7F15BD5A8080}"/>
            </c:ext>
          </c:extLst>
        </c:ser>
        <c:dLbls>
          <c:showLegendKey val="0"/>
          <c:showVal val="0"/>
          <c:showCatName val="0"/>
          <c:showSerName val="0"/>
          <c:showPercent val="0"/>
          <c:showBubbleSize val="0"/>
        </c:dLbls>
        <c:axId val="1850388079"/>
        <c:axId val="1772287983"/>
      </c:scatterChart>
      <c:valAx>
        <c:axId val="1850388079"/>
        <c:scaling>
          <c:orientation val="minMax"/>
        </c:scaling>
        <c:delete val="0"/>
        <c:axPos val="b"/>
        <c:title>
          <c:tx>
            <c:rich>
              <a:bodyPr/>
              <a:lstStyle/>
              <a:p>
                <a:pPr>
                  <a:defRPr/>
                </a:pPr>
                <a:r>
                  <a:rPr lang="en-US"/>
                  <a:t>t</a:t>
                </a:r>
              </a:p>
            </c:rich>
          </c:tx>
          <c:overlay val="0"/>
        </c:title>
        <c:numFmt formatCode="General" sourceLinked="1"/>
        <c:majorTickMark val="out"/>
        <c:minorTickMark val="none"/>
        <c:tickLblPos val="nextTo"/>
        <c:crossAx val="1772287983"/>
        <c:crosses val="autoZero"/>
        <c:crossBetween val="midCat"/>
      </c:valAx>
      <c:valAx>
        <c:axId val="1772287983"/>
        <c:scaling>
          <c:orientation val="minMax"/>
        </c:scaling>
        <c:delete val="0"/>
        <c:axPos val="l"/>
        <c:title>
          <c:tx>
            <c:rich>
              <a:bodyPr/>
              <a:lstStyle/>
              <a:p>
                <a:pPr>
                  <a:defRPr/>
                </a:pPr>
                <a:r>
                  <a:rPr lang="en-US"/>
                  <a:t>Deseasonalized Sales</a:t>
                </a:r>
              </a:p>
            </c:rich>
          </c:tx>
          <c:overlay val="0"/>
        </c:title>
        <c:numFmt formatCode="General" sourceLinked="1"/>
        <c:majorTickMark val="out"/>
        <c:minorTickMark val="none"/>
        <c:tickLblPos val="nextTo"/>
        <c:crossAx val="1850388079"/>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'Decomposition Deseasonalized '!$N$44:$N$59</c:f>
              <c:numCache>
                <c:formatCode>General</c:formatCode>
                <c:ptCount val="16"/>
                <c:pt idx="0">
                  <c:v>3.125</c:v>
                </c:pt>
                <c:pt idx="1">
                  <c:v>9.375</c:v>
                </c:pt>
                <c:pt idx="2">
                  <c:v>15.625</c:v>
                </c:pt>
                <c:pt idx="3">
                  <c:v>21.875</c:v>
                </c:pt>
                <c:pt idx="4">
                  <c:v>28.125</c:v>
                </c:pt>
                <c:pt idx="5">
                  <c:v>34.375</c:v>
                </c:pt>
                <c:pt idx="6">
                  <c:v>40.625</c:v>
                </c:pt>
                <c:pt idx="7">
                  <c:v>46.875</c:v>
                </c:pt>
                <c:pt idx="8">
                  <c:v>53.125</c:v>
                </c:pt>
                <c:pt idx="9">
                  <c:v>59.375</c:v>
                </c:pt>
                <c:pt idx="10">
                  <c:v>65.625</c:v>
                </c:pt>
                <c:pt idx="11">
                  <c:v>71.875</c:v>
                </c:pt>
                <c:pt idx="12">
                  <c:v>78.125</c:v>
                </c:pt>
                <c:pt idx="13">
                  <c:v>84.375</c:v>
                </c:pt>
                <c:pt idx="14">
                  <c:v>90.625</c:v>
                </c:pt>
                <c:pt idx="15">
                  <c:v>96.875</c:v>
                </c:pt>
              </c:numCache>
            </c:numRef>
          </c:xVal>
          <c:yVal>
            <c:numRef>
              <c:f>'Decomposition Deseasonalized '!$O$44:$O$59</c:f>
              <c:numCache>
                <c:formatCode>General</c:formatCode>
                <c:ptCount val="16"/>
                <c:pt idx="0">
                  <c:v>4.8940077043632355</c:v>
                </c:pt>
                <c:pt idx="1">
                  <c:v>5.1491069966198779</c:v>
                </c:pt>
                <c:pt idx="2">
                  <c:v>5.4877270351727399</c:v>
                </c:pt>
                <c:pt idx="3">
                  <c:v>5.6852713745967334</c:v>
                </c:pt>
                <c:pt idx="4">
                  <c:v>6.2070341616314213</c:v>
                </c:pt>
                <c:pt idx="5">
                  <c:v>6.2194239731957719</c:v>
                </c:pt>
                <c:pt idx="6">
                  <c:v>6.2218376209156858</c:v>
                </c:pt>
                <c:pt idx="7">
                  <c:v>6.4363837457748474</c:v>
                </c:pt>
                <c:pt idx="8">
                  <c:v>6.4724627956947423</c:v>
                </c:pt>
                <c:pt idx="9">
                  <c:v>6.6844983279107604</c:v>
                </c:pt>
                <c:pt idx="10">
                  <c:v>6.7582029330635898</c:v>
                </c:pt>
                <c:pt idx="11">
                  <c:v>6.8223256495160793</c:v>
                </c:pt>
                <c:pt idx="12">
                  <c:v>6.8596587939659246</c:v>
                </c:pt>
                <c:pt idx="13">
                  <c:v>7.0425964526202662</c:v>
                </c:pt>
                <c:pt idx="14">
                  <c:v>7.3169693802303195</c:v>
                </c:pt>
                <c:pt idx="15">
                  <c:v>7.3471199302480859</c:v>
                </c:pt>
              </c:numCache>
            </c:numRef>
          </c:yVal>
          <c:smooth val="0"/>
          <c:extLst>
            <c:ext xmlns:c16="http://schemas.microsoft.com/office/drawing/2014/chart" uri="{C3380CC4-5D6E-409C-BE32-E72D297353CC}">
              <c16:uniqueId val="{00000001-15E4-421E-852E-89570F4A2C11}"/>
            </c:ext>
          </c:extLst>
        </c:ser>
        <c:dLbls>
          <c:showLegendKey val="0"/>
          <c:showVal val="0"/>
          <c:showCatName val="0"/>
          <c:showSerName val="0"/>
          <c:showPercent val="0"/>
          <c:showBubbleSize val="0"/>
        </c:dLbls>
        <c:axId val="1850391791"/>
        <c:axId val="1702122079"/>
      </c:scatterChart>
      <c:valAx>
        <c:axId val="185039179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702122079"/>
        <c:crosses val="autoZero"/>
        <c:crossBetween val="midCat"/>
      </c:valAx>
      <c:valAx>
        <c:axId val="1702122079"/>
        <c:scaling>
          <c:orientation val="minMax"/>
        </c:scaling>
        <c:delete val="0"/>
        <c:axPos val="l"/>
        <c:title>
          <c:tx>
            <c:rich>
              <a:bodyPr/>
              <a:lstStyle/>
              <a:p>
                <a:pPr>
                  <a:defRPr/>
                </a:pPr>
                <a:r>
                  <a:rPr lang="en-US"/>
                  <a:t>Deseasonalized Sales</a:t>
                </a:r>
              </a:p>
            </c:rich>
          </c:tx>
          <c:overlay val="0"/>
        </c:title>
        <c:numFmt formatCode="General" sourceLinked="1"/>
        <c:majorTickMark val="out"/>
        <c:minorTickMark val="none"/>
        <c:tickLblPos val="nextTo"/>
        <c:crossAx val="185039179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Observed sales</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'!$D$2:$D$17</c:f>
              <c:numCache>
                <c:formatCode>General</c:formatCode>
                <c:ptCount val="16"/>
                <c:pt idx="0">
                  <c:v>4.8</c:v>
                </c:pt>
                <c:pt idx="1">
                  <c:v>4.0999999999999996</c:v>
                </c:pt>
                <c:pt idx="2">
                  <c:v>6</c:v>
                </c:pt>
                <c:pt idx="3">
                  <c:v>6.5</c:v>
                </c:pt>
                <c:pt idx="4">
                  <c:v>5.8</c:v>
                </c:pt>
                <c:pt idx="5">
                  <c:v>5.2</c:v>
                </c:pt>
                <c:pt idx="6">
                  <c:v>6.8</c:v>
                </c:pt>
                <c:pt idx="7">
                  <c:v>7.4</c:v>
                </c:pt>
                <c:pt idx="8">
                  <c:v>6</c:v>
                </c:pt>
                <c:pt idx="9">
                  <c:v>5.6</c:v>
                </c:pt>
                <c:pt idx="10">
                  <c:v>7.5</c:v>
                </c:pt>
                <c:pt idx="11">
                  <c:v>7.8</c:v>
                </c:pt>
                <c:pt idx="12">
                  <c:v>6.3</c:v>
                </c:pt>
                <c:pt idx="13">
                  <c:v>5.9</c:v>
                </c:pt>
                <c:pt idx="14">
                  <c:v>8</c:v>
                </c:pt>
                <c:pt idx="15">
                  <c:v>8.4</c:v>
                </c:pt>
              </c:numCache>
            </c:numRef>
          </c:yVal>
          <c:smooth val="1"/>
          <c:extLst>
            <c:ext xmlns:c16="http://schemas.microsoft.com/office/drawing/2014/chart" uri="{C3380CC4-5D6E-409C-BE32-E72D297353CC}">
              <c16:uniqueId val="{00000000-DB41-4A8A-B264-AD1F8DDEB57C}"/>
            </c:ext>
          </c:extLst>
        </c:ser>
        <c:ser>
          <c:idx val="1"/>
          <c:order val="1"/>
          <c:tx>
            <c:v>Deseasonalized Sales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'!$F$2:$F$17</c:f>
              <c:numCache>
                <c:formatCode>General</c:formatCode>
                <c:ptCount val="16"/>
                <c:pt idx="0">
                  <c:v>5.1491069966198779</c:v>
                </c:pt>
                <c:pt idx="1">
                  <c:v>4.8940077043632355</c:v>
                </c:pt>
                <c:pt idx="2">
                  <c:v>5.4877270351727612</c:v>
                </c:pt>
                <c:pt idx="3">
                  <c:v>5.6852713745967334</c:v>
                </c:pt>
                <c:pt idx="4">
                  <c:v>6.2218376209156858</c:v>
                </c:pt>
                <c:pt idx="5">
                  <c:v>6.2070341616314213</c:v>
                </c:pt>
                <c:pt idx="6">
                  <c:v>6.2194239731957719</c:v>
                </c:pt>
                <c:pt idx="7">
                  <c:v>6.4724627956947423</c:v>
                </c:pt>
                <c:pt idx="8">
                  <c:v>6.4363837457748474</c:v>
                </c:pt>
                <c:pt idx="9">
                  <c:v>6.6844983279107604</c:v>
                </c:pt>
                <c:pt idx="10">
                  <c:v>6.8596587939659246</c:v>
                </c:pt>
                <c:pt idx="11">
                  <c:v>6.8223256495160793</c:v>
                </c:pt>
                <c:pt idx="12">
                  <c:v>6.7582029330635898</c:v>
                </c:pt>
                <c:pt idx="13">
                  <c:v>7.0425964526202662</c:v>
                </c:pt>
                <c:pt idx="14">
                  <c:v>7.3169693802303195</c:v>
                </c:pt>
                <c:pt idx="15">
                  <c:v>7.3471199302480859</c:v>
                </c:pt>
              </c:numCache>
            </c:numRef>
          </c:yVal>
          <c:smooth val="1"/>
          <c:extLst>
            <c:ext xmlns:c16="http://schemas.microsoft.com/office/drawing/2014/chart" uri="{C3380CC4-5D6E-409C-BE32-E72D297353CC}">
              <c16:uniqueId val="{00000001-DB41-4A8A-B264-AD1F8DDEB57C}"/>
            </c:ext>
          </c:extLst>
        </c:ser>
        <c:ser>
          <c:idx val="2"/>
          <c:order val="2"/>
          <c:tx>
            <c:v>Deseasonalized Trend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'!$G$2:$G$17</c:f>
              <c:numCache>
                <c:formatCode>0.000</c:formatCode>
                <c:ptCount val="16"/>
                <c:pt idx="0">
                  <c:v>5.2467488107686799</c:v>
                </c:pt>
                <c:pt idx="1">
                  <c:v>5.3938875266288564</c:v>
                </c:pt>
                <c:pt idx="2">
                  <c:v>5.5410262424890329</c:v>
                </c:pt>
                <c:pt idx="3">
                  <c:v>5.6881649583492093</c:v>
                </c:pt>
                <c:pt idx="4">
                  <c:v>5.8353036742093867</c:v>
                </c:pt>
                <c:pt idx="5">
                  <c:v>5.9824423900695631</c:v>
                </c:pt>
                <c:pt idx="6">
                  <c:v>6.1295811059297396</c:v>
                </c:pt>
                <c:pt idx="7">
                  <c:v>6.2767198217899161</c:v>
                </c:pt>
                <c:pt idx="8">
                  <c:v>6.4238585376500925</c:v>
                </c:pt>
                <c:pt idx="9">
                  <c:v>6.570997253510269</c:v>
                </c:pt>
                <c:pt idx="10">
                  <c:v>6.7181359693704454</c:v>
                </c:pt>
                <c:pt idx="11">
                  <c:v>6.8652746852306219</c:v>
                </c:pt>
                <c:pt idx="12">
                  <c:v>7.0124134010907984</c:v>
                </c:pt>
                <c:pt idx="13">
                  <c:v>7.1595521169509748</c:v>
                </c:pt>
                <c:pt idx="14">
                  <c:v>7.3066908328111513</c:v>
                </c:pt>
                <c:pt idx="15">
                  <c:v>7.4538295486713277</c:v>
                </c:pt>
              </c:numCache>
            </c:numRef>
          </c:yVal>
          <c:smooth val="1"/>
          <c:extLst>
            <c:ext xmlns:c16="http://schemas.microsoft.com/office/drawing/2014/chart" uri="{C3380CC4-5D6E-409C-BE32-E72D297353CC}">
              <c16:uniqueId val="{00000002-DB41-4A8A-B264-AD1F8DDEB57C}"/>
            </c:ext>
          </c:extLst>
        </c:ser>
        <c:ser>
          <c:idx val="3"/>
          <c:order val="3"/>
          <c:tx>
            <c:v>Predicted Sales</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'Decomposition Deseasonalized '!$A$2:$A$17</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xVal>
          <c:yVal>
            <c:numRef>
              <c:f>'Decomposition Deseasonalized '!$H$2:$H$17</c:f>
              <c:numCache>
                <c:formatCode>General</c:formatCode>
                <c:ptCount val="16"/>
                <c:pt idx="0">
                  <c:v>4.8910217457555092</c:v>
                </c:pt>
                <c:pt idx="1">
                  <c:v>4.5187789221218049</c:v>
                </c:pt>
                <c:pt idx="2">
                  <c:v>6.0582746266073277</c:v>
                </c:pt>
                <c:pt idx="3">
                  <c:v>6.5033082491849266</c:v>
                </c:pt>
                <c:pt idx="4">
                  <c:v>5.4396728703815658</c:v>
                </c:pt>
                <c:pt idx="5">
                  <c:v>5.0118461761752728</c:v>
                </c:pt>
                <c:pt idx="6">
                  <c:v>6.7017704050982871</c:v>
                </c:pt>
                <c:pt idx="7">
                  <c:v>7.176206051294848</c:v>
                </c:pt>
                <c:pt idx="8">
                  <c:v>5.9883239950076215</c:v>
                </c:pt>
                <c:pt idx="9">
                  <c:v>5.5049134302287399</c:v>
                </c:pt>
                <c:pt idx="10">
                  <c:v>7.3452661835892226</c:v>
                </c:pt>
                <c:pt idx="11">
                  <c:v>7.8491038534047686</c:v>
                </c:pt>
                <c:pt idx="12">
                  <c:v>6.5369751196336772</c:v>
                </c:pt>
                <c:pt idx="13">
                  <c:v>5.9979806842822079</c:v>
                </c:pt>
                <c:pt idx="14">
                  <c:v>7.988761962080158</c:v>
                </c:pt>
                <c:pt idx="15">
                  <c:v>8.5220016555146891</c:v>
                </c:pt>
              </c:numCache>
            </c:numRef>
          </c:yVal>
          <c:smooth val="1"/>
          <c:extLst>
            <c:ext xmlns:c16="http://schemas.microsoft.com/office/drawing/2014/chart" uri="{C3380CC4-5D6E-409C-BE32-E72D297353CC}">
              <c16:uniqueId val="{00000003-DB41-4A8A-B264-AD1F8DDEB57C}"/>
            </c:ext>
          </c:extLst>
        </c:ser>
        <c:dLbls>
          <c:showLegendKey val="0"/>
          <c:showVal val="0"/>
          <c:showCatName val="0"/>
          <c:showSerName val="0"/>
          <c:showPercent val="0"/>
          <c:showBubbleSize val="0"/>
        </c:dLbls>
        <c:axId val="923049471"/>
        <c:axId val="922989951"/>
      </c:scatterChart>
      <c:valAx>
        <c:axId val="923049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989951"/>
        <c:crosses val="autoZero"/>
        <c:crossBetween val="midCat"/>
      </c:valAx>
      <c:valAx>
        <c:axId val="9229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49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3.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52.xml"/><Relationship Id="rId3" Type="http://schemas.openxmlformats.org/officeDocument/2006/relationships/chart" Target="../charts/chart47.xml"/><Relationship Id="rId7" Type="http://schemas.openxmlformats.org/officeDocument/2006/relationships/chart" Target="../charts/chart51.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50.xml"/><Relationship Id="rId5" Type="http://schemas.openxmlformats.org/officeDocument/2006/relationships/chart" Target="../charts/chart49.xml"/><Relationship Id="rId10" Type="http://schemas.openxmlformats.org/officeDocument/2006/relationships/chart" Target="../charts/chart54.xml"/><Relationship Id="rId4" Type="http://schemas.openxmlformats.org/officeDocument/2006/relationships/chart" Target="../charts/chart48.xml"/><Relationship Id="rId9" Type="http://schemas.openxmlformats.org/officeDocument/2006/relationships/chart" Target="../charts/chart5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5" Type="http://schemas.openxmlformats.org/officeDocument/2006/relationships/chart" Target="../charts/chart60.xml"/><Relationship Id="rId4" Type="http://schemas.openxmlformats.org/officeDocument/2006/relationships/chart" Target="../charts/chart59.xml"/></Relationships>
</file>

<file path=xl/drawings/drawing1.xml><?xml version="1.0" encoding="utf-8"?>
<xdr:wsDr xmlns:xdr="http://schemas.openxmlformats.org/drawingml/2006/spreadsheetDrawing" xmlns:a="http://schemas.openxmlformats.org/drawingml/2006/main">
  <xdr:twoCellAnchor>
    <xdr:from>
      <xdr:col>4</xdr:col>
      <xdr:colOff>457200</xdr:colOff>
      <xdr:row>1</xdr:row>
      <xdr:rowOff>52387</xdr:rowOff>
    </xdr:from>
    <xdr:to>
      <xdr:col>12</xdr:col>
      <xdr:colOff>152400</xdr:colOff>
      <xdr:row>15</xdr:row>
      <xdr:rowOff>128587</xdr:rowOff>
    </xdr:to>
    <xdr:graphicFrame macro="">
      <xdr:nvGraphicFramePr>
        <xdr:cNvPr id="2" name="Chart 1">
          <a:extLst>
            <a:ext uri="{FF2B5EF4-FFF2-40B4-BE49-F238E27FC236}">
              <a16:creationId xmlns:a16="http://schemas.microsoft.com/office/drawing/2014/main" id="{E5B07E4B-C35D-8569-91D5-934B2E4B2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409575</xdr:colOff>
      <xdr:row>5</xdr:row>
      <xdr:rowOff>47626</xdr:rowOff>
    </xdr:from>
    <xdr:to>
      <xdr:col>14</xdr:col>
      <xdr:colOff>600075</xdr:colOff>
      <xdr:row>6</xdr:row>
      <xdr:rowOff>123826</xdr:rowOff>
    </xdr:to>
    <xdr:sp macro="" textlink="">
      <xdr:nvSpPr>
        <xdr:cNvPr id="3" name="TextBox 2">
          <a:extLst>
            <a:ext uri="{FF2B5EF4-FFF2-40B4-BE49-F238E27FC236}">
              <a16:creationId xmlns:a16="http://schemas.microsoft.com/office/drawing/2014/main" id="{D1848D4A-086C-66BF-0156-467C2E4C102A}"/>
            </a:ext>
          </a:extLst>
        </xdr:cNvPr>
        <xdr:cNvSpPr txBox="1"/>
      </xdr:nvSpPr>
      <xdr:spPr>
        <a:xfrm>
          <a:off x="7724775" y="1000126"/>
          <a:ext cx="1409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Horizontal</a:t>
          </a:r>
          <a:r>
            <a:rPr lang="en-US" sz="1100" baseline="0"/>
            <a:t> Pattern</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866775</xdr:colOff>
      <xdr:row>15</xdr:row>
      <xdr:rowOff>76200</xdr:rowOff>
    </xdr:from>
    <xdr:to>
      <xdr:col>11</xdr:col>
      <xdr:colOff>476250</xdr:colOff>
      <xdr:row>32</xdr:row>
      <xdr:rowOff>104775</xdr:rowOff>
    </xdr:to>
    <xdr:graphicFrame macro="">
      <xdr:nvGraphicFramePr>
        <xdr:cNvPr id="2" name="Chart 1">
          <a:extLst>
            <a:ext uri="{FF2B5EF4-FFF2-40B4-BE49-F238E27FC236}">
              <a16:creationId xmlns:a16="http://schemas.microsoft.com/office/drawing/2014/main" id="{4F868E52-EF6A-4D93-8F6B-52C752F9F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180975</xdr:colOff>
      <xdr:row>8</xdr:row>
      <xdr:rowOff>95250</xdr:rowOff>
    </xdr:from>
    <xdr:to>
      <xdr:col>12</xdr:col>
      <xdr:colOff>361950</xdr:colOff>
      <xdr:row>13</xdr:row>
      <xdr:rowOff>9525</xdr:rowOff>
    </xdr:to>
    <xdr:sp macro="" textlink="">
      <xdr:nvSpPr>
        <xdr:cNvPr id="3" name="TextBox 2">
          <a:extLst>
            <a:ext uri="{FF2B5EF4-FFF2-40B4-BE49-F238E27FC236}">
              <a16:creationId xmlns:a16="http://schemas.microsoft.com/office/drawing/2014/main" id="{69CBA1B0-CA73-7995-110A-3B61C6CBD5A7}"/>
            </a:ext>
          </a:extLst>
        </xdr:cNvPr>
        <xdr:cNvSpPr txBox="1"/>
      </xdr:nvSpPr>
      <xdr:spPr>
        <a:xfrm>
          <a:off x="8077200" y="2209800"/>
          <a:ext cx="157162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forecast error</a:t>
          </a:r>
          <a:r>
            <a:rPr lang="en-US" sz="1100" baseline="0"/>
            <a:t> for week 2, (4) is 19.05 percent of the observed value for week 2 </a:t>
          </a:r>
          <a:r>
            <a:rPr lang="en-US" sz="1100" baseline="0">
              <a:solidFill>
                <a:schemeClr val="dk1"/>
              </a:solidFill>
              <a:effectLst/>
              <a:latin typeface="+mn-lt"/>
              <a:ea typeface="+mn-ea"/>
              <a:cs typeface="+mn-cs"/>
            </a:rPr>
            <a:t>(21) </a:t>
          </a:r>
          <a:r>
            <a:rPr lang="en-US" sz="1100" baseline="0"/>
            <a:t>.</a:t>
          </a:r>
          <a:endParaRPr lang="en-US" sz="1100"/>
        </a:p>
      </xdr:txBody>
    </xdr:sp>
    <xdr:clientData/>
  </xdr:twoCellAnchor>
  <xdr:twoCellAnchor>
    <xdr:from>
      <xdr:col>12</xdr:col>
      <xdr:colOff>642097</xdr:colOff>
      <xdr:row>0</xdr:row>
      <xdr:rowOff>132789</xdr:rowOff>
    </xdr:from>
    <xdr:to>
      <xdr:col>16</xdr:col>
      <xdr:colOff>17930</xdr:colOff>
      <xdr:row>9</xdr:row>
      <xdr:rowOff>0</xdr:rowOff>
    </xdr:to>
    <xdr:sp macro="" textlink="">
      <xdr:nvSpPr>
        <xdr:cNvPr id="4" name="TextBox 3">
          <a:extLst>
            <a:ext uri="{FF2B5EF4-FFF2-40B4-BE49-F238E27FC236}">
              <a16:creationId xmlns:a16="http://schemas.microsoft.com/office/drawing/2014/main" id="{3523452D-CDBE-FE43-1B19-BFA49945C49D}"/>
            </a:ext>
          </a:extLst>
        </xdr:cNvPr>
        <xdr:cNvSpPr txBox="1"/>
      </xdr:nvSpPr>
      <xdr:spPr>
        <a:xfrm>
          <a:off x="10055038" y="132789"/>
          <a:ext cx="2300568" cy="34867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MAPE</a:t>
          </a:r>
          <a:r>
            <a:rPr lang="en-US" sz="1100" baseline="0"/>
            <a:t> is the only one that can be used to make a comparison for different time intervals such as comparing a method of forecasting monthly gasoline to a method of forecasting weekly, or comparisons across different time series.</a:t>
          </a:r>
        </a:p>
        <a:p>
          <a:endParaRPr lang="en-US" sz="1100"/>
        </a:p>
        <a:p>
          <a:r>
            <a:rPr lang="en-US" sz="1100"/>
            <a:t>The Average</a:t>
          </a:r>
          <a:r>
            <a:rPr lang="en-US" sz="1100" baseline="0"/>
            <a:t> Forecast error is offseted by some forecast error values being negative and some being positive. So it is not reliable performance indicator but if it is positve on average the forecast underestimates (values are greater than forecasted values) and if it is negative on average the forecast overestimates (values are smaller than forecasted values). </a:t>
          </a:r>
          <a:endParaRPr lang="en-US" sz="1100"/>
        </a:p>
      </xdr:txBody>
    </xdr:sp>
    <xdr:clientData/>
  </xdr:twoCellAnchor>
  <xdr:twoCellAnchor>
    <xdr:from>
      <xdr:col>12</xdr:col>
      <xdr:colOff>414617</xdr:colOff>
      <xdr:row>11</xdr:row>
      <xdr:rowOff>11205</xdr:rowOff>
    </xdr:from>
    <xdr:to>
      <xdr:col>17</xdr:col>
      <xdr:colOff>459441</xdr:colOff>
      <xdr:row>23</xdr:row>
      <xdr:rowOff>11205</xdr:rowOff>
    </xdr:to>
    <xdr:sp macro="" textlink="">
      <xdr:nvSpPr>
        <xdr:cNvPr id="5" name="TextBox 4">
          <a:extLst>
            <a:ext uri="{FF2B5EF4-FFF2-40B4-BE49-F238E27FC236}">
              <a16:creationId xmlns:a16="http://schemas.microsoft.com/office/drawing/2014/main" id="{7841E861-F13D-D4DE-889C-4A5D18B4EFD9}"/>
            </a:ext>
          </a:extLst>
        </xdr:cNvPr>
        <xdr:cNvSpPr txBox="1"/>
      </xdr:nvSpPr>
      <xdr:spPr>
        <a:xfrm>
          <a:off x="9065558" y="4011705"/>
          <a:ext cx="3574677" cy="228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In forecasting, MSE</a:t>
          </a:r>
          <a:r>
            <a:rPr lang="en-US" sz="1600"/>
            <a:t> (mean square error)</a:t>
          </a:r>
          <a:r>
            <a:rPr lang="en-US" sz="1600" baseline="0"/>
            <a:t> </a:t>
          </a:r>
          <a:r>
            <a:rPr lang="en-US" sz="1600"/>
            <a:t>is the average of the sum of squared forecast errors.</a:t>
          </a:r>
        </a:p>
        <a:p>
          <a:endParaRPr lang="en-US" sz="1600"/>
        </a:p>
        <a:p>
          <a:r>
            <a:rPr lang="en-US" sz="1600" b="1">
              <a:solidFill>
                <a:schemeClr val="dk1"/>
              </a:solidFill>
              <a:effectLst/>
              <a:latin typeface="+mn-lt"/>
              <a:ea typeface="+mn-ea"/>
              <a:cs typeface="+mn-cs"/>
            </a:rPr>
            <a:t>In regression analysis </a:t>
          </a:r>
          <a:r>
            <a:rPr lang="en-US" sz="1600">
              <a:solidFill>
                <a:schemeClr val="dk1"/>
              </a:solidFill>
              <a:effectLst/>
              <a:latin typeface="+mn-lt"/>
              <a:ea typeface="+mn-ea"/>
              <a:cs typeface="+mn-cs"/>
            </a:rPr>
            <a:t>the mean square error (MSE) is the residual sum of squares divided by its degrees of freedom. </a:t>
          </a:r>
          <a:endParaRPr lang="en-US" sz="1600"/>
        </a:p>
      </xdr:txBody>
    </xdr:sp>
    <xdr:clientData/>
  </xdr:twoCellAnchor>
  <xdr:twoCellAnchor>
    <xdr:from>
      <xdr:col>24</xdr:col>
      <xdr:colOff>448236</xdr:colOff>
      <xdr:row>9</xdr:row>
      <xdr:rowOff>123265</xdr:rowOff>
    </xdr:from>
    <xdr:to>
      <xdr:col>28</xdr:col>
      <xdr:colOff>100853</xdr:colOff>
      <xdr:row>16</xdr:row>
      <xdr:rowOff>168089</xdr:rowOff>
    </xdr:to>
    <xdr:sp macro="" textlink="">
      <xdr:nvSpPr>
        <xdr:cNvPr id="6" name="TextBox 5">
          <a:extLst>
            <a:ext uri="{FF2B5EF4-FFF2-40B4-BE49-F238E27FC236}">
              <a16:creationId xmlns:a16="http://schemas.microsoft.com/office/drawing/2014/main" id="{B51AA920-FFCF-5E69-A189-51BAED03E694}"/>
            </a:ext>
          </a:extLst>
        </xdr:cNvPr>
        <xdr:cNvSpPr txBox="1"/>
      </xdr:nvSpPr>
      <xdr:spPr>
        <a:xfrm>
          <a:off x="17570824" y="3742765"/>
          <a:ext cx="2073088" cy="1378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Negative R² means the forecast is </a:t>
          </a:r>
          <a:r>
            <a:rPr lang="en-US" b="1"/>
            <a:t>worse than just using the mean</a:t>
          </a:r>
          <a:r>
            <a:rPr lang="en-US"/>
            <a:t>.</a:t>
          </a:r>
        </a:p>
        <a:p>
          <a:r>
            <a:rPr lang="en-US"/>
            <a:t>This can happen with naive or poorly fitting forecasts.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322521</xdr:colOff>
      <xdr:row>18</xdr:row>
      <xdr:rowOff>3212</xdr:rowOff>
    </xdr:from>
    <xdr:to>
      <xdr:col>17</xdr:col>
      <xdr:colOff>17721</xdr:colOff>
      <xdr:row>32</xdr:row>
      <xdr:rowOff>79412</xdr:rowOff>
    </xdr:to>
    <xdr:graphicFrame macro="">
      <xdr:nvGraphicFramePr>
        <xdr:cNvPr id="2" name="Chart 1">
          <a:extLst>
            <a:ext uri="{FF2B5EF4-FFF2-40B4-BE49-F238E27FC236}">
              <a16:creationId xmlns:a16="http://schemas.microsoft.com/office/drawing/2014/main" id="{C7F0041E-D37D-E269-7166-E39A7ACCB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342899</xdr:colOff>
      <xdr:row>16</xdr:row>
      <xdr:rowOff>95249</xdr:rowOff>
    </xdr:from>
    <xdr:to>
      <xdr:col>12</xdr:col>
      <xdr:colOff>600074</xdr:colOff>
      <xdr:row>30</xdr:row>
      <xdr:rowOff>161924</xdr:rowOff>
    </xdr:to>
    <xdr:graphicFrame macro="">
      <xdr:nvGraphicFramePr>
        <xdr:cNvPr id="9" name="Chart 8">
          <a:extLst>
            <a:ext uri="{FF2B5EF4-FFF2-40B4-BE49-F238E27FC236}">
              <a16:creationId xmlns:a16="http://schemas.microsoft.com/office/drawing/2014/main" id="{8623EEB2-8F8C-24BA-E2B9-0B7F8122D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224169</xdr:colOff>
      <xdr:row>6</xdr:row>
      <xdr:rowOff>74980</xdr:rowOff>
    </xdr:from>
    <xdr:to>
      <xdr:col>18</xdr:col>
      <xdr:colOff>564855</xdr:colOff>
      <xdr:row>20</xdr:row>
      <xdr:rowOff>16059</xdr:rowOff>
    </xdr:to>
    <xdr:graphicFrame macro="">
      <xdr:nvGraphicFramePr>
        <xdr:cNvPr id="2" name="Chart 1">
          <a:extLst>
            <a:ext uri="{FF2B5EF4-FFF2-40B4-BE49-F238E27FC236}">
              <a16:creationId xmlns:a16="http://schemas.microsoft.com/office/drawing/2014/main" id="{B00CFC6E-7F09-1CED-3255-17F612CA5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23</xdr:row>
      <xdr:rowOff>0</xdr:rowOff>
    </xdr:from>
    <xdr:to>
      <xdr:col>19</xdr:col>
      <xdr:colOff>340686</xdr:colOff>
      <xdr:row>37</xdr:row>
      <xdr:rowOff>73986</xdr:rowOff>
    </xdr:to>
    <xdr:graphicFrame macro="">
      <xdr:nvGraphicFramePr>
        <xdr:cNvPr id="3" name="Chart 2">
          <a:extLst>
            <a:ext uri="{FF2B5EF4-FFF2-40B4-BE49-F238E27FC236}">
              <a16:creationId xmlns:a16="http://schemas.microsoft.com/office/drawing/2014/main" id="{D9E3DD8D-75C9-44D3-8388-83F9C0C78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11076</xdr:rowOff>
    </xdr:from>
    <xdr:to>
      <xdr:col>18</xdr:col>
      <xdr:colOff>365495</xdr:colOff>
      <xdr:row>30</xdr:row>
      <xdr:rowOff>177209</xdr:rowOff>
    </xdr:to>
    <xdr:cxnSp macro="">
      <xdr:nvCxnSpPr>
        <xdr:cNvPr id="5" name="Straight Connector 4">
          <a:extLst>
            <a:ext uri="{FF2B5EF4-FFF2-40B4-BE49-F238E27FC236}">
              <a16:creationId xmlns:a16="http://schemas.microsoft.com/office/drawing/2014/main" id="{3A9D513E-2A2D-9ED7-BBF6-E810EF8C9638}"/>
            </a:ext>
          </a:extLst>
        </xdr:cNvPr>
        <xdr:cNvCxnSpPr/>
      </xdr:nvCxnSpPr>
      <xdr:spPr>
        <a:xfrm flipV="1">
          <a:off x="12770145" y="6756105"/>
          <a:ext cx="365495" cy="166133"/>
        </a:xfrm>
        <a:prstGeom prst="line">
          <a:avLst/>
        </a:prstGeom>
        <a:ln>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497465</xdr:colOff>
      <xdr:row>16</xdr:row>
      <xdr:rowOff>75767</xdr:rowOff>
    </xdr:from>
    <xdr:to>
      <xdr:col>15</xdr:col>
      <xdr:colOff>422130</xdr:colOff>
      <xdr:row>30</xdr:row>
      <xdr:rowOff>64943</xdr:rowOff>
    </xdr:to>
    <xdr:pic>
      <xdr:nvPicPr>
        <xdr:cNvPr id="3" name="Picture 2">
          <a:extLst>
            <a:ext uri="{FF2B5EF4-FFF2-40B4-BE49-F238E27FC236}">
              <a16:creationId xmlns:a16="http://schemas.microsoft.com/office/drawing/2014/main" id="{AE4D6543-DE5B-C8D2-CB5D-B15532E70F31}"/>
            </a:ext>
          </a:extLst>
        </xdr:cNvPr>
        <xdr:cNvPicPr>
          <a:picLocks noChangeAspect="1"/>
        </xdr:cNvPicPr>
      </xdr:nvPicPr>
      <xdr:blipFill rotWithShape="1">
        <a:blip xmlns:r="http://schemas.openxmlformats.org/officeDocument/2006/relationships" r:embed="rId1"/>
        <a:srcRect r="13436"/>
        <a:stretch/>
      </xdr:blipFill>
      <xdr:spPr>
        <a:xfrm>
          <a:off x="6591300" y="3799176"/>
          <a:ext cx="4817052" cy="2716790"/>
        </a:xfrm>
        <a:prstGeom prst="rect">
          <a:avLst/>
        </a:prstGeom>
      </xdr:spPr>
    </xdr:pic>
    <xdr:clientData/>
  </xdr:twoCellAnchor>
  <xdr:twoCellAnchor>
    <xdr:from>
      <xdr:col>5</xdr:col>
      <xdr:colOff>28575</xdr:colOff>
      <xdr:row>2</xdr:row>
      <xdr:rowOff>85725</xdr:rowOff>
    </xdr:from>
    <xdr:to>
      <xdr:col>5</xdr:col>
      <xdr:colOff>581025</xdr:colOff>
      <xdr:row>2</xdr:row>
      <xdr:rowOff>85725</xdr:rowOff>
    </xdr:to>
    <xdr:cxnSp macro="">
      <xdr:nvCxnSpPr>
        <xdr:cNvPr id="5" name="Straight Arrow Connector 4">
          <a:extLst>
            <a:ext uri="{FF2B5EF4-FFF2-40B4-BE49-F238E27FC236}">
              <a16:creationId xmlns:a16="http://schemas.microsoft.com/office/drawing/2014/main" id="{C66AEE85-491D-7CFA-BB89-126236BFA077}"/>
            </a:ext>
          </a:extLst>
        </xdr:cNvPr>
        <xdr:cNvCxnSpPr/>
      </xdr:nvCxnSpPr>
      <xdr:spPr>
        <a:xfrm>
          <a:off x="3990975" y="466725"/>
          <a:ext cx="552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85725</xdr:colOff>
      <xdr:row>2</xdr:row>
      <xdr:rowOff>104775</xdr:rowOff>
    </xdr:from>
    <xdr:to>
      <xdr:col>7</xdr:col>
      <xdr:colOff>561975</xdr:colOff>
      <xdr:row>2</xdr:row>
      <xdr:rowOff>123825</xdr:rowOff>
    </xdr:to>
    <xdr:cxnSp macro="">
      <xdr:nvCxnSpPr>
        <xdr:cNvPr id="7" name="Straight Arrow Connector 6">
          <a:extLst>
            <a:ext uri="{FF2B5EF4-FFF2-40B4-BE49-F238E27FC236}">
              <a16:creationId xmlns:a16="http://schemas.microsoft.com/office/drawing/2014/main" id="{C3E0D9BA-AF55-DAB0-6B94-DEAFF663CBB9}"/>
            </a:ext>
          </a:extLst>
        </xdr:cNvPr>
        <xdr:cNvCxnSpPr/>
      </xdr:nvCxnSpPr>
      <xdr:spPr>
        <a:xfrm>
          <a:off x="5467350" y="485775"/>
          <a:ext cx="4762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xdr:row>
      <xdr:rowOff>123825</xdr:rowOff>
    </xdr:from>
    <xdr:to>
      <xdr:col>5</xdr:col>
      <xdr:colOff>571500</xdr:colOff>
      <xdr:row>3</xdr:row>
      <xdr:rowOff>123825</xdr:rowOff>
    </xdr:to>
    <xdr:cxnSp macro="">
      <xdr:nvCxnSpPr>
        <xdr:cNvPr id="8" name="Straight Arrow Connector 7">
          <a:extLst>
            <a:ext uri="{FF2B5EF4-FFF2-40B4-BE49-F238E27FC236}">
              <a16:creationId xmlns:a16="http://schemas.microsoft.com/office/drawing/2014/main" id="{A04DB209-954E-4F51-9C72-FC2EE7C11710}"/>
            </a:ext>
          </a:extLst>
        </xdr:cNvPr>
        <xdr:cNvCxnSpPr/>
      </xdr:nvCxnSpPr>
      <xdr:spPr>
        <a:xfrm>
          <a:off x="3981450" y="695325"/>
          <a:ext cx="552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66675</xdr:colOff>
      <xdr:row>3</xdr:row>
      <xdr:rowOff>114300</xdr:rowOff>
    </xdr:from>
    <xdr:to>
      <xdr:col>8</xdr:col>
      <xdr:colOff>9525</xdr:colOff>
      <xdr:row>3</xdr:row>
      <xdr:rowOff>114300</xdr:rowOff>
    </xdr:to>
    <xdr:cxnSp macro="">
      <xdr:nvCxnSpPr>
        <xdr:cNvPr id="9" name="Straight Arrow Connector 8">
          <a:extLst>
            <a:ext uri="{FF2B5EF4-FFF2-40B4-BE49-F238E27FC236}">
              <a16:creationId xmlns:a16="http://schemas.microsoft.com/office/drawing/2014/main" id="{CA6A137D-3192-475A-8623-45D94FE3C31B}"/>
            </a:ext>
          </a:extLst>
        </xdr:cNvPr>
        <xdr:cNvCxnSpPr/>
      </xdr:nvCxnSpPr>
      <xdr:spPr>
        <a:xfrm>
          <a:off x="5448300" y="685800"/>
          <a:ext cx="5524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6</xdr:row>
      <xdr:rowOff>19050</xdr:rowOff>
    </xdr:from>
    <xdr:to>
      <xdr:col>4</xdr:col>
      <xdr:colOff>514350</xdr:colOff>
      <xdr:row>12</xdr:row>
      <xdr:rowOff>161925</xdr:rowOff>
    </xdr:to>
    <xdr:cxnSp macro="">
      <xdr:nvCxnSpPr>
        <xdr:cNvPr id="10" name="Straight Arrow Connector 9">
          <a:extLst>
            <a:ext uri="{FF2B5EF4-FFF2-40B4-BE49-F238E27FC236}">
              <a16:creationId xmlns:a16="http://schemas.microsoft.com/office/drawing/2014/main" id="{08F9E857-89E3-4708-9F9A-5A122C9F32C3}"/>
            </a:ext>
          </a:extLst>
        </xdr:cNvPr>
        <xdr:cNvCxnSpPr/>
      </xdr:nvCxnSpPr>
      <xdr:spPr>
        <a:xfrm>
          <a:off x="3295650" y="1162050"/>
          <a:ext cx="9525" cy="1285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242887</xdr:colOff>
      <xdr:row>16</xdr:row>
      <xdr:rowOff>42862</xdr:rowOff>
    </xdr:from>
    <xdr:to>
      <xdr:col>7</xdr:col>
      <xdr:colOff>519112</xdr:colOff>
      <xdr:row>30</xdr:row>
      <xdr:rowOff>119062</xdr:rowOff>
    </xdr:to>
    <xdr:graphicFrame macro="">
      <xdr:nvGraphicFramePr>
        <xdr:cNvPr id="15" name="Chart 14">
          <a:extLst>
            <a:ext uri="{FF2B5EF4-FFF2-40B4-BE49-F238E27FC236}">
              <a16:creationId xmlns:a16="http://schemas.microsoft.com/office/drawing/2014/main" id="{21FF1C37-A31A-9AAA-3264-94055A1DA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660256</xdr:colOff>
      <xdr:row>20</xdr:row>
      <xdr:rowOff>75767</xdr:rowOff>
    </xdr:from>
    <xdr:to>
      <xdr:col>7</xdr:col>
      <xdr:colOff>86591</xdr:colOff>
      <xdr:row>20</xdr:row>
      <xdr:rowOff>97415</xdr:rowOff>
    </xdr:to>
    <xdr:cxnSp macro="">
      <xdr:nvCxnSpPr>
        <xdr:cNvPr id="6" name="Straight Connector 5">
          <a:extLst>
            <a:ext uri="{FF2B5EF4-FFF2-40B4-BE49-F238E27FC236}">
              <a16:creationId xmlns:a16="http://schemas.microsoft.com/office/drawing/2014/main" id="{D6D3560D-9099-AA22-4327-A04644A67536}"/>
            </a:ext>
          </a:extLst>
        </xdr:cNvPr>
        <xdr:cNvCxnSpPr/>
      </xdr:nvCxnSpPr>
      <xdr:spPr>
        <a:xfrm flipV="1">
          <a:off x="5336165" y="4578494"/>
          <a:ext cx="238125" cy="21648"/>
        </a:xfrm>
        <a:prstGeom prst="line">
          <a:avLst/>
        </a:prstGeom>
        <a:ln>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454603</xdr:colOff>
      <xdr:row>2</xdr:row>
      <xdr:rowOff>173182</xdr:rowOff>
    </xdr:from>
    <xdr:to>
      <xdr:col>19</xdr:col>
      <xdr:colOff>194830</xdr:colOff>
      <xdr:row>11</xdr:row>
      <xdr:rowOff>108239</xdr:rowOff>
    </xdr:to>
    <xdr:sp macro="" textlink="">
      <xdr:nvSpPr>
        <xdr:cNvPr id="2" name="TextBox 1">
          <a:extLst>
            <a:ext uri="{FF2B5EF4-FFF2-40B4-BE49-F238E27FC236}">
              <a16:creationId xmlns:a16="http://schemas.microsoft.com/office/drawing/2014/main" id="{4AD12EB5-58CF-71DF-D20D-F4225979FF55}"/>
            </a:ext>
          </a:extLst>
        </xdr:cNvPr>
        <xdr:cNvSpPr txBox="1"/>
      </xdr:nvSpPr>
      <xdr:spPr>
        <a:xfrm>
          <a:off x="11938722" y="1168977"/>
          <a:ext cx="1558636" cy="1688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For exponential smoothing </a:t>
          </a:r>
          <a:r>
            <a:rPr lang="en-US" sz="1100" baseline="0">
              <a:solidFill>
                <a:schemeClr val="dk1"/>
              </a:solidFill>
              <a:effectLst/>
              <a:latin typeface="+mn-lt"/>
              <a:ea typeface="+mn-ea"/>
              <a:cs typeface="+mn-cs"/>
            </a:rPr>
            <a:t>w</a:t>
          </a:r>
          <a:r>
            <a:rPr lang="en-US" sz="1100">
              <a:solidFill>
                <a:schemeClr val="dk1"/>
              </a:solidFill>
              <a:effectLst/>
              <a:latin typeface="+mn-lt"/>
              <a:ea typeface="+mn-ea"/>
              <a:cs typeface="+mn-cs"/>
            </a:rPr>
            <a:t>e try to chose an a that minimizes</a:t>
          </a:r>
          <a:r>
            <a:rPr lang="en-US" sz="1100" baseline="0">
              <a:solidFill>
                <a:schemeClr val="dk1"/>
              </a:solidFill>
              <a:effectLst/>
              <a:latin typeface="+mn-lt"/>
              <a:ea typeface="+mn-ea"/>
              <a:cs typeface="+mn-cs"/>
            </a:rPr>
            <a:t> MSE.</a:t>
          </a:r>
        </a:p>
        <a:p>
          <a:r>
            <a:rPr lang="en-US" sz="1100" baseline="0">
              <a:solidFill>
                <a:schemeClr val="dk1"/>
              </a:solidFill>
              <a:effectLst/>
              <a:latin typeface="+mn-lt"/>
              <a:ea typeface="+mn-ea"/>
              <a:cs typeface="+mn-cs"/>
            </a:rPr>
            <a:t>The textbook says that a=0.3 has an Mse of 9.35, so a=0.2 is better.</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419099</xdr:colOff>
      <xdr:row>0</xdr:row>
      <xdr:rowOff>200025</xdr:rowOff>
    </xdr:from>
    <xdr:to>
      <xdr:col>15</xdr:col>
      <xdr:colOff>180974</xdr:colOff>
      <xdr:row>12</xdr:row>
      <xdr:rowOff>133350</xdr:rowOff>
    </xdr:to>
    <xdr:graphicFrame macro="">
      <xdr:nvGraphicFramePr>
        <xdr:cNvPr id="2" name="Chart 1">
          <a:extLst>
            <a:ext uri="{FF2B5EF4-FFF2-40B4-BE49-F238E27FC236}">
              <a16:creationId xmlns:a16="http://schemas.microsoft.com/office/drawing/2014/main" id="{DA035C02-23DA-A04C-973A-A4B91B42D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195262</xdr:colOff>
      <xdr:row>6</xdr:row>
      <xdr:rowOff>90487</xdr:rowOff>
    </xdr:from>
    <xdr:to>
      <xdr:col>11</xdr:col>
      <xdr:colOff>500062</xdr:colOff>
      <xdr:row>20</xdr:row>
      <xdr:rowOff>166687</xdr:rowOff>
    </xdr:to>
    <xdr:graphicFrame macro="">
      <xdr:nvGraphicFramePr>
        <xdr:cNvPr id="2" name="Chart 1">
          <a:extLst>
            <a:ext uri="{FF2B5EF4-FFF2-40B4-BE49-F238E27FC236}">
              <a16:creationId xmlns:a16="http://schemas.microsoft.com/office/drawing/2014/main" id="{F72FBB87-8C13-5CF5-2B54-C820B5386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240086</xdr:colOff>
      <xdr:row>0</xdr:row>
      <xdr:rowOff>11206</xdr:rowOff>
    </xdr:from>
    <xdr:to>
      <xdr:col>20</xdr:col>
      <xdr:colOff>197225</xdr:colOff>
      <xdr:row>17</xdr:row>
      <xdr:rowOff>120743</xdr:rowOff>
    </xdr:to>
    <xdr:graphicFrame macro="">
      <xdr:nvGraphicFramePr>
        <xdr:cNvPr id="2" name="Chart 1">
          <a:extLst>
            <a:ext uri="{FF2B5EF4-FFF2-40B4-BE49-F238E27FC236}">
              <a16:creationId xmlns:a16="http://schemas.microsoft.com/office/drawing/2014/main" id="{44A0B7E3-8371-2BA6-A88D-43DE69AFF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425823</xdr:colOff>
      <xdr:row>19</xdr:row>
      <xdr:rowOff>123264</xdr:rowOff>
    </xdr:from>
    <xdr:to>
      <xdr:col>15</xdr:col>
      <xdr:colOff>268941</xdr:colOff>
      <xdr:row>27</xdr:row>
      <xdr:rowOff>100853</xdr:rowOff>
    </xdr:to>
    <xdr:sp macro="" textlink="">
      <xdr:nvSpPr>
        <xdr:cNvPr id="4" name="TextBox 3">
          <a:extLst>
            <a:ext uri="{FF2B5EF4-FFF2-40B4-BE49-F238E27FC236}">
              <a16:creationId xmlns:a16="http://schemas.microsoft.com/office/drawing/2014/main" id="{CA1F042D-CA67-19E1-3673-2AF7A4C05440}"/>
            </a:ext>
          </a:extLst>
        </xdr:cNvPr>
        <xdr:cNvSpPr txBox="1"/>
      </xdr:nvSpPr>
      <xdr:spPr>
        <a:xfrm>
          <a:off x="8471647" y="4123764"/>
          <a:ext cx="3473823" cy="1524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MSE</a:t>
          </a:r>
          <a:r>
            <a:rPr lang="en-US" sz="1100" baseline="0"/>
            <a:t> in the regression output is not the average of the squared forecast errors. (divided by 8 not 10)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In forecasting, MSE</a:t>
          </a:r>
          <a:r>
            <a:rPr lang="en-US" sz="1100">
              <a:solidFill>
                <a:schemeClr val="dk1"/>
              </a:solidFill>
              <a:effectLst/>
              <a:latin typeface="+mn-lt"/>
              <a:ea typeface="+mn-ea"/>
              <a:cs typeface="+mn-cs"/>
            </a:rPr>
            <a:t> (mean square error)</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is the average of the sum of squared forecast errors.</a:t>
          </a:r>
          <a:endParaRPr lang="en-US">
            <a:effectLst/>
          </a:endParaRPr>
        </a:p>
        <a:p>
          <a:r>
            <a:rPr lang="en-US" sz="1100" b="1">
              <a:solidFill>
                <a:schemeClr val="dk1"/>
              </a:solidFill>
              <a:effectLst/>
              <a:latin typeface="+mn-lt"/>
              <a:ea typeface="+mn-ea"/>
              <a:cs typeface="+mn-cs"/>
            </a:rPr>
            <a:t>In regression analysis </a:t>
          </a:r>
          <a:r>
            <a:rPr lang="en-US" sz="1100">
              <a:solidFill>
                <a:schemeClr val="dk1"/>
              </a:solidFill>
              <a:effectLst/>
              <a:latin typeface="+mn-lt"/>
              <a:ea typeface="+mn-ea"/>
              <a:cs typeface="+mn-cs"/>
            </a:rPr>
            <a:t>the mean square error (MSE) is the residual sum of squares divided by its degrees of freedom. </a:t>
          </a:r>
          <a:endParaRPr lang="en-US">
            <a:effectLst/>
          </a:endParaRP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238125</xdr:colOff>
      <xdr:row>12</xdr:row>
      <xdr:rowOff>76200</xdr:rowOff>
    </xdr:from>
    <xdr:to>
      <xdr:col>13</xdr:col>
      <xdr:colOff>161925</xdr:colOff>
      <xdr:row>18</xdr:row>
      <xdr:rowOff>38100</xdr:rowOff>
    </xdr:to>
    <xdr:sp macro="" textlink="">
      <xdr:nvSpPr>
        <xdr:cNvPr id="2" name="TextBox 1">
          <a:extLst>
            <a:ext uri="{FF2B5EF4-FFF2-40B4-BE49-F238E27FC236}">
              <a16:creationId xmlns:a16="http://schemas.microsoft.com/office/drawing/2014/main" id="{01581C34-4277-E5B8-6443-4377C1F883A2}"/>
            </a:ext>
          </a:extLst>
        </xdr:cNvPr>
        <xdr:cNvSpPr txBox="1"/>
      </xdr:nvSpPr>
      <xdr:spPr>
        <a:xfrm>
          <a:off x="5238750" y="2743200"/>
          <a:ext cx="297180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Therefore</a:t>
          </a:r>
          <a:r>
            <a:rPr lang="en-US" sz="1100" baseline="0"/>
            <a:t> linear trend equation is Tt=20.4+1.1t</a:t>
          </a:r>
        </a:p>
        <a:p>
          <a:endParaRPr lang="en-US" sz="1100" baseline="0"/>
        </a:p>
        <a:p>
          <a:r>
            <a:rPr lang="en-US" sz="1100" baseline="0"/>
            <a:t>The slope of 1.1 indicates that over the past 10 years the firm experienced an average growth in sales of about 1,100 units per year. </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180975</xdr:colOff>
      <xdr:row>31</xdr:row>
      <xdr:rowOff>123825</xdr:rowOff>
    </xdr:from>
    <xdr:to>
      <xdr:col>19</xdr:col>
      <xdr:colOff>180975</xdr:colOff>
      <xdr:row>41</xdr:row>
      <xdr:rowOff>95250</xdr:rowOff>
    </xdr:to>
    <xdr:graphicFrame macro="">
      <xdr:nvGraphicFramePr>
        <xdr:cNvPr id="2" name="Chart 1">
          <a:extLst>
            <a:ext uri="{FF2B5EF4-FFF2-40B4-BE49-F238E27FC236}">
              <a16:creationId xmlns:a16="http://schemas.microsoft.com/office/drawing/2014/main" id="{F89B4212-A303-08F6-192F-6A9A9D963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171450</xdr:colOff>
      <xdr:row>17</xdr:row>
      <xdr:rowOff>133350</xdr:rowOff>
    </xdr:from>
    <xdr:to>
      <xdr:col>21</xdr:col>
      <xdr:colOff>171450</xdr:colOff>
      <xdr:row>27</xdr:row>
      <xdr:rowOff>133350</xdr:rowOff>
    </xdr:to>
    <xdr:graphicFrame macro="">
      <xdr:nvGraphicFramePr>
        <xdr:cNvPr id="3" name="Chart 2">
          <a:extLst>
            <a:ext uri="{FF2B5EF4-FFF2-40B4-BE49-F238E27FC236}">
              <a16:creationId xmlns:a16="http://schemas.microsoft.com/office/drawing/2014/main" id="{4C359E59-F1D8-5427-7C3F-61A300501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573162</xdr:colOff>
      <xdr:row>2</xdr:row>
      <xdr:rowOff>135019</xdr:rowOff>
    </xdr:from>
    <xdr:to>
      <xdr:col>13</xdr:col>
      <xdr:colOff>552411</xdr:colOff>
      <xdr:row>18</xdr:row>
      <xdr:rowOff>167316</xdr:rowOff>
    </xdr:to>
    <xdr:sp macro="" textlink="">
      <xdr:nvSpPr>
        <xdr:cNvPr id="4" name="TextBox 3">
          <a:extLst>
            <a:ext uri="{FF2B5EF4-FFF2-40B4-BE49-F238E27FC236}">
              <a16:creationId xmlns:a16="http://schemas.microsoft.com/office/drawing/2014/main" id="{0D8A8C31-0EB0-10A2-0C5E-2B4742715A93}"/>
            </a:ext>
          </a:extLst>
        </xdr:cNvPr>
        <xdr:cNvSpPr txBox="1"/>
      </xdr:nvSpPr>
      <xdr:spPr>
        <a:xfrm>
          <a:off x="7072574" y="874607"/>
          <a:ext cx="2399719" cy="30915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linear trend</a:t>
          </a:r>
          <a:r>
            <a:rPr lang="en-US" sz="1100" baseline="0"/>
            <a:t> was the same as a linear regression with x as year. However it can not be year as 2002, 2003.. it has to be 1, 2, 3, 4 continuous. Also, now you can forecast for the </a:t>
          </a:r>
          <a:r>
            <a:rPr lang="en-US" sz="1100" baseline="0">
              <a:solidFill>
                <a:schemeClr val="accent1"/>
              </a:solidFill>
            </a:rPr>
            <a:t>future</a:t>
          </a:r>
          <a:r>
            <a:rPr lang="en-US" sz="1100" baseline="0"/>
            <a:t> using the slope and coefficient. To include the future forecast line connected to current forecast/last sales, I have to include a point close to (10,31.4)  like 10.1, 31.5 so that I can have a legend and a line that does not cover the last point. Otherwise I could just color it as part of the predicted line and not forecast but with no legend showing a different color for future forecast.</a:t>
          </a:r>
        </a:p>
        <a:p>
          <a:endParaRPr lang="en-US" sz="1100"/>
        </a:p>
      </xdr:txBody>
    </xdr:sp>
    <xdr:clientData/>
  </xdr:twoCellAnchor>
  <xdr:twoCellAnchor>
    <xdr:from>
      <xdr:col>14</xdr:col>
      <xdr:colOff>367328</xdr:colOff>
      <xdr:row>0</xdr:row>
      <xdr:rowOff>61867</xdr:rowOff>
    </xdr:from>
    <xdr:to>
      <xdr:col>22</xdr:col>
      <xdr:colOff>70514</xdr:colOff>
      <xdr:row>14</xdr:row>
      <xdr:rowOff>124163</xdr:rowOff>
    </xdr:to>
    <xdr:graphicFrame macro="">
      <xdr:nvGraphicFramePr>
        <xdr:cNvPr id="5" name="Chart 4">
          <a:extLst>
            <a:ext uri="{FF2B5EF4-FFF2-40B4-BE49-F238E27FC236}">
              <a16:creationId xmlns:a16="http://schemas.microsoft.com/office/drawing/2014/main" id="{111ABA80-C3C4-7AB4-E985-4AD96E96E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503621</xdr:colOff>
      <xdr:row>21</xdr:row>
      <xdr:rowOff>65690</xdr:rowOff>
    </xdr:from>
    <xdr:to>
      <xdr:col>12</xdr:col>
      <xdr:colOff>339397</xdr:colOff>
      <xdr:row>29</xdr:row>
      <xdr:rowOff>87586</xdr:rowOff>
    </xdr:to>
    <xdr:sp macro="" textlink="">
      <xdr:nvSpPr>
        <xdr:cNvPr id="6" name="TextBox 5">
          <a:extLst>
            <a:ext uri="{FF2B5EF4-FFF2-40B4-BE49-F238E27FC236}">
              <a16:creationId xmlns:a16="http://schemas.microsoft.com/office/drawing/2014/main" id="{18502500-90F0-863B-0722-DD1719C6A8A7}"/>
            </a:ext>
          </a:extLst>
        </xdr:cNvPr>
        <xdr:cNvSpPr txBox="1"/>
      </xdr:nvSpPr>
      <xdr:spPr>
        <a:xfrm>
          <a:off x="5101897" y="3996121"/>
          <a:ext cx="2901293" cy="1532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Except Linear Trend for</a:t>
          </a:r>
          <a:r>
            <a:rPr lang="en-US" sz="1400" baseline="0"/>
            <a:t> </a:t>
          </a:r>
          <a:r>
            <a:rPr lang="en-US" sz="1400"/>
            <a:t>MSE it</a:t>
          </a:r>
          <a:r>
            <a:rPr lang="en-US" sz="1400" baseline="0"/>
            <a:t> is not</a:t>
          </a:r>
          <a:r>
            <a:rPr lang="en-US" sz="1400"/>
            <a:t> SSE/n-2 like in linear</a:t>
          </a:r>
          <a:r>
            <a:rPr lang="en-US" sz="1400" baseline="0"/>
            <a:t> regression, it is SSE/n. </a:t>
          </a:r>
        </a:p>
        <a:p>
          <a:endParaRPr lang="en-US" sz="1400"/>
        </a:p>
        <a:p>
          <a:r>
            <a:rPr lang="en-US" sz="1400"/>
            <a:t>MSE=30.7/10=</a:t>
          </a:r>
          <a:r>
            <a:rPr lang="en-US" sz="1400" baseline="0"/>
            <a:t> 3.07</a:t>
          </a:r>
          <a:endParaRPr lang="en-US" sz="14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78441</xdr:colOff>
      <xdr:row>13</xdr:row>
      <xdr:rowOff>170890</xdr:rowOff>
    </xdr:from>
    <xdr:to>
      <xdr:col>14</xdr:col>
      <xdr:colOff>228742</xdr:colOff>
      <xdr:row>27</xdr:row>
      <xdr:rowOff>156883</xdr:rowOff>
    </xdr:to>
    <xdr:pic>
      <xdr:nvPicPr>
        <xdr:cNvPr id="2" name="Picture 1">
          <a:extLst>
            <a:ext uri="{FF2B5EF4-FFF2-40B4-BE49-F238E27FC236}">
              <a16:creationId xmlns:a16="http://schemas.microsoft.com/office/drawing/2014/main" id="{C70AEA18-878A-F909-F425-F98E0655A7E8}"/>
            </a:ext>
          </a:extLst>
        </xdr:cNvPr>
        <xdr:cNvPicPr>
          <a:picLocks noChangeAspect="1"/>
        </xdr:cNvPicPr>
      </xdr:nvPicPr>
      <xdr:blipFill>
        <a:blip xmlns:r="http://schemas.openxmlformats.org/officeDocument/2006/relationships" r:embed="rId1"/>
        <a:stretch>
          <a:fillRect/>
        </a:stretch>
      </xdr:blipFill>
      <xdr:spPr>
        <a:xfrm>
          <a:off x="4818529" y="3218890"/>
          <a:ext cx="5652389" cy="2652993"/>
        </a:xfrm>
        <a:prstGeom prst="rect">
          <a:avLst/>
        </a:prstGeom>
      </xdr:spPr>
    </xdr:pic>
    <xdr:clientData/>
  </xdr:twoCellAnchor>
  <xdr:twoCellAnchor editAs="oneCell">
    <xdr:from>
      <xdr:col>7</xdr:col>
      <xdr:colOff>94688</xdr:colOff>
      <xdr:row>27</xdr:row>
      <xdr:rowOff>123264</xdr:rowOff>
    </xdr:from>
    <xdr:to>
      <xdr:col>14</xdr:col>
      <xdr:colOff>224117</xdr:colOff>
      <xdr:row>34</xdr:row>
      <xdr:rowOff>122473</xdr:rowOff>
    </xdr:to>
    <xdr:pic>
      <xdr:nvPicPr>
        <xdr:cNvPr id="3" name="Picture 2">
          <a:extLst>
            <a:ext uri="{FF2B5EF4-FFF2-40B4-BE49-F238E27FC236}">
              <a16:creationId xmlns:a16="http://schemas.microsoft.com/office/drawing/2014/main" id="{825D533A-B27C-0C4D-EE5C-97D01AD88250}"/>
            </a:ext>
          </a:extLst>
        </xdr:cNvPr>
        <xdr:cNvPicPr>
          <a:picLocks noChangeAspect="1"/>
        </xdr:cNvPicPr>
      </xdr:nvPicPr>
      <xdr:blipFill>
        <a:blip xmlns:r="http://schemas.openxmlformats.org/officeDocument/2006/relationships" r:embed="rId2"/>
        <a:stretch>
          <a:fillRect/>
        </a:stretch>
      </xdr:blipFill>
      <xdr:spPr>
        <a:xfrm>
          <a:off x="4834776" y="5838264"/>
          <a:ext cx="5631517" cy="1332709"/>
        </a:xfrm>
        <a:prstGeom prst="rect">
          <a:avLst/>
        </a:prstGeom>
      </xdr:spPr>
    </xdr:pic>
    <xdr:clientData/>
  </xdr:twoCellAnchor>
  <xdr:twoCellAnchor>
    <xdr:from>
      <xdr:col>14</xdr:col>
      <xdr:colOff>383246</xdr:colOff>
      <xdr:row>17</xdr:row>
      <xdr:rowOff>28575</xdr:rowOff>
    </xdr:from>
    <xdr:to>
      <xdr:col>18</xdr:col>
      <xdr:colOff>302558</xdr:colOff>
      <xdr:row>30</xdr:row>
      <xdr:rowOff>0</xdr:rowOff>
    </xdr:to>
    <xdr:sp macro="" textlink="">
      <xdr:nvSpPr>
        <xdr:cNvPr id="4" name="TextBox 3">
          <a:extLst>
            <a:ext uri="{FF2B5EF4-FFF2-40B4-BE49-F238E27FC236}">
              <a16:creationId xmlns:a16="http://schemas.microsoft.com/office/drawing/2014/main" id="{FE11E75D-9CBD-BB7E-783F-BEE955D29E03}"/>
            </a:ext>
          </a:extLst>
        </xdr:cNvPr>
        <xdr:cNvSpPr txBox="1"/>
      </xdr:nvSpPr>
      <xdr:spPr>
        <a:xfrm>
          <a:off x="10625422" y="3457575"/>
          <a:ext cx="2339783" cy="2447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Holts linear exponential smoothing is an extension of single exponential smoothing. It uses two smoothing constants: one to account for the level of the time series and a second to account for the linear trend in the data. </a:t>
          </a:r>
          <a:endParaRPr lang="en-US" sz="1100"/>
        </a:p>
      </xdr:txBody>
    </xdr:sp>
    <xdr:clientData/>
  </xdr:twoCellAnchor>
  <xdr:twoCellAnchor>
    <xdr:from>
      <xdr:col>15</xdr:col>
      <xdr:colOff>500342</xdr:colOff>
      <xdr:row>0</xdr:row>
      <xdr:rowOff>142313</xdr:rowOff>
    </xdr:from>
    <xdr:to>
      <xdr:col>27</xdr:col>
      <xdr:colOff>291352</xdr:colOff>
      <xdr:row>15</xdr:row>
      <xdr:rowOff>179292</xdr:rowOff>
    </xdr:to>
    <xdr:graphicFrame macro="">
      <xdr:nvGraphicFramePr>
        <xdr:cNvPr id="5" name="Chart 4">
          <a:extLst>
            <a:ext uri="{FF2B5EF4-FFF2-40B4-BE49-F238E27FC236}">
              <a16:creationId xmlns:a16="http://schemas.microsoft.com/office/drawing/2014/main" id="{EC8C83FA-1C1F-CA3F-F06C-4AA3DE9C9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717177</xdr:colOff>
      <xdr:row>34</xdr:row>
      <xdr:rowOff>168088</xdr:rowOff>
    </xdr:from>
    <xdr:to>
      <xdr:col>11</xdr:col>
      <xdr:colOff>593911</xdr:colOff>
      <xdr:row>39</xdr:row>
      <xdr:rowOff>11206</xdr:rowOff>
    </xdr:to>
    <xdr:sp macro="" textlink="">
      <xdr:nvSpPr>
        <xdr:cNvPr id="6" name="TextBox 5">
          <a:extLst>
            <a:ext uri="{FF2B5EF4-FFF2-40B4-BE49-F238E27FC236}">
              <a16:creationId xmlns:a16="http://schemas.microsoft.com/office/drawing/2014/main" id="{99931475-87E0-25FB-08C6-2BA95E26FCD6}"/>
            </a:ext>
          </a:extLst>
        </xdr:cNvPr>
        <xdr:cNvSpPr txBox="1"/>
      </xdr:nvSpPr>
      <xdr:spPr>
        <a:xfrm>
          <a:off x="5457265" y="7216588"/>
          <a:ext cx="3462617" cy="795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Yt=observed value at time series t</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Except</a:t>
          </a:r>
          <a:r>
            <a:rPr lang="en-US" sz="1100" baseline="0">
              <a:solidFill>
                <a:schemeClr val="dk1"/>
              </a:solidFill>
              <a:effectLst/>
              <a:latin typeface="+mn-lt"/>
              <a:ea typeface="+mn-ea"/>
              <a:cs typeface="+mn-cs"/>
            </a:rPr>
            <a:t> f</a:t>
          </a:r>
          <a:r>
            <a:rPr lang="en-US" sz="1100">
              <a:solidFill>
                <a:schemeClr val="dk1"/>
              </a:solidFill>
              <a:effectLst/>
              <a:latin typeface="+mn-lt"/>
              <a:ea typeface="+mn-ea"/>
              <a:cs typeface="+mn-cs"/>
            </a:rPr>
            <a:t>or</a:t>
          </a:r>
          <a:r>
            <a:rPr lang="en-US" sz="1100" baseline="0">
              <a:solidFill>
                <a:schemeClr val="dk1"/>
              </a:solidFill>
              <a:effectLst/>
              <a:latin typeface="+mn-lt"/>
              <a:ea typeface="+mn-ea"/>
              <a:cs typeface="+mn-cs"/>
            </a:rPr>
            <a:t> L1 we set it equal to Y1, for b1 we set it equal to Y2-Y1. There is no F1, we skip it.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90487</xdr:colOff>
      <xdr:row>3</xdr:row>
      <xdr:rowOff>80962</xdr:rowOff>
    </xdr:from>
    <xdr:to>
      <xdr:col>24</xdr:col>
      <xdr:colOff>395287</xdr:colOff>
      <xdr:row>17</xdr:row>
      <xdr:rowOff>176212</xdr:rowOff>
    </xdr:to>
    <xdr:graphicFrame macro="">
      <xdr:nvGraphicFramePr>
        <xdr:cNvPr id="2" name="Chart 1">
          <a:extLst>
            <a:ext uri="{FF2B5EF4-FFF2-40B4-BE49-F238E27FC236}">
              <a16:creationId xmlns:a16="http://schemas.microsoft.com/office/drawing/2014/main" id="{A7520ADB-D761-43DE-DD0B-31255EAE9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0</xdr:row>
      <xdr:rowOff>0</xdr:rowOff>
    </xdr:from>
    <xdr:to>
      <xdr:col>23</xdr:col>
      <xdr:colOff>457200</xdr:colOff>
      <xdr:row>15</xdr:row>
      <xdr:rowOff>114300</xdr:rowOff>
    </xdr:to>
    <xdr:graphicFrame macro="">
      <xdr:nvGraphicFramePr>
        <xdr:cNvPr id="3" name="Chart 2">
          <a:extLst>
            <a:ext uri="{FF2B5EF4-FFF2-40B4-BE49-F238E27FC236}">
              <a16:creationId xmlns:a16="http://schemas.microsoft.com/office/drawing/2014/main" id="{C5C819B1-6A8C-8E4C-E02C-E7E628655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195262</xdr:colOff>
      <xdr:row>0</xdr:row>
      <xdr:rowOff>0</xdr:rowOff>
    </xdr:from>
    <xdr:to>
      <xdr:col>10</xdr:col>
      <xdr:colOff>500062</xdr:colOff>
      <xdr:row>14</xdr:row>
      <xdr:rowOff>76200</xdr:rowOff>
    </xdr:to>
    <xdr:graphicFrame macro="">
      <xdr:nvGraphicFramePr>
        <xdr:cNvPr id="4" name="Chart 3">
          <a:extLst>
            <a:ext uri="{FF2B5EF4-FFF2-40B4-BE49-F238E27FC236}">
              <a16:creationId xmlns:a16="http://schemas.microsoft.com/office/drawing/2014/main" id="{D57D9EC8-ED87-9EBA-EE80-3FA643B15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504825</xdr:colOff>
      <xdr:row>0</xdr:row>
      <xdr:rowOff>47622</xdr:rowOff>
    </xdr:from>
    <xdr:to>
      <xdr:col>13</xdr:col>
      <xdr:colOff>552450</xdr:colOff>
      <xdr:row>15</xdr:row>
      <xdr:rowOff>182095</xdr:rowOff>
    </xdr:to>
    <xdr:sp macro="" textlink="">
      <xdr:nvSpPr>
        <xdr:cNvPr id="5" name="TextBox 4">
          <a:extLst>
            <a:ext uri="{FF2B5EF4-FFF2-40B4-BE49-F238E27FC236}">
              <a16:creationId xmlns:a16="http://schemas.microsoft.com/office/drawing/2014/main" id="{95820F5D-ACD7-D904-8DD3-3A87A52192C9}"/>
            </a:ext>
          </a:extLst>
        </xdr:cNvPr>
        <xdr:cNvSpPr txBox="1"/>
      </xdr:nvSpPr>
      <xdr:spPr>
        <a:xfrm>
          <a:off x="8615082" y="47622"/>
          <a:ext cx="1280272" cy="3076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How</a:t>
          </a:r>
          <a:r>
            <a:rPr lang="en-US" sz="1100" baseline="0"/>
            <a:t> you know this is nonlinear.  Even though the Rsquares is high and F test does not fail. Standard (excel) are almost the same as standardized (textbook).</a:t>
          </a:r>
        </a:p>
        <a:p>
          <a:endParaRPr lang="en-US" sz="1100" baseline="0"/>
        </a:p>
        <a:p>
          <a:r>
            <a:rPr lang="en-US" sz="1100" baseline="0"/>
            <a:t>Ideally I would switch entire data set to every 6 months for 10 years to be certain (n=20).</a:t>
          </a:r>
        </a:p>
      </xdr:txBody>
    </xdr:sp>
    <xdr:clientData/>
  </xdr:twoCellAnchor>
  <xdr:twoCellAnchor>
    <xdr:from>
      <xdr:col>10</xdr:col>
      <xdr:colOff>561975</xdr:colOff>
      <xdr:row>5</xdr:row>
      <xdr:rowOff>28575</xdr:rowOff>
    </xdr:from>
    <xdr:to>
      <xdr:col>11</xdr:col>
      <xdr:colOff>438150</xdr:colOff>
      <xdr:row>6</xdr:row>
      <xdr:rowOff>0</xdr:rowOff>
    </xdr:to>
    <xdr:cxnSp macro="">
      <xdr:nvCxnSpPr>
        <xdr:cNvPr id="7" name="Straight Arrow Connector 6">
          <a:extLst>
            <a:ext uri="{FF2B5EF4-FFF2-40B4-BE49-F238E27FC236}">
              <a16:creationId xmlns:a16="http://schemas.microsoft.com/office/drawing/2014/main" id="{77B8DDA3-F7ED-D6B2-21DC-EFFF6B4A90E0}"/>
            </a:ext>
          </a:extLst>
        </xdr:cNvPr>
        <xdr:cNvCxnSpPr/>
      </xdr:nvCxnSpPr>
      <xdr:spPr>
        <a:xfrm flipH="1">
          <a:off x="7991475" y="981075"/>
          <a:ext cx="485775" cy="161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476250</xdr:colOff>
      <xdr:row>4</xdr:row>
      <xdr:rowOff>38099</xdr:rowOff>
    </xdr:from>
    <xdr:to>
      <xdr:col>10</xdr:col>
      <xdr:colOff>66675</xdr:colOff>
      <xdr:row>12</xdr:row>
      <xdr:rowOff>160019</xdr:rowOff>
    </xdr:to>
    <xdr:sp macro="" textlink="">
      <xdr:nvSpPr>
        <xdr:cNvPr id="9" name="Freeform: Shape 8">
          <a:extLst>
            <a:ext uri="{FF2B5EF4-FFF2-40B4-BE49-F238E27FC236}">
              <a16:creationId xmlns:a16="http://schemas.microsoft.com/office/drawing/2014/main" id="{93BE9784-810B-811F-33A4-44E1DF4CE6D6}"/>
            </a:ext>
          </a:extLst>
        </xdr:cNvPr>
        <xdr:cNvSpPr/>
      </xdr:nvSpPr>
      <xdr:spPr>
        <a:xfrm>
          <a:off x="4248150" y="800099"/>
          <a:ext cx="3248025" cy="1645920"/>
        </a:xfrm>
        <a:custGeom>
          <a:avLst/>
          <a:gdLst>
            <a:gd name="connsiteX0" fmla="*/ 0 w 3248025"/>
            <a:gd name="connsiteY0" fmla="*/ 238125 h 1687445"/>
            <a:gd name="connsiteX1" fmla="*/ 1457325 w 3248025"/>
            <a:gd name="connsiteY1" fmla="*/ 1685925 h 1687445"/>
            <a:gd name="connsiteX2" fmla="*/ 3248025 w 3248025"/>
            <a:gd name="connsiteY2" fmla="*/ 0 h 1687445"/>
          </a:gdLst>
          <a:ahLst/>
          <a:cxnLst>
            <a:cxn ang="0">
              <a:pos x="connsiteX0" y="connsiteY0"/>
            </a:cxn>
            <a:cxn ang="0">
              <a:pos x="connsiteX1" y="connsiteY1"/>
            </a:cxn>
            <a:cxn ang="0">
              <a:pos x="connsiteX2" y="connsiteY2"/>
            </a:cxn>
          </a:cxnLst>
          <a:rect l="l" t="t" r="r" b="b"/>
          <a:pathLst>
            <a:path w="3248025" h="1687445">
              <a:moveTo>
                <a:pt x="0" y="238125"/>
              </a:moveTo>
              <a:cubicBezTo>
                <a:pt x="457994" y="981868"/>
                <a:pt x="915988" y="1725612"/>
                <a:pt x="1457325" y="1685925"/>
              </a:cubicBezTo>
              <a:cubicBezTo>
                <a:pt x="1998662" y="1646238"/>
                <a:pt x="2941637" y="293688"/>
                <a:pt x="3248025" y="0"/>
              </a:cubicBezTo>
            </a:path>
          </a:pathLst>
        </a:custGeom>
        <a:no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199139</xdr:colOff>
      <xdr:row>15</xdr:row>
      <xdr:rowOff>87054</xdr:rowOff>
    </xdr:from>
    <xdr:to>
      <xdr:col>12</xdr:col>
      <xdr:colOff>199139</xdr:colOff>
      <xdr:row>25</xdr:row>
      <xdr:rowOff>96579</xdr:rowOff>
    </xdr:to>
    <xdr:graphicFrame macro="">
      <xdr:nvGraphicFramePr>
        <xdr:cNvPr id="11" name="Chart 10">
          <a:extLst>
            <a:ext uri="{FF2B5EF4-FFF2-40B4-BE49-F238E27FC236}">
              <a16:creationId xmlns:a16="http://schemas.microsoft.com/office/drawing/2014/main" id="{96D28A9F-BCFF-25A9-846A-E8C80659E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285749</xdr:colOff>
      <xdr:row>29</xdr:row>
      <xdr:rowOff>38100</xdr:rowOff>
    </xdr:from>
    <xdr:to>
      <xdr:col>18</xdr:col>
      <xdr:colOff>66674</xdr:colOff>
      <xdr:row>41</xdr:row>
      <xdr:rowOff>38100</xdr:rowOff>
    </xdr:to>
    <xdr:graphicFrame macro="">
      <xdr:nvGraphicFramePr>
        <xdr:cNvPr id="12" name="Chart 11">
          <a:extLst>
            <a:ext uri="{FF2B5EF4-FFF2-40B4-BE49-F238E27FC236}">
              <a16:creationId xmlns:a16="http://schemas.microsoft.com/office/drawing/2014/main" id="{DB9F7C5B-2D52-FD68-9D82-7E82DF19F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8</xdr:row>
      <xdr:rowOff>38100</xdr:rowOff>
    </xdr:from>
    <xdr:to>
      <xdr:col>11</xdr:col>
      <xdr:colOff>466725</xdr:colOff>
      <xdr:row>14</xdr:row>
      <xdr:rowOff>28575</xdr:rowOff>
    </xdr:to>
    <xdr:cxnSp macro="">
      <xdr:nvCxnSpPr>
        <xdr:cNvPr id="14" name="Straight Arrow Connector 13">
          <a:extLst>
            <a:ext uri="{FF2B5EF4-FFF2-40B4-BE49-F238E27FC236}">
              <a16:creationId xmlns:a16="http://schemas.microsoft.com/office/drawing/2014/main" id="{48590786-BCCE-582C-463F-2E3CF93207FE}"/>
            </a:ext>
          </a:extLst>
        </xdr:cNvPr>
        <xdr:cNvCxnSpPr/>
      </xdr:nvCxnSpPr>
      <xdr:spPr>
        <a:xfrm flipH="1">
          <a:off x="8115300" y="1562100"/>
          <a:ext cx="390525" cy="1133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581025</xdr:colOff>
      <xdr:row>11</xdr:row>
      <xdr:rowOff>76200</xdr:rowOff>
    </xdr:from>
    <xdr:to>
      <xdr:col>10</xdr:col>
      <xdr:colOff>581025</xdr:colOff>
      <xdr:row>21</xdr:row>
      <xdr:rowOff>85725</xdr:rowOff>
    </xdr:to>
    <xdr:graphicFrame macro="">
      <xdr:nvGraphicFramePr>
        <xdr:cNvPr id="2" name="Chart 1">
          <a:extLst>
            <a:ext uri="{FF2B5EF4-FFF2-40B4-BE49-F238E27FC236}">
              <a16:creationId xmlns:a16="http://schemas.microsoft.com/office/drawing/2014/main" id="{A350C1AE-8518-274B-382E-5F1964C95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428625</xdr:colOff>
      <xdr:row>11</xdr:row>
      <xdr:rowOff>133350</xdr:rowOff>
    </xdr:from>
    <xdr:to>
      <xdr:col>17</xdr:col>
      <xdr:colOff>428625</xdr:colOff>
      <xdr:row>21</xdr:row>
      <xdr:rowOff>133350</xdr:rowOff>
    </xdr:to>
    <xdr:graphicFrame macro="">
      <xdr:nvGraphicFramePr>
        <xdr:cNvPr id="3" name="Chart 2">
          <a:extLst>
            <a:ext uri="{FF2B5EF4-FFF2-40B4-BE49-F238E27FC236}">
              <a16:creationId xmlns:a16="http://schemas.microsoft.com/office/drawing/2014/main" id="{18550D90-C2E8-67D7-C3B7-7A6969C3A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238125</xdr:colOff>
      <xdr:row>0</xdr:row>
      <xdr:rowOff>0</xdr:rowOff>
    </xdr:from>
    <xdr:to>
      <xdr:col>21</xdr:col>
      <xdr:colOff>476250</xdr:colOff>
      <xdr:row>11</xdr:row>
      <xdr:rowOff>123826</xdr:rowOff>
    </xdr:to>
    <xdr:graphicFrame macro="">
      <xdr:nvGraphicFramePr>
        <xdr:cNvPr id="4" name="Chart 3">
          <a:extLst>
            <a:ext uri="{FF2B5EF4-FFF2-40B4-BE49-F238E27FC236}">
              <a16:creationId xmlns:a16="http://schemas.microsoft.com/office/drawing/2014/main" id="{32AD02AD-978C-99F3-F6BA-D9E6FE9E2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180975</xdr:colOff>
      <xdr:row>19</xdr:row>
      <xdr:rowOff>133350</xdr:rowOff>
    </xdr:from>
    <xdr:to>
      <xdr:col>24</xdr:col>
      <xdr:colOff>180975</xdr:colOff>
      <xdr:row>29</xdr:row>
      <xdr:rowOff>133350</xdr:rowOff>
    </xdr:to>
    <xdr:graphicFrame macro="">
      <xdr:nvGraphicFramePr>
        <xdr:cNvPr id="5" name="Chart 4">
          <a:extLst>
            <a:ext uri="{FF2B5EF4-FFF2-40B4-BE49-F238E27FC236}">
              <a16:creationId xmlns:a16="http://schemas.microsoft.com/office/drawing/2014/main" id="{7FB055F3-9E19-5755-1B34-85869CE0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xdr:colOff>
      <xdr:row>30</xdr:row>
      <xdr:rowOff>133350</xdr:rowOff>
    </xdr:from>
    <xdr:to>
      <xdr:col>18</xdr:col>
      <xdr:colOff>19050</xdr:colOff>
      <xdr:row>40</xdr:row>
      <xdr:rowOff>142875</xdr:rowOff>
    </xdr:to>
    <xdr:graphicFrame macro="">
      <xdr:nvGraphicFramePr>
        <xdr:cNvPr id="6" name="Chart 5">
          <a:extLst>
            <a:ext uri="{FF2B5EF4-FFF2-40B4-BE49-F238E27FC236}">
              <a16:creationId xmlns:a16="http://schemas.microsoft.com/office/drawing/2014/main" id="{5555BEF7-B541-44AD-79F3-DE7C30281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128587</xdr:colOff>
      <xdr:row>0</xdr:row>
      <xdr:rowOff>38100</xdr:rowOff>
    </xdr:from>
    <xdr:to>
      <xdr:col>10</xdr:col>
      <xdr:colOff>433387</xdr:colOff>
      <xdr:row>10</xdr:row>
      <xdr:rowOff>171450</xdr:rowOff>
    </xdr:to>
    <xdr:graphicFrame macro="">
      <xdr:nvGraphicFramePr>
        <xdr:cNvPr id="7" name="Chart 6">
          <a:extLst>
            <a:ext uri="{FF2B5EF4-FFF2-40B4-BE49-F238E27FC236}">
              <a16:creationId xmlns:a16="http://schemas.microsoft.com/office/drawing/2014/main" id="{C5C96300-49EC-2B5B-A1FE-993BE5B5F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581025</xdr:colOff>
      <xdr:row>0</xdr:row>
      <xdr:rowOff>400050</xdr:rowOff>
    </xdr:from>
    <xdr:to>
      <xdr:col>12</xdr:col>
      <xdr:colOff>104775</xdr:colOff>
      <xdr:row>10</xdr:row>
      <xdr:rowOff>114300</xdr:rowOff>
    </xdr:to>
    <xdr:sp macro="" textlink="">
      <xdr:nvSpPr>
        <xdr:cNvPr id="8" name="TextBox 7">
          <a:extLst>
            <a:ext uri="{FF2B5EF4-FFF2-40B4-BE49-F238E27FC236}">
              <a16:creationId xmlns:a16="http://schemas.microsoft.com/office/drawing/2014/main" id="{CABF084F-17C0-78D2-839C-F734293F2F65}"/>
            </a:ext>
          </a:extLst>
        </xdr:cNvPr>
        <xdr:cNvSpPr txBox="1"/>
      </xdr:nvSpPr>
      <xdr:spPr>
        <a:xfrm>
          <a:off x="8334375" y="400050"/>
          <a:ext cx="742950"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How</a:t>
          </a:r>
          <a:r>
            <a:rPr lang="en-US" sz="1100" baseline="0"/>
            <a:t> you know it is adressed.</a:t>
          </a:r>
        </a:p>
        <a:p>
          <a:r>
            <a:rPr lang="en-US" sz="1100" baseline="0"/>
            <a:t>Plus the R squareds  are higher,  errors lower.</a:t>
          </a:r>
          <a:endParaRPr lang="en-US" sz="1100"/>
        </a:p>
      </xdr:txBody>
    </xdr:sp>
    <xdr:clientData/>
  </xdr:twoCellAnchor>
  <xdr:twoCellAnchor>
    <xdr:from>
      <xdr:col>10</xdr:col>
      <xdr:colOff>209550</xdr:colOff>
      <xdr:row>3</xdr:row>
      <xdr:rowOff>104775</xdr:rowOff>
    </xdr:from>
    <xdr:to>
      <xdr:col>10</xdr:col>
      <xdr:colOff>514350</xdr:colOff>
      <xdr:row>3</xdr:row>
      <xdr:rowOff>152400</xdr:rowOff>
    </xdr:to>
    <xdr:cxnSp macro="">
      <xdr:nvCxnSpPr>
        <xdr:cNvPr id="10" name="Straight Arrow Connector 9">
          <a:extLst>
            <a:ext uri="{FF2B5EF4-FFF2-40B4-BE49-F238E27FC236}">
              <a16:creationId xmlns:a16="http://schemas.microsoft.com/office/drawing/2014/main" id="{4C81AEC1-6BFA-869E-63A5-DB4704BEA7A9}"/>
            </a:ext>
          </a:extLst>
        </xdr:cNvPr>
        <xdr:cNvCxnSpPr/>
      </xdr:nvCxnSpPr>
      <xdr:spPr>
        <a:xfrm flipH="1">
          <a:off x="7962900" y="904875"/>
          <a:ext cx="304800" cy="4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16</xdr:col>
      <xdr:colOff>85725</xdr:colOff>
      <xdr:row>0</xdr:row>
      <xdr:rowOff>0</xdr:rowOff>
    </xdr:from>
    <xdr:to>
      <xdr:col>23</xdr:col>
      <xdr:colOff>390525</xdr:colOff>
      <xdr:row>11</xdr:row>
      <xdr:rowOff>114300</xdr:rowOff>
    </xdr:to>
    <xdr:graphicFrame macro="">
      <xdr:nvGraphicFramePr>
        <xdr:cNvPr id="2" name="Chart 1">
          <a:extLst>
            <a:ext uri="{FF2B5EF4-FFF2-40B4-BE49-F238E27FC236}">
              <a16:creationId xmlns:a16="http://schemas.microsoft.com/office/drawing/2014/main" id="{58504B49-D332-8DD5-42E2-2B516B55E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123825</xdr:colOff>
      <xdr:row>0</xdr:row>
      <xdr:rowOff>47624</xdr:rowOff>
    </xdr:from>
    <xdr:to>
      <xdr:col>9</xdr:col>
      <xdr:colOff>522339</xdr:colOff>
      <xdr:row>12</xdr:row>
      <xdr:rowOff>10242</xdr:rowOff>
    </xdr:to>
    <xdr:sp macro="" textlink="">
      <xdr:nvSpPr>
        <xdr:cNvPr id="3" name="TextBox 2">
          <a:extLst>
            <a:ext uri="{FF2B5EF4-FFF2-40B4-BE49-F238E27FC236}">
              <a16:creationId xmlns:a16="http://schemas.microsoft.com/office/drawing/2014/main" id="{AF6A8928-F1F5-0F5F-17EE-BBFFEC213F6E}"/>
            </a:ext>
          </a:extLst>
        </xdr:cNvPr>
        <xdr:cNvSpPr txBox="1"/>
      </xdr:nvSpPr>
      <xdr:spPr>
        <a:xfrm>
          <a:off x="6791325" y="47624"/>
          <a:ext cx="2242062" cy="2850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determine</a:t>
          </a:r>
          <a:r>
            <a:rPr lang="en-US" sz="1100" baseline="0"/>
            <a:t> the exponential trend equation</a:t>
          </a:r>
          <a:r>
            <a:rPr lang="en-US" sz="1100"/>
            <a:t> bo and</a:t>
          </a:r>
          <a:r>
            <a:rPr lang="en-US" sz="1100" baseline="0"/>
            <a:t> b1   (y=B0*B1^X) :  first take Ln (observed values), then run linear regression with just x (Year) and y (ln observed values). Then the B0 and B1 for the exponential trend equation are:   B0=e^</a:t>
          </a:r>
          <a:r>
            <a:rPr lang="en-US" sz="1100" baseline="0">
              <a:solidFill>
                <a:srgbClr val="00B0F0"/>
              </a:solidFill>
            </a:rPr>
            <a:t>B0 </a:t>
          </a:r>
          <a:r>
            <a:rPr lang="en-US" sz="1100" baseline="0"/>
            <a:t>   , and B1=e^</a:t>
          </a:r>
          <a:r>
            <a:rPr lang="en-US" sz="1100" baseline="0">
              <a:solidFill>
                <a:srgbClr val="00B050"/>
              </a:solidFill>
            </a:rPr>
            <a:t>B1</a:t>
          </a:r>
          <a:r>
            <a:rPr lang="en-US" sz="1100" baseline="0"/>
            <a:t>.</a:t>
          </a:r>
        </a:p>
        <a:p>
          <a:endParaRPr lang="en-US" sz="1100" baseline="0"/>
        </a:p>
        <a:p>
          <a:r>
            <a:rPr lang="en-US" sz="1100" baseline="0">
              <a:solidFill>
                <a:schemeClr val="accent2"/>
              </a:solidFill>
            </a:rPr>
            <a:t>So </a:t>
          </a:r>
          <a:r>
            <a:rPr lang="en-US" sz="1100" b="0" i="0">
              <a:solidFill>
                <a:schemeClr val="accent2"/>
              </a:solidFill>
              <a:effectLst/>
              <a:latin typeface="+mn-lt"/>
              <a:ea typeface="+mn-ea"/>
              <a:cs typeface="+mn-cs"/>
            </a:rPr>
            <a:t>2.71828^B0</a:t>
          </a:r>
          <a:r>
            <a:rPr lang="en-US" sz="1100" b="0" i="0" baseline="0">
              <a:solidFill>
                <a:schemeClr val="accent2"/>
              </a:solidFill>
              <a:effectLst/>
              <a:latin typeface="+mn-lt"/>
              <a:ea typeface="+mn-ea"/>
              <a:cs typeface="+mn-cs"/>
            </a:rPr>
            <a:t> and </a:t>
          </a:r>
          <a:r>
            <a:rPr lang="en-US" sz="1100" b="0" i="0">
              <a:solidFill>
                <a:schemeClr val="accent2"/>
              </a:solidFill>
              <a:effectLst/>
              <a:latin typeface="+mn-lt"/>
              <a:ea typeface="+mn-ea"/>
              <a:cs typeface="+mn-cs"/>
            </a:rPr>
            <a:t>2.71828^B1</a:t>
          </a:r>
          <a:r>
            <a:rPr lang="en-US" sz="1100" b="0" i="0">
              <a:solidFill>
                <a:schemeClr val="dk1"/>
              </a:solidFill>
              <a:effectLst/>
              <a:latin typeface="+mn-lt"/>
              <a:ea typeface="+mn-ea"/>
              <a:cs typeface="+mn-cs"/>
            </a:rPr>
            <a:t>.</a:t>
          </a:r>
          <a:r>
            <a:rPr lang="en-US" sz="1100" b="0" i="0" baseline="0">
              <a:solidFill>
                <a:schemeClr val="dk1"/>
              </a:solidFill>
              <a:effectLst/>
              <a:latin typeface="+mn-lt"/>
              <a:ea typeface="+mn-ea"/>
              <a:cs typeface="+mn-cs"/>
            </a:rPr>
            <a:t> Or </a:t>
          </a:r>
          <a:r>
            <a:rPr lang="en-US" sz="1100" b="0" i="0" baseline="0">
              <a:solidFill>
                <a:schemeClr val="accent1"/>
              </a:solidFill>
              <a:effectLst/>
              <a:latin typeface="+mn-lt"/>
              <a:ea typeface="+mn-ea"/>
              <a:cs typeface="+mn-cs"/>
            </a:rPr>
            <a:t>=EXP(B0) and =EXP(B1)</a:t>
          </a:r>
          <a:r>
            <a:rPr lang="en-US" sz="1100" b="0" i="0" baseline="0">
              <a:solidFill>
                <a:schemeClr val="dk1"/>
              </a:solidFill>
              <a:effectLst/>
              <a:latin typeface="+mn-lt"/>
              <a:ea typeface="+mn-ea"/>
              <a:cs typeface="+mn-cs"/>
            </a:rPr>
            <a:t> But that is just for if you want to manually get predicted ln y: Bo + B1(year). You can also just -=Exp(predicted ln y) to get the results from the output of the regression.</a:t>
          </a:r>
        </a:p>
      </xdr:txBody>
    </xdr:sp>
    <xdr:clientData/>
  </xdr:twoCellAnchor>
  <xdr:twoCellAnchor>
    <xdr:from>
      <xdr:col>9</xdr:col>
      <xdr:colOff>323850</xdr:colOff>
      <xdr:row>27</xdr:row>
      <xdr:rowOff>66675</xdr:rowOff>
    </xdr:from>
    <xdr:to>
      <xdr:col>15</xdr:col>
      <xdr:colOff>323850</xdr:colOff>
      <xdr:row>38</xdr:row>
      <xdr:rowOff>66675</xdr:rowOff>
    </xdr:to>
    <xdr:graphicFrame macro="">
      <xdr:nvGraphicFramePr>
        <xdr:cNvPr id="4" name="Chart 3">
          <a:extLst>
            <a:ext uri="{FF2B5EF4-FFF2-40B4-BE49-F238E27FC236}">
              <a16:creationId xmlns:a16="http://schemas.microsoft.com/office/drawing/2014/main" id="{32B4F109-C4BF-6673-D8C6-A30D09695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542925</xdr:colOff>
      <xdr:row>21</xdr:row>
      <xdr:rowOff>76200</xdr:rowOff>
    </xdr:from>
    <xdr:to>
      <xdr:col>21</xdr:col>
      <xdr:colOff>542925</xdr:colOff>
      <xdr:row>32</xdr:row>
      <xdr:rowOff>47625</xdr:rowOff>
    </xdr:to>
    <xdr:graphicFrame macro="">
      <xdr:nvGraphicFramePr>
        <xdr:cNvPr id="5" name="Chart 4">
          <a:extLst>
            <a:ext uri="{FF2B5EF4-FFF2-40B4-BE49-F238E27FC236}">
              <a16:creationId xmlns:a16="http://schemas.microsoft.com/office/drawing/2014/main" id="{3EC8684B-4338-F034-5AA9-173C93897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247650</xdr:colOff>
      <xdr:row>12</xdr:row>
      <xdr:rowOff>104775</xdr:rowOff>
    </xdr:from>
    <xdr:to>
      <xdr:col>21</xdr:col>
      <xdr:colOff>247650</xdr:colOff>
      <xdr:row>22</xdr:row>
      <xdr:rowOff>104775</xdr:rowOff>
    </xdr:to>
    <xdr:graphicFrame macro="">
      <xdr:nvGraphicFramePr>
        <xdr:cNvPr id="6" name="Chart 5">
          <a:extLst>
            <a:ext uri="{FF2B5EF4-FFF2-40B4-BE49-F238E27FC236}">
              <a16:creationId xmlns:a16="http://schemas.microsoft.com/office/drawing/2014/main" id="{0E3C9E40-FEA6-E2AE-B5BA-C45695DF0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228600</xdr:colOff>
      <xdr:row>14</xdr:row>
      <xdr:rowOff>257176</xdr:rowOff>
    </xdr:from>
    <xdr:to>
      <xdr:col>15</xdr:col>
      <xdr:colOff>95250</xdr:colOff>
      <xdr:row>26</xdr:row>
      <xdr:rowOff>19051</xdr:rowOff>
    </xdr:to>
    <xdr:graphicFrame macro="">
      <xdr:nvGraphicFramePr>
        <xdr:cNvPr id="7" name="Chart 6">
          <a:extLst>
            <a:ext uri="{FF2B5EF4-FFF2-40B4-BE49-F238E27FC236}">
              <a16:creationId xmlns:a16="http://schemas.microsoft.com/office/drawing/2014/main" id="{2706FBE3-2679-171A-0534-7AA37D4DE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266700</xdr:colOff>
      <xdr:row>14</xdr:row>
      <xdr:rowOff>76200</xdr:rowOff>
    </xdr:from>
    <xdr:to>
      <xdr:col>27</xdr:col>
      <xdr:colOff>266700</xdr:colOff>
      <xdr:row>23</xdr:row>
      <xdr:rowOff>95250</xdr:rowOff>
    </xdr:to>
    <xdr:graphicFrame macro="">
      <xdr:nvGraphicFramePr>
        <xdr:cNvPr id="8" name="Chart 7">
          <a:extLst>
            <a:ext uri="{FF2B5EF4-FFF2-40B4-BE49-F238E27FC236}">
              <a16:creationId xmlns:a16="http://schemas.microsoft.com/office/drawing/2014/main" id="{6D24C0F1-6E74-8BE9-9E33-22E4855EA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57150</xdr:colOff>
      <xdr:row>0</xdr:row>
      <xdr:rowOff>185737</xdr:rowOff>
    </xdr:from>
    <xdr:to>
      <xdr:col>15</xdr:col>
      <xdr:colOff>542925</xdr:colOff>
      <xdr:row>11</xdr:row>
      <xdr:rowOff>66675</xdr:rowOff>
    </xdr:to>
    <xdr:graphicFrame macro="">
      <xdr:nvGraphicFramePr>
        <xdr:cNvPr id="9" name="Chart 8">
          <a:extLst>
            <a:ext uri="{FF2B5EF4-FFF2-40B4-BE49-F238E27FC236}">
              <a16:creationId xmlns:a16="http://schemas.microsoft.com/office/drawing/2014/main" id="{27BAEA5D-E920-A134-F6D8-71607325D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347662</xdr:colOff>
      <xdr:row>39</xdr:row>
      <xdr:rowOff>14287</xdr:rowOff>
    </xdr:from>
    <xdr:to>
      <xdr:col>16</xdr:col>
      <xdr:colOff>42862</xdr:colOff>
      <xdr:row>53</xdr:row>
      <xdr:rowOff>80962</xdr:rowOff>
    </xdr:to>
    <xdr:graphicFrame macro="">
      <xdr:nvGraphicFramePr>
        <xdr:cNvPr id="10" name="Chart 9">
          <a:extLst>
            <a:ext uri="{FF2B5EF4-FFF2-40B4-BE49-F238E27FC236}">
              <a16:creationId xmlns:a16="http://schemas.microsoft.com/office/drawing/2014/main" id="{7F3055B2-D468-6385-B328-263894057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333375</xdr:colOff>
      <xdr:row>3</xdr:row>
      <xdr:rowOff>90487</xdr:rowOff>
    </xdr:from>
    <xdr:to>
      <xdr:col>14</xdr:col>
      <xdr:colOff>28575</xdr:colOff>
      <xdr:row>17</xdr:row>
      <xdr:rowOff>166687</xdr:rowOff>
    </xdr:to>
    <xdr:graphicFrame macro="">
      <xdr:nvGraphicFramePr>
        <xdr:cNvPr id="2" name="Chart 1">
          <a:extLst>
            <a:ext uri="{FF2B5EF4-FFF2-40B4-BE49-F238E27FC236}">
              <a16:creationId xmlns:a16="http://schemas.microsoft.com/office/drawing/2014/main" id="{FF1EA199-CC2C-B2E5-58C0-AC75B9E7E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17</xdr:col>
      <xdr:colOff>302805</xdr:colOff>
      <xdr:row>16</xdr:row>
      <xdr:rowOff>137638</xdr:rowOff>
    </xdr:from>
    <xdr:to>
      <xdr:col>23</xdr:col>
      <xdr:colOff>302806</xdr:colOff>
      <xdr:row>26</xdr:row>
      <xdr:rowOff>156687</xdr:rowOff>
    </xdr:to>
    <xdr:graphicFrame macro="">
      <xdr:nvGraphicFramePr>
        <xdr:cNvPr id="2" name="Chart 1">
          <a:extLst>
            <a:ext uri="{FF2B5EF4-FFF2-40B4-BE49-F238E27FC236}">
              <a16:creationId xmlns:a16="http://schemas.microsoft.com/office/drawing/2014/main" id="{CDB65891-F06F-26DB-B731-DDA101B99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210422</xdr:colOff>
      <xdr:row>17</xdr:row>
      <xdr:rowOff>95941</xdr:rowOff>
    </xdr:from>
    <xdr:to>
      <xdr:col>17</xdr:col>
      <xdr:colOff>210422</xdr:colOff>
      <xdr:row>27</xdr:row>
      <xdr:rowOff>106183</xdr:rowOff>
    </xdr:to>
    <xdr:graphicFrame macro="">
      <xdr:nvGraphicFramePr>
        <xdr:cNvPr id="3" name="Chart 2">
          <a:extLst>
            <a:ext uri="{FF2B5EF4-FFF2-40B4-BE49-F238E27FC236}">
              <a16:creationId xmlns:a16="http://schemas.microsoft.com/office/drawing/2014/main" id="{17C5BE67-27E1-DB05-BCF6-2F828F8A5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219075</xdr:colOff>
      <xdr:row>5</xdr:row>
      <xdr:rowOff>66675</xdr:rowOff>
    </xdr:from>
    <xdr:to>
      <xdr:col>23</xdr:col>
      <xdr:colOff>219075</xdr:colOff>
      <xdr:row>15</xdr:row>
      <xdr:rowOff>95250</xdr:rowOff>
    </xdr:to>
    <xdr:graphicFrame macro="">
      <xdr:nvGraphicFramePr>
        <xdr:cNvPr id="4" name="Chart 3">
          <a:extLst>
            <a:ext uri="{FF2B5EF4-FFF2-40B4-BE49-F238E27FC236}">
              <a16:creationId xmlns:a16="http://schemas.microsoft.com/office/drawing/2014/main" id="{69AB1415-4FC4-6048-E32C-06F643E0A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400050</xdr:colOff>
      <xdr:row>27</xdr:row>
      <xdr:rowOff>0</xdr:rowOff>
    </xdr:from>
    <xdr:to>
      <xdr:col>21</xdr:col>
      <xdr:colOff>400050</xdr:colOff>
      <xdr:row>37</xdr:row>
      <xdr:rowOff>9525</xdr:rowOff>
    </xdr:to>
    <xdr:graphicFrame macro="">
      <xdr:nvGraphicFramePr>
        <xdr:cNvPr id="5" name="Chart 4">
          <a:extLst>
            <a:ext uri="{FF2B5EF4-FFF2-40B4-BE49-F238E27FC236}">
              <a16:creationId xmlns:a16="http://schemas.microsoft.com/office/drawing/2014/main" id="{38272959-C6B9-5A29-A3EE-448671113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114300</xdr:colOff>
      <xdr:row>37</xdr:row>
      <xdr:rowOff>85725</xdr:rowOff>
    </xdr:from>
    <xdr:to>
      <xdr:col>24</xdr:col>
      <xdr:colOff>114300</xdr:colOff>
      <xdr:row>47</xdr:row>
      <xdr:rowOff>95250</xdr:rowOff>
    </xdr:to>
    <xdr:graphicFrame macro="">
      <xdr:nvGraphicFramePr>
        <xdr:cNvPr id="6" name="Chart 5">
          <a:extLst>
            <a:ext uri="{FF2B5EF4-FFF2-40B4-BE49-F238E27FC236}">
              <a16:creationId xmlns:a16="http://schemas.microsoft.com/office/drawing/2014/main" id="{26F70B95-AFEE-C004-C29A-8F3012DC2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123825</xdr:colOff>
      <xdr:row>21</xdr:row>
      <xdr:rowOff>66675</xdr:rowOff>
    </xdr:from>
    <xdr:to>
      <xdr:col>29</xdr:col>
      <xdr:colOff>447675</xdr:colOff>
      <xdr:row>35</xdr:row>
      <xdr:rowOff>161925</xdr:rowOff>
    </xdr:to>
    <xdr:graphicFrame macro="">
      <xdr:nvGraphicFramePr>
        <xdr:cNvPr id="7" name="Chart 6">
          <a:extLst>
            <a:ext uri="{FF2B5EF4-FFF2-40B4-BE49-F238E27FC236}">
              <a16:creationId xmlns:a16="http://schemas.microsoft.com/office/drawing/2014/main" id="{6D228744-2CD2-C740-6503-699E3CE4D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383382</xdr:colOff>
      <xdr:row>37</xdr:row>
      <xdr:rowOff>188119</xdr:rowOff>
    </xdr:from>
    <xdr:to>
      <xdr:col>17</xdr:col>
      <xdr:colOff>383382</xdr:colOff>
      <xdr:row>47</xdr:row>
      <xdr:rowOff>200025</xdr:rowOff>
    </xdr:to>
    <xdr:graphicFrame macro="">
      <xdr:nvGraphicFramePr>
        <xdr:cNvPr id="8" name="Chart 7">
          <a:extLst>
            <a:ext uri="{FF2B5EF4-FFF2-40B4-BE49-F238E27FC236}">
              <a16:creationId xmlns:a16="http://schemas.microsoft.com/office/drawing/2014/main" id="{0DD8F71C-A60B-B914-C1B5-2EDCCA33E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180974</xdr:colOff>
      <xdr:row>0</xdr:row>
      <xdr:rowOff>0</xdr:rowOff>
    </xdr:from>
    <xdr:to>
      <xdr:col>16</xdr:col>
      <xdr:colOff>419099</xdr:colOff>
      <xdr:row>15</xdr:row>
      <xdr:rowOff>153276</xdr:rowOff>
    </xdr:to>
    <xdr:graphicFrame macro="">
      <xdr:nvGraphicFramePr>
        <xdr:cNvPr id="9" name="Chart 8">
          <a:extLst>
            <a:ext uri="{FF2B5EF4-FFF2-40B4-BE49-F238E27FC236}">
              <a16:creationId xmlns:a16="http://schemas.microsoft.com/office/drawing/2014/main" id="{BBE35A7C-51BB-9EFD-C870-084BBBDF7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495300</xdr:colOff>
      <xdr:row>13</xdr:row>
      <xdr:rowOff>29122</xdr:rowOff>
    </xdr:from>
    <xdr:to>
      <xdr:col>14</xdr:col>
      <xdr:colOff>255984</xdr:colOff>
      <xdr:row>14</xdr:row>
      <xdr:rowOff>81893</xdr:rowOff>
    </xdr:to>
    <xdr:sp macro="" textlink="">
      <xdr:nvSpPr>
        <xdr:cNvPr id="10" name="TextBox 9">
          <a:extLst>
            <a:ext uri="{FF2B5EF4-FFF2-40B4-BE49-F238E27FC236}">
              <a16:creationId xmlns:a16="http://schemas.microsoft.com/office/drawing/2014/main" id="{E0A88120-A19E-5B92-A356-0CA5E668378E}"/>
            </a:ext>
          </a:extLst>
        </xdr:cNvPr>
        <xdr:cNvSpPr txBox="1"/>
      </xdr:nvSpPr>
      <xdr:spPr>
        <a:xfrm>
          <a:off x="4787024" y="2448691"/>
          <a:ext cx="4052408" cy="238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00B050"/>
              </a:solidFill>
            </a:rPr>
            <a:t> Q1 Q2</a:t>
          </a:r>
          <a:r>
            <a:rPr lang="en-US" sz="900" baseline="0">
              <a:solidFill>
                <a:srgbClr val="00B050"/>
              </a:solidFill>
            </a:rPr>
            <a:t>  Q3 Q4  </a:t>
          </a:r>
          <a:r>
            <a:rPr lang="en-US" sz="900">
              <a:solidFill>
                <a:srgbClr val="FF0000"/>
              </a:solidFill>
              <a:effectLst/>
              <a:latin typeface="+mn-lt"/>
              <a:ea typeface="+mn-ea"/>
              <a:cs typeface="+mn-cs"/>
            </a:rPr>
            <a:t>Q1 Q2</a:t>
          </a:r>
          <a:r>
            <a:rPr lang="en-US" sz="900" baseline="0">
              <a:solidFill>
                <a:srgbClr val="FF0000"/>
              </a:solidFill>
              <a:effectLst/>
              <a:latin typeface="+mn-lt"/>
              <a:ea typeface="+mn-ea"/>
              <a:cs typeface="+mn-cs"/>
            </a:rPr>
            <a:t>  Q3 Q4 </a:t>
          </a:r>
          <a:r>
            <a:rPr lang="en-US" sz="900">
              <a:solidFill>
                <a:srgbClr val="00B0F0"/>
              </a:solidFill>
              <a:effectLst/>
              <a:latin typeface="+mn-lt"/>
              <a:ea typeface="+mn-ea"/>
              <a:cs typeface="+mn-cs"/>
            </a:rPr>
            <a:t>Q1  Q2</a:t>
          </a:r>
          <a:r>
            <a:rPr lang="en-US" sz="900" baseline="0">
              <a:solidFill>
                <a:srgbClr val="00B0F0"/>
              </a:solidFill>
              <a:effectLst/>
              <a:latin typeface="+mn-lt"/>
              <a:ea typeface="+mn-ea"/>
              <a:cs typeface="+mn-cs"/>
            </a:rPr>
            <a:t> Q3  Q4 </a:t>
          </a:r>
          <a:r>
            <a:rPr lang="en-US" sz="900">
              <a:solidFill>
                <a:srgbClr val="FF0066"/>
              </a:solidFill>
              <a:effectLst/>
              <a:latin typeface="+mn-lt"/>
              <a:ea typeface="+mn-ea"/>
              <a:cs typeface="+mn-cs"/>
            </a:rPr>
            <a:t>Q1  Q2</a:t>
          </a:r>
          <a:r>
            <a:rPr lang="en-US" sz="900" baseline="0">
              <a:solidFill>
                <a:srgbClr val="FF0066"/>
              </a:solidFill>
              <a:effectLst/>
              <a:latin typeface="+mn-lt"/>
              <a:ea typeface="+mn-ea"/>
              <a:cs typeface="+mn-cs"/>
            </a:rPr>
            <a:t>  Q3 Q4 </a:t>
          </a:r>
          <a:r>
            <a:rPr lang="en-US" sz="900">
              <a:solidFill>
                <a:schemeClr val="dk1"/>
              </a:solidFill>
              <a:effectLst/>
              <a:latin typeface="+mn-lt"/>
              <a:ea typeface="+mn-ea"/>
              <a:cs typeface="+mn-cs"/>
            </a:rPr>
            <a:t>Q1 Q2</a:t>
          </a:r>
          <a:r>
            <a:rPr lang="en-US" sz="900" baseline="0">
              <a:solidFill>
                <a:schemeClr val="dk1"/>
              </a:solidFill>
              <a:effectLst/>
              <a:latin typeface="+mn-lt"/>
              <a:ea typeface="+mn-ea"/>
              <a:cs typeface="+mn-cs"/>
            </a:rPr>
            <a:t>  Q3 Q4   </a:t>
          </a:r>
          <a:r>
            <a:rPr lang="en-US" sz="900" baseline="0">
              <a:solidFill>
                <a:srgbClr val="7030A0"/>
              </a:solidFill>
              <a:effectLst/>
              <a:latin typeface="+mn-lt"/>
              <a:ea typeface="+mn-ea"/>
              <a:cs typeface="+mn-cs"/>
            </a:rPr>
            <a:t>Q1 Q2</a:t>
          </a:r>
          <a:endParaRPr lang="en-US" sz="900">
            <a:solidFill>
              <a:srgbClr val="7030A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a:solidFill>
              <a:srgbClr val="FFFF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7</xdr:col>
      <xdr:colOff>470775</xdr:colOff>
      <xdr:row>14</xdr:row>
      <xdr:rowOff>54739</xdr:rowOff>
    </xdr:from>
    <xdr:to>
      <xdr:col>16</xdr:col>
      <xdr:colOff>142328</xdr:colOff>
      <xdr:row>15</xdr:row>
      <xdr:rowOff>142326</xdr:rowOff>
    </xdr:to>
    <xdr:sp macro="" textlink="">
      <xdr:nvSpPr>
        <xdr:cNvPr id="11" name="TextBox 10">
          <a:extLst>
            <a:ext uri="{FF2B5EF4-FFF2-40B4-BE49-F238E27FC236}">
              <a16:creationId xmlns:a16="http://schemas.microsoft.com/office/drawing/2014/main" id="{370967C1-BA80-BEED-9FDA-4DF31C4413BD}"/>
            </a:ext>
          </a:extLst>
        </xdr:cNvPr>
        <xdr:cNvSpPr txBox="1"/>
      </xdr:nvSpPr>
      <xdr:spPr>
        <a:xfrm>
          <a:off x="4762499" y="2660429"/>
          <a:ext cx="5189484" cy="273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rgbClr val="00B050"/>
              </a:solidFill>
            </a:rPr>
            <a:t>Year</a:t>
          </a:r>
          <a:r>
            <a:rPr lang="en-US" sz="1100" baseline="0">
              <a:solidFill>
                <a:srgbClr val="00B050"/>
              </a:solidFill>
            </a:rPr>
            <a:t> 1           </a:t>
          </a:r>
          <a:r>
            <a:rPr lang="en-US" sz="1100" baseline="0">
              <a:solidFill>
                <a:srgbClr val="FF0000"/>
              </a:solidFill>
            </a:rPr>
            <a:t>Year 2        </a:t>
          </a:r>
          <a:r>
            <a:rPr lang="en-US" sz="1100" baseline="0">
              <a:solidFill>
                <a:srgbClr val="00B0F0"/>
              </a:solidFill>
            </a:rPr>
            <a:t>Year 3</a:t>
          </a:r>
          <a:r>
            <a:rPr lang="en-US" sz="1100" baseline="0"/>
            <a:t>             </a:t>
          </a:r>
          <a:r>
            <a:rPr lang="en-US" sz="1100" baseline="0">
              <a:solidFill>
                <a:srgbClr val="FF0066"/>
              </a:solidFill>
            </a:rPr>
            <a:t>Year 4   </a:t>
          </a:r>
          <a:r>
            <a:rPr lang="en-US" sz="1100" baseline="0">
              <a:solidFill>
                <a:srgbClr val="FFFF00"/>
              </a:solidFill>
            </a:rPr>
            <a:t>          </a:t>
          </a:r>
          <a:r>
            <a:rPr lang="en-US" sz="1100" baseline="0"/>
            <a:t>Year 5    </a:t>
          </a:r>
          <a:r>
            <a:rPr lang="en-US" sz="1100" baseline="0">
              <a:solidFill>
                <a:srgbClr val="7030A0"/>
              </a:solidFill>
            </a:rPr>
            <a:t>Future Forecast</a:t>
          </a:r>
          <a:endParaRPr lang="en-US" sz="1100">
            <a:solidFill>
              <a:srgbClr val="7030A0"/>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591610</xdr:colOff>
      <xdr:row>3</xdr:row>
      <xdr:rowOff>79792</xdr:rowOff>
    </xdr:from>
    <xdr:to>
      <xdr:col>14</xdr:col>
      <xdr:colOff>286991</xdr:colOff>
      <xdr:row>17</xdr:row>
      <xdr:rowOff>155992</xdr:rowOff>
    </xdr:to>
    <xdr:graphicFrame macro="">
      <xdr:nvGraphicFramePr>
        <xdr:cNvPr id="11" name="Chart 10">
          <a:extLst>
            <a:ext uri="{FF2B5EF4-FFF2-40B4-BE49-F238E27FC236}">
              <a16:creationId xmlns:a16="http://schemas.microsoft.com/office/drawing/2014/main" id="{15602DDB-DC54-8A80-4C85-6072F8056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240437</xdr:colOff>
      <xdr:row>16</xdr:row>
      <xdr:rowOff>94773</xdr:rowOff>
    </xdr:from>
    <xdr:to>
      <xdr:col>14</xdr:col>
      <xdr:colOff>593097</xdr:colOff>
      <xdr:row>17</xdr:row>
      <xdr:rowOff>150404</xdr:rowOff>
    </xdr:to>
    <xdr:sp macro="" textlink="">
      <xdr:nvSpPr>
        <xdr:cNvPr id="13" name="TextBox 12">
          <a:extLst>
            <a:ext uri="{FF2B5EF4-FFF2-40B4-BE49-F238E27FC236}">
              <a16:creationId xmlns:a16="http://schemas.microsoft.com/office/drawing/2014/main" id="{BB6282D9-93E5-6957-DB95-7895BF167953}"/>
            </a:ext>
          </a:extLst>
        </xdr:cNvPr>
        <xdr:cNvSpPr txBox="1"/>
      </xdr:nvSpPr>
      <xdr:spPr>
        <a:xfrm>
          <a:off x="5335850" y="3201957"/>
          <a:ext cx="4625038" cy="2498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00B050"/>
              </a:solidFill>
              <a:effectLst/>
              <a:latin typeface="+mn-lt"/>
              <a:ea typeface="+mn-ea"/>
              <a:cs typeface="+mn-cs"/>
            </a:rPr>
            <a:t>          Q1    Q2</a:t>
          </a:r>
          <a:r>
            <a:rPr lang="en-US" sz="1100" baseline="0">
              <a:solidFill>
                <a:srgbClr val="00B050"/>
              </a:solidFill>
              <a:effectLst/>
              <a:latin typeface="+mn-lt"/>
              <a:ea typeface="+mn-ea"/>
              <a:cs typeface="+mn-cs"/>
            </a:rPr>
            <a:t>   Q3  Q4  </a:t>
          </a:r>
          <a:r>
            <a:rPr lang="en-US" sz="1100">
              <a:solidFill>
                <a:srgbClr val="FF0000"/>
              </a:solidFill>
              <a:effectLst/>
              <a:latin typeface="+mn-lt"/>
              <a:ea typeface="+mn-ea"/>
              <a:cs typeface="+mn-cs"/>
            </a:rPr>
            <a:t>Q1  Q2</a:t>
          </a:r>
          <a:r>
            <a:rPr lang="en-US" sz="1100" baseline="0">
              <a:solidFill>
                <a:srgbClr val="FF0000"/>
              </a:solidFill>
              <a:effectLst/>
              <a:latin typeface="+mn-lt"/>
              <a:ea typeface="+mn-ea"/>
              <a:cs typeface="+mn-cs"/>
            </a:rPr>
            <a:t>  Q3  Q4  </a:t>
          </a:r>
          <a:r>
            <a:rPr lang="en-US" sz="1100">
              <a:solidFill>
                <a:srgbClr val="0070C0"/>
              </a:solidFill>
              <a:effectLst/>
              <a:latin typeface="+mn-lt"/>
              <a:ea typeface="+mn-ea"/>
              <a:cs typeface="+mn-cs"/>
            </a:rPr>
            <a:t>Q1   Q2</a:t>
          </a:r>
          <a:r>
            <a:rPr lang="en-US" sz="1100" baseline="0">
              <a:solidFill>
                <a:srgbClr val="0070C0"/>
              </a:solidFill>
              <a:effectLst/>
              <a:latin typeface="+mn-lt"/>
              <a:ea typeface="+mn-ea"/>
              <a:cs typeface="+mn-cs"/>
            </a:rPr>
            <a:t>  Q3  Q4  </a:t>
          </a:r>
          <a:r>
            <a:rPr lang="en-US" sz="1100">
              <a:solidFill>
                <a:srgbClr val="FFC000"/>
              </a:solidFill>
              <a:effectLst/>
              <a:latin typeface="+mn-lt"/>
              <a:ea typeface="+mn-ea"/>
              <a:cs typeface="+mn-cs"/>
            </a:rPr>
            <a:t>Q1  Q2</a:t>
          </a:r>
          <a:r>
            <a:rPr lang="en-US" sz="1100" baseline="0">
              <a:solidFill>
                <a:srgbClr val="FFC000"/>
              </a:solidFill>
              <a:effectLst/>
              <a:latin typeface="+mn-lt"/>
              <a:ea typeface="+mn-ea"/>
              <a:cs typeface="+mn-cs"/>
            </a:rPr>
            <a:t>   Q3   Q4 </a:t>
          </a:r>
          <a:endParaRPr lang="en-US">
            <a:solidFill>
              <a:srgbClr val="FFC000"/>
            </a:solidFill>
            <a:effectLst/>
          </a:endParaRPr>
        </a:p>
        <a:p>
          <a:endParaRPr lang="en-US" sz="1100"/>
        </a:p>
      </xdr:txBody>
    </xdr:sp>
    <xdr:clientData/>
  </xdr:twoCellAnchor>
  <xdr:twoCellAnchor>
    <xdr:from>
      <xdr:col>6</xdr:col>
      <xdr:colOff>593834</xdr:colOff>
      <xdr:row>17</xdr:row>
      <xdr:rowOff>148413</xdr:rowOff>
    </xdr:from>
    <xdr:to>
      <xdr:col>14</xdr:col>
      <xdr:colOff>319670</xdr:colOff>
      <xdr:row>19</xdr:row>
      <xdr:rowOff>43860</xdr:rowOff>
    </xdr:to>
    <xdr:sp macro="" textlink="">
      <xdr:nvSpPr>
        <xdr:cNvPr id="14" name="TextBox 13">
          <a:extLst>
            <a:ext uri="{FF2B5EF4-FFF2-40B4-BE49-F238E27FC236}">
              <a16:creationId xmlns:a16="http://schemas.microsoft.com/office/drawing/2014/main" id="{8903587E-6144-35DB-0B29-B0B1FB454BBB}"/>
            </a:ext>
          </a:extLst>
        </xdr:cNvPr>
        <xdr:cNvSpPr txBox="1"/>
      </xdr:nvSpPr>
      <xdr:spPr>
        <a:xfrm>
          <a:off x="5078907" y="3449796"/>
          <a:ext cx="4608554" cy="283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     </a:t>
          </a:r>
          <a:r>
            <a:rPr lang="en-US" sz="1100" baseline="0">
              <a:solidFill>
                <a:srgbClr val="00B050"/>
              </a:solidFill>
            </a:rPr>
            <a:t>               Year 1                   </a:t>
          </a:r>
          <a:r>
            <a:rPr lang="en-US" sz="1100" baseline="0">
              <a:solidFill>
                <a:srgbClr val="FF0000"/>
              </a:solidFill>
            </a:rPr>
            <a:t>Year 2</a:t>
          </a:r>
          <a:r>
            <a:rPr lang="en-US" sz="1100" baseline="0"/>
            <a:t>                </a:t>
          </a:r>
          <a:r>
            <a:rPr lang="en-US" sz="1100" baseline="0">
              <a:solidFill>
                <a:srgbClr val="0070C0"/>
              </a:solidFill>
            </a:rPr>
            <a:t>Year 3</a:t>
          </a:r>
          <a:r>
            <a:rPr lang="en-US" sz="1100" baseline="0"/>
            <a:t>                          </a:t>
          </a:r>
          <a:r>
            <a:rPr lang="en-US" sz="1100" baseline="0">
              <a:solidFill>
                <a:srgbClr val="FFC000"/>
              </a:solidFill>
            </a:rPr>
            <a:t>Year 4</a:t>
          </a:r>
          <a:endParaRPr lang="en-US" sz="1100">
            <a:solidFill>
              <a:srgbClr val="FFC000"/>
            </a:solidFill>
          </a:endParaRPr>
        </a:p>
      </xdr:txBody>
    </xdr:sp>
    <xdr:clientData/>
  </xdr:twoCellAnchor>
  <xdr:twoCellAnchor>
    <xdr:from>
      <xdr:col>4</xdr:col>
      <xdr:colOff>366423</xdr:colOff>
      <xdr:row>6</xdr:row>
      <xdr:rowOff>166159</xdr:rowOff>
    </xdr:from>
    <xdr:to>
      <xdr:col>6</xdr:col>
      <xdr:colOff>375073</xdr:colOff>
      <xdr:row>17</xdr:row>
      <xdr:rowOff>94466</xdr:rowOff>
    </xdr:to>
    <xdr:sp macro="" textlink="">
      <xdr:nvSpPr>
        <xdr:cNvPr id="15" name="TextBox 14">
          <a:extLst>
            <a:ext uri="{FF2B5EF4-FFF2-40B4-BE49-F238E27FC236}">
              <a16:creationId xmlns:a16="http://schemas.microsoft.com/office/drawing/2014/main" id="{6E6365BD-85D0-FF22-EA72-7D892C246358}"/>
            </a:ext>
          </a:extLst>
        </xdr:cNvPr>
        <xdr:cNvSpPr txBox="1"/>
      </xdr:nvSpPr>
      <xdr:spPr>
        <a:xfrm>
          <a:off x="3325646" y="1331353"/>
          <a:ext cx="1534500" cy="20644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plot run</a:t>
          </a:r>
          <a:r>
            <a:rPr lang="en-US" sz="1100" baseline="0"/>
            <a:t> with just index as x and sales as y. Or just run without an x to get the same result.Then erase x axis text labels, insert text box of quarters labeled and years labeled with spacing to line up with tick marks. </a:t>
          </a:r>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514350</xdr:colOff>
      <xdr:row>3</xdr:row>
      <xdr:rowOff>90487</xdr:rowOff>
    </xdr:from>
    <xdr:to>
      <xdr:col>13</xdr:col>
      <xdr:colOff>209550</xdr:colOff>
      <xdr:row>17</xdr:row>
      <xdr:rowOff>166687</xdr:rowOff>
    </xdr:to>
    <xdr:graphicFrame macro="">
      <xdr:nvGraphicFramePr>
        <xdr:cNvPr id="2" name="Chart 1">
          <a:extLst>
            <a:ext uri="{FF2B5EF4-FFF2-40B4-BE49-F238E27FC236}">
              <a16:creationId xmlns:a16="http://schemas.microsoft.com/office/drawing/2014/main" id="{3F8FAB7D-49F3-54BE-8299-5F87E2402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171449</xdr:colOff>
      <xdr:row>16</xdr:row>
      <xdr:rowOff>76199</xdr:rowOff>
    </xdr:from>
    <xdr:to>
      <xdr:col>14</xdr:col>
      <xdr:colOff>428625</xdr:colOff>
      <xdr:row>19</xdr:row>
      <xdr:rowOff>66675</xdr:rowOff>
    </xdr:to>
    <xdr:sp macro="" textlink="">
      <xdr:nvSpPr>
        <xdr:cNvPr id="3" name="TextBox 2">
          <a:extLst>
            <a:ext uri="{FF2B5EF4-FFF2-40B4-BE49-F238E27FC236}">
              <a16:creationId xmlns:a16="http://schemas.microsoft.com/office/drawing/2014/main" id="{822C08E2-2ADB-D78E-DA72-4C9DA63387C1}"/>
            </a:ext>
          </a:extLst>
        </xdr:cNvPr>
        <xdr:cNvSpPr txBox="1"/>
      </xdr:nvSpPr>
      <xdr:spPr>
        <a:xfrm>
          <a:off x="4257674" y="3124199"/>
          <a:ext cx="5133976" cy="561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900" b="0" i="0" u="none" strike="noStrike" kern="0" cap="none" spc="0" normalizeH="0" baseline="0" noProof="0">
              <a:ln>
                <a:noFill/>
              </a:ln>
              <a:solidFill>
                <a:srgbClr val="00B050"/>
              </a:solidFill>
              <a:effectLst/>
              <a:uLnTx/>
              <a:uFillTx/>
              <a:latin typeface="+mn-lt"/>
              <a:ea typeface="+mn-ea"/>
              <a:cs typeface="+mn-cs"/>
            </a:rPr>
            <a:t> Q1    Q2   Q3  Q4    </a:t>
          </a:r>
          <a:r>
            <a:rPr kumimoji="0" lang="en-US" sz="900" b="0" i="0" u="none" strike="noStrike" kern="0" cap="none" spc="0" normalizeH="0" baseline="0" noProof="0">
              <a:ln>
                <a:noFill/>
              </a:ln>
              <a:solidFill>
                <a:srgbClr val="FF0000"/>
              </a:solidFill>
              <a:effectLst/>
              <a:uLnTx/>
              <a:uFillTx/>
              <a:latin typeface="+mn-lt"/>
              <a:ea typeface="+mn-ea"/>
              <a:cs typeface="+mn-cs"/>
            </a:rPr>
            <a:t>Q1    Q2   Q3    Q4  </a:t>
          </a:r>
          <a:r>
            <a:rPr kumimoji="0" lang="en-US" sz="900" b="0" i="0" u="none" strike="noStrike" kern="0" cap="none" spc="0" normalizeH="0" baseline="0" noProof="0">
              <a:ln>
                <a:noFill/>
              </a:ln>
              <a:solidFill>
                <a:srgbClr val="00B0F0"/>
              </a:solidFill>
              <a:effectLst/>
              <a:uLnTx/>
              <a:uFillTx/>
              <a:latin typeface="+mn-lt"/>
              <a:ea typeface="+mn-ea"/>
              <a:cs typeface="+mn-cs"/>
            </a:rPr>
            <a:t>Q1    Q2  Q3    Q4   </a:t>
          </a:r>
          <a:r>
            <a:rPr kumimoji="0" lang="en-US" sz="900" b="0" i="0" u="none" strike="noStrike" kern="0" cap="none" spc="0" normalizeH="0" baseline="0" noProof="0">
              <a:ln>
                <a:noFill/>
              </a:ln>
              <a:solidFill>
                <a:srgbClr val="FF0066"/>
              </a:solidFill>
              <a:effectLst/>
              <a:uLnTx/>
              <a:uFillTx/>
              <a:latin typeface="+mn-lt"/>
              <a:ea typeface="+mn-ea"/>
              <a:cs typeface="+mn-cs"/>
            </a:rPr>
            <a:t>Q1    Q2   Q3   Q4    </a:t>
          </a:r>
          <a:r>
            <a:rPr kumimoji="0" lang="en-US" sz="900" b="0" i="0" u="none" strike="noStrike" kern="0" cap="none" spc="0" normalizeH="0" baseline="0" noProof="0">
              <a:ln>
                <a:noFill/>
              </a:ln>
              <a:solidFill>
                <a:prstClr val="black"/>
              </a:solidFill>
              <a:effectLst/>
              <a:uLnTx/>
              <a:uFillTx/>
              <a:latin typeface="+mn-lt"/>
              <a:ea typeface="+mn-ea"/>
              <a:cs typeface="+mn-cs"/>
            </a:rPr>
            <a:t>Q1  Q2  </a:t>
          </a:r>
        </a:p>
        <a:p>
          <a:endParaRPr kumimoji="0" lang="en-US" sz="900" b="0" i="0" u="none" strike="noStrike" kern="0" cap="none" spc="0" normalizeH="0" baseline="0" noProof="0">
            <a:ln>
              <a:noFill/>
            </a:ln>
            <a:solidFill>
              <a:prstClr val="black"/>
            </a:solidFill>
            <a:effectLst/>
            <a:uLnTx/>
            <a:uFillTx/>
            <a:latin typeface="+mn-lt"/>
            <a:ea typeface="+mn-ea"/>
            <a:cs typeface="+mn-cs"/>
          </a:endParaRPr>
        </a:p>
        <a:p>
          <a:r>
            <a:rPr kumimoji="0" lang="en-US" sz="1100" b="0" i="0" u="none" strike="noStrike" kern="0" cap="none" spc="0" normalizeH="0" baseline="0" noProof="0">
              <a:ln>
                <a:noFill/>
              </a:ln>
              <a:solidFill>
                <a:srgbClr val="00B050"/>
              </a:solidFill>
              <a:effectLst/>
              <a:uLnTx/>
              <a:uFillTx/>
              <a:latin typeface="+mn-lt"/>
              <a:ea typeface="+mn-ea"/>
              <a:cs typeface="+mn-cs"/>
            </a:rPr>
            <a:t>   Year 1                    </a:t>
          </a:r>
          <a:r>
            <a:rPr kumimoji="0" lang="en-US" sz="1100" b="0" i="0" u="none" strike="noStrike" kern="0" cap="none" spc="0" normalizeH="0" baseline="0" noProof="0">
              <a:ln>
                <a:noFill/>
              </a:ln>
              <a:solidFill>
                <a:srgbClr val="FF0000"/>
              </a:solidFill>
              <a:effectLst/>
              <a:uLnTx/>
              <a:uFillTx/>
              <a:latin typeface="+mn-lt"/>
              <a:ea typeface="+mn-ea"/>
              <a:cs typeface="+mn-cs"/>
            </a:rPr>
            <a:t>Year 2                   </a:t>
          </a:r>
          <a:r>
            <a:rPr kumimoji="0" lang="en-US" sz="1100" b="0" i="0" u="none" strike="noStrike" kern="0" cap="none" spc="0" normalizeH="0" baseline="0" noProof="0">
              <a:ln>
                <a:noFill/>
              </a:ln>
              <a:solidFill>
                <a:srgbClr val="00B0F0"/>
              </a:solidFill>
              <a:effectLst/>
              <a:uLnTx/>
              <a:uFillTx/>
              <a:latin typeface="+mn-lt"/>
              <a:ea typeface="+mn-ea"/>
              <a:cs typeface="+mn-cs"/>
            </a:rPr>
            <a:t>Year 3</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66"/>
              </a:solidFill>
              <a:effectLst/>
              <a:uLnTx/>
              <a:uFillTx/>
              <a:latin typeface="+mn-lt"/>
              <a:ea typeface="+mn-ea"/>
              <a:cs typeface="+mn-cs"/>
            </a:rPr>
            <a:t>Year 4   </a:t>
          </a:r>
          <a:r>
            <a:rPr kumimoji="0" lang="en-US" sz="1100" b="0" i="0" u="none" strike="noStrike" kern="0" cap="none" spc="0" normalizeH="0" baseline="0" noProof="0">
              <a:ln>
                <a:noFill/>
              </a:ln>
              <a:solidFill>
                <a:srgbClr val="FFFF00"/>
              </a:solidFill>
              <a:effectLst/>
              <a:uLnTx/>
              <a:uFillTx/>
              <a:latin typeface="+mn-lt"/>
              <a:ea typeface="+mn-ea"/>
              <a:cs typeface="+mn-cs"/>
            </a:rPr>
            <a:t>          </a:t>
          </a:r>
          <a:r>
            <a:rPr kumimoji="0" lang="en-US" sz="1100" b="0" i="0" u="none" strike="noStrike" kern="0" cap="none" spc="0" normalizeH="0" baseline="0" noProof="0">
              <a:ln>
                <a:noFill/>
              </a:ln>
              <a:solidFill>
                <a:prstClr val="black"/>
              </a:solidFill>
              <a:effectLst/>
              <a:uLnTx/>
              <a:uFillTx/>
              <a:latin typeface="+mn-lt"/>
              <a:ea typeface="+mn-ea"/>
              <a:cs typeface="+mn-cs"/>
            </a:rPr>
            <a:t>Future Projections</a:t>
          </a:r>
        </a:p>
        <a:p>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314325</xdr:colOff>
      <xdr:row>20</xdr:row>
      <xdr:rowOff>133350</xdr:rowOff>
    </xdr:from>
    <xdr:to>
      <xdr:col>16</xdr:col>
      <xdr:colOff>314325</xdr:colOff>
      <xdr:row>30</xdr:row>
      <xdr:rowOff>142875</xdr:rowOff>
    </xdr:to>
    <xdr:graphicFrame macro="">
      <xdr:nvGraphicFramePr>
        <xdr:cNvPr id="2" name="Chart 1">
          <a:extLst>
            <a:ext uri="{FF2B5EF4-FFF2-40B4-BE49-F238E27FC236}">
              <a16:creationId xmlns:a16="http://schemas.microsoft.com/office/drawing/2014/main" id="{48249536-05B9-BB05-02A7-013024ACF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447675</xdr:colOff>
      <xdr:row>11</xdr:row>
      <xdr:rowOff>123825</xdr:rowOff>
    </xdr:from>
    <xdr:to>
      <xdr:col>24</xdr:col>
      <xdr:colOff>447675</xdr:colOff>
      <xdr:row>21</xdr:row>
      <xdr:rowOff>142875</xdr:rowOff>
    </xdr:to>
    <xdr:graphicFrame macro="">
      <xdr:nvGraphicFramePr>
        <xdr:cNvPr id="3" name="Chart 2">
          <a:extLst>
            <a:ext uri="{FF2B5EF4-FFF2-40B4-BE49-F238E27FC236}">
              <a16:creationId xmlns:a16="http://schemas.microsoft.com/office/drawing/2014/main" id="{FCC6A799-00A9-EE56-CAE5-A2D3390F8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30</xdr:row>
      <xdr:rowOff>9525</xdr:rowOff>
    </xdr:from>
    <xdr:to>
      <xdr:col>17</xdr:col>
      <xdr:colOff>342900</xdr:colOff>
      <xdr:row>40</xdr:row>
      <xdr:rowOff>9525</xdr:rowOff>
    </xdr:to>
    <xdr:graphicFrame macro="">
      <xdr:nvGraphicFramePr>
        <xdr:cNvPr id="4" name="Chart 3">
          <a:extLst>
            <a:ext uri="{FF2B5EF4-FFF2-40B4-BE49-F238E27FC236}">
              <a16:creationId xmlns:a16="http://schemas.microsoft.com/office/drawing/2014/main" id="{1CD39CE3-4429-0C2B-34A2-FE8DF1008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590550</xdr:colOff>
      <xdr:row>22</xdr:row>
      <xdr:rowOff>85725</xdr:rowOff>
    </xdr:from>
    <xdr:to>
      <xdr:col>22</xdr:col>
      <xdr:colOff>590550</xdr:colOff>
      <xdr:row>32</xdr:row>
      <xdr:rowOff>95250</xdr:rowOff>
    </xdr:to>
    <xdr:graphicFrame macro="">
      <xdr:nvGraphicFramePr>
        <xdr:cNvPr id="5" name="Chart 4">
          <a:extLst>
            <a:ext uri="{FF2B5EF4-FFF2-40B4-BE49-F238E27FC236}">
              <a16:creationId xmlns:a16="http://schemas.microsoft.com/office/drawing/2014/main" id="{F62B0512-5364-82A7-EBE7-7B7A37051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390525</xdr:colOff>
      <xdr:row>21</xdr:row>
      <xdr:rowOff>0</xdr:rowOff>
    </xdr:from>
    <xdr:to>
      <xdr:col>30</xdr:col>
      <xdr:colOff>390525</xdr:colOff>
      <xdr:row>31</xdr:row>
      <xdr:rowOff>9525</xdr:rowOff>
    </xdr:to>
    <xdr:graphicFrame macro="">
      <xdr:nvGraphicFramePr>
        <xdr:cNvPr id="6" name="Chart 5">
          <a:extLst>
            <a:ext uri="{FF2B5EF4-FFF2-40B4-BE49-F238E27FC236}">
              <a16:creationId xmlns:a16="http://schemas.microsoft.com/office/drawing/2014/main" id="{288996A1-6B6C-15BB-CEF3-589D35E67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171450</xdr:colOff>
      <xdr:row>33</xdr:row>
      <xdr:rowOff>95250</xdr:rowOff>
    </xdr:from>
    <xdr:to>
      <xdr:col>23</xdr:col>
      <xdr:colOff>171450</xdr:colOff>
      <xdr:row>43</xdr:row>
      <xdr:rowOff>85725</xdr:rowOff>
    </xdr:to>
    <xdr:graphicFrame macro="">
      <xdr:nvGraphicFramePr>
        <xdr:cNvPr id="7" name="Chart 6">
          <a:extLst>
            <a:ext uri="{FF2B5EF4-FFF2-40B4-BE49-F238E27FC236}">
              <a16:creationId xmlns:a16="http://schemas.microsoft.com/office/drawing/2014/main" id="{9B30E367-D506-E641-7015-A4C987910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304800</xdr:colOff>
      <xdr:row>30</xdr:row>
      <xdr:rowOff>76200</xdr:rowOff>
    </xdr:from>
    <xdr:to>
      <xdr:col>29</xdr:col>
      <xdr:colOff>304800</xdr:colOff>
      <xdr:row>40</xdr:row>
      <xdr:rowOff>76200</xdr:rowOff>
    </xdr:to>
    <xdr:graphicFrame macro="">
      <xdr:nvGraphicFramePr>
        <xdr:cNvPr id="8" name="Chart 7">
          <a:extLst>
            <a:ext uri="{FF2B5EF4-FFF2-40B4-BE49-F238E27FC236}">
              <a16:creationId xmlns:a16="http://schemas.microsoft.com/office/drawing/2014/main" id="{C437CAF4-7D4C-F832-A6DD-509363D03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304800</xdr:colOff>
      <xdr:row>41</xdr:row>
      <xdr:rowOff>47625</xdr:rowOff>
    </xdr:from>
    <xdr:to>
      <xdr:col>29</xdr:col>
      <xdr:colOff>304800</xdr:colOff>
      <xdr:row>51</xdr:row>
      <xdr:rowOff>47625</xdr:rowOff>
    </xdr:to>
    <xdr:graphicFrame macro="">
      <xdr:nvGraphicFramePr>
        <xdr:cNvPr id="9" name="Chart 8">
          <a:extLst>
            <a:ext uri="{FF2B5EF4-FFF2-40B4-BE49-F238E27FC236}">
              <a16:creationId xmlns:a16="http://schemas.microsoft.com/office/drawing/2014/main" id="{B61E71C5-E9EF-DDA8-C04D-173047794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142875</xdr:colOff>
      <xdr:row>43</xdr:row>
      <xdr:rowOff>0</xdr:rowOff>
    </xdr:from>
    <xdr:to>
      <xdr:col>20</xdr:col>
      <xdr:colOff>142875</xdr:colOff>
      <xdr:row>53</xdr:row>
      <xdr:rowOff>9525</xdr:rowOff>
    </xdr:to>
    <xdr:graphicFrame macro="">
      <xdr:nvGraphicFramePr>
        <xdr:cNvPr id="10" name="Chart 9">
          <a:extLst>
            <a:ext uri="{FF2B5EF4-FFF2-40B4-BE49-F238E27FC236}">
              <a16:creationId xmlns:a16="http://schemas.microsoft.com/office/drawing/2014/main" id="{1BAB65BD-FB38-4C31-7C24-F27034FC6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317500</xdr:colOff>
      <xdr:row>0</xdr:row>
      <xdr:rowOff>21897</xdr:rowOff>
    </xdr:from>
    <xdr:to>
      <xdr:col>17</xdr:col>
      <xdr:colOff>459826</xdr:colOff>
      <xdr:row>16</xdr:row>
      <xdr:rowOff>54741</xdr:rowOff>
    </xdr:to>
    <xdr:graphicFrame macro="">
      <xdr:nvGraphicFramePr>
        <xdr:cNvPr id="11" name="Chart 10">
          <a:extLst>
            <a:ext uri="{FF2B5EF4-FFF2-40B4-BE49-F238E27FC236}">
              <a16:creationId xmlns:a16="http://schemas.microsoft.com/office/drawing/2014/main" id="{1B4631FB-1094-4358-AFA7-41E9DE888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303544</xdr:colOff>
      <xdr:row>14</xdr:row>
      <xdr:rowOff>167473</xdr:rowOff>
    </xdr:from>
    <xdr:to>
      <xdr:col>17</xdr:col>
      <xdr:colOff>471017</xdr:colOff>
      <xdr:row>18</xdr:row>
      <xdr:rowOff>20934</xdr:rowOff>
    </xdr:to>
    <xdr:sp macro="" textlink="">
      <xdr:nvSpPr>
        <xdr:cNvPr id="12" name="TextBox 11">
          <a:extLst>
            <a:ext uri="{FF2B5EF4-FFF2-40B4-BE49-F238E27FC236}">
              <a16:creationId xmlns:a16="http://schemas.microsoft.com/office/drawing/2014/main" id="{BDEE18FB-4928-873F-0B64-5E9651AE317E}"/>
            </a:ext>
          </a:extLst>
        </xdr:cNvPr>
        <xdr:cNvSpPr txBox="1"/>
      </xdr:nvSpPr>
      <xdr:spPr>
        <a:xfrm>
          <a:off x="5735934" y="2805165"/>
          <a:ext cx="5631264" cy="607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rgbClr val="00B050"/>
              </a:solidFill>
              <a:effectLst/>
              <a:uLnTx/>
              <a:uFillTx/>
              <a:latin typeface="+mn-lt"/>
              <a:ea typeface="+mn-ea"/>
              <a:cs typeface="+mn-cs"/>
            </a:rPr>
            <a:t>            Q1    Q2  Q3  Q4  </a:t>
          </a:r>
          <a:r>
            <a:rPr kumimoji="0" lang="en-US" sz="900" b="0" i="0" u="none" strike="noStrike" kern="0" cap="none" spc="0" normalizeH="0" baseline="0" noProof="0">
              <a:ln>
                <a:noFill/>
              </a:ln>
              <a:solidFill>
                <a:srgbClr val="FF0000"/>
              </a:solidFill>
              <a:effectLst/>
              <a:uLnTx/>
              <a:uFillTx/>
              <a:latin typeface="+mn-lt"/>
              <a:ea typeface="+mn-ea"/>
              <a:cs typeface="+mn-cs"/>
            </a:rPr>
            <a:t>Q1  Q2   Q3  Q4  </a:t>
          </a:r>
          <a:r>
            <a:rPr kumimoji="0" lang="en-US" sz="900" b="0" i="0" u="none" strike="noStrike" kern="0" cap="none" spc="0" normalizeH="0" baseline="0" noProof="0">
              <a:ln>
                <a:noFill/>
              </a:ln>
              <a:solidFill>
                <a:srgbClr val="00B0F0"/>
              </a:solidFill>
              <a:effectLst/>
              <a:uLnTx/>
              <a:uFillTx/>
              <a:latin typeface="+mn-lt"/>
              <a:ea typeface="+mn-ea"/>
              <a:cs typeface="+mn-cs"/>
            </a:rPr>
            <a:t>Q1  Q2  Q3  Q4  </a:t>
          </a:r>
          <a:r>
            <a:rPr kumimoji="0" lang="en-US" sz="900" b="0" i="0" u="none" strike="noStrike" kern="0" cap="none" spc="0" normalizeH="0" baseline="0" noProof="0">
              <a:ln>
                <a:noFill/>
              </a:ln>
              <a:solidFill>
                <a:srgbClr val="FF0066"/>
              </a:solidFill>
              <a:effectLst/>
              <a:uLnTx/>
              <a:uFillTx/>
              <a:latin typeface="+mn-lt"/>
              <a:ea typeface="+mn-ea"/>
              <a:cs typeface="+mn-cs"/>
            </a:rPr>
            <a:t>Q1  Q2  Q3   Q4   </a:t>
          </a:r>
          <a:r>
            <a:rPr kumimoji="0" lang="en-US" sz="900" b="0" i="0" u="none" strike="noStrike" kern="0" cap="none" spc="0" normalizeH="0" baseline="0" noProof="0">
              <a:ln>
                <a:noFill/>
              </a:ln>
              <a:solidFill>
                <a:prstClr val="black"/>
              </a:solidFill>
              <a:effectLst/>
              <a:uLnTx/>
              <a:uFillTx/>
              <a:latin typeface="+mn-lt"/>
              <a:ea typeface="+mn-ea"/>
              <a:cs typeface="+mn-cs"/>
            </a:rPr>
            <a:t>Q1  Q2 Q3  Q4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00B050"/>
              </a:solidFill>
              <a:effectLst/>
              <a:uLnTx/>
              <a:uFillTx/>
              <a:latin typeface="+mn-lt"/>
              <a:ea typeface="+mn-ea"/>
              <a:cs typeface="+mn-cs"/>
            </a:rPr>
            <a:t>             Year 1                    </a:t>
          </a:r>
          <a:r>
            <a:rPr kumimoji="0" lang="en-US" sz="1100" b="0" i="0" u="none" strike="noStrike" kern="0" cap="none" spc="0" normalizeH="0" baseline="0" noProof="0">
              <a:ln>
                <a:noFill/>
              </a:ln>
              <a:solidFill>
                <a:srgbClr val="FF0000"/>
              </a:solidFill>
              <a:effectLst/>
              <a:uLnTx/>
              <a:uFillTx/>
              <a:latin typeface="+mn-lt"/>
              <a:ea typeface="+mn-ea"/>
              <a:cs typeface="+mn-cs"/>
            </a:rPr>
            <a:t>Year 2         </a:t>
          </a:r>
          <a:r>
            <a:rPr kumimoji="0" lang="en-US" sz="1100" b="0" i="0" u="none" strike="noStrike" kern="0" cap="none" spc="0" normalizeH="0" baseline="0" noProof="0">
              <a:ln>
                <a:noFill/>
              </a:ln>
              <a:solidFill>
                <a:srgbClr val="00B0F0"/>
              </a:solidFill>
              <a:effectLst/>
              <a:uLnTx/>
              <a:uFillTx/>
              <a:latin typeface="+mn-lt"/>
              <a:ea typeface="+mn-ea"/>
              <a:cs typeface="+mn-cs"/>
            </a:rPr>
            <a:t>Year 3</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66"/>
              </a:solidFill>
              <a:effectLst/>
              <a:uLnTx/>
              <a:uFillTx/>
              <a:latin typeface="+mn-lt"/>
              <a:ea typeface="+mn-ea"/>
              <a:cs typeface="+mn-cs"/>
            </a:rPr>
            <a:t>Year 4         </a:t>
          </a:r>
          <a:r>
            <a:rPr kumimoji="0" lang="en-US" sz="1100" b="0" i="0" u="none" strike="noStrike" kern="0" cap="none" spc="0" normalizeH="0" baseline="0" noProof="0">
              <a:ln>
                <a:noFill/>
              </a:ln>
              <a:solidFill>
                <a:srgbClr val="FFFF00"/>
              </a:solidFill>
              <a:effectLst/>
              <a:uLnTx/>
              <a:uFillTx/>
              <a:latin typeface="+mn-lt"/>
              <a:ea typeface="+mn-ea"/>
              <a:cs typeface="+mn-cs"/>
            </a:rPr>
            <a:t> </a:t>
          </a:r>
          <a:r>
            <a:rPr kumimoji="0" lang="en-US" sz="1100" b="0" i="0" u="none" strike="noStrike" kern="0" cap="none" spc="0" normalizeH="0" baseline="0" noProof="0">
              <a:ln>
                <a:noFill/>
              </a:ln>
              <a:solidFill>
                <a:prstClr val="black"/>
              </a:solidFill>
              <a:effectLst/>
              <a:uLnTx/>
              <a:uFillTx/>
              <a:latin typeface="+mn-lt"/>
              <a:ea typeface="+mn-ea"/>
              <a:cs typeface="+mn-cs"/>
            </a:rPr>
            <a:t>Future Projections (Year 5)</a:t>
          </a:r>
        </a:p>
        <a:p>
          <a:endParaRPr lang="en-US" sz="1100"/>
        </a:p>
      </xdr:txBody>
    </xdr:sp>
    <xdr:clientData/>
  </xdr:twoCellAnchor>
  <xdr:twoCellAnchor>
    <xdr:from>
      <xdr:col>7</xdr:col>
      <xdr:colOff>199745</xdr:colOff>
      <xdr:row>18</xdr:row>
      <xdr:rowOff>54952</xdr:rowOff>
    </xdr:from>
    <xdr:to>
      <xdr:col>9</xdr:col>
      <xdr:colOff>430019</xdr:colOff>
      <xdr:row>24</xdr:row>
      <xdr:rowOff>111648</xdr:rowOff>
    </xdr:to>
    <xdr:sp macro="" textlink="">
      <xdr:nvSpPr>
        <xdr:cNvPr id="13" name="TextBox 12">
          <a:extLst>
            <a:ext uri="{FF2B5EF4-FFF2-40B4-BE49-F238E27FC236}">
              <a16:creationId xmlns:a16="http://schemas.microsoft.com/office/drawing/2014/main" id="{E43653D2-3344-CAF1-34C2-0FEE97154D48}"/>
            </a:ext>
          </a:extLst>
        </xdr:cNvPr>
        <xdr:cNvSpPr txBox="1"/>
      </xdr:nvSpPr>
      <xdr:spPr>
        <a:xfrm>
          <a:off x="5041620" y="3524773"/>
          <a:ext cx="1454917" cy="1224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Include T</a:t>
          </a:r>
          <a:r>
            <a:rPr lang="en-US" sz="1100" baseline="0"/>
            <a:t> column (index number) in with independent variables to address trend with the seasonality.</a:t>
          </a:r>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7</xdr:col>
      <xdr:colOff>457200</xdr:colOff>
      <xdr:row>1</xdr:row>
      <xdr:rowOff>0</xdr:rowOff>
    </xdr:from>
    <xdr:to>
      <xdr:col>15</xdr:col>
      <xdr:colOff>152400</xdr:colOff>
      <xdr:row>15</xdr:row>
      <xdr:rowOff>76200</xdr:rowOff>
    </xdr:to>
    <xdr:graphicFrame macro="">
      <xdr:nvGraphicFramePr>
        <xdr:cNvPr id="2" name="Chart 1">
          <a:extLst>
            <a:ext uri="{FF2B5EF4-FFF2-40B4-BE49-F238E27FC236}">
              <a16:creationId xmlns:a16="http://schemas.microsoft.com/office/drawing/2014/main" id="{4E301951-3369-418C-A7A0-89A3AAB97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2</xdr:row>
      <xdr:rowOff>38099</xdr:rowOff>
    </xdr:from>
    <xdr:to>
      <xdr:col>3</xdr:col>
      <xdr:colOff>542925</xdr:colOff>
      <xdr:row>3</xdr:row>
      <xdr:rowOff>66675</xdr:rowOff>
    </xdr:to>
    <xdr:sp macro="" textlink="">
      <xdr:nvSpPr>
        <xdr:cNvPr id="4" name="TextBox 3">
          <a:extLst>
            <a:ext uri="{FF2B5EF4-FFF2-40B4-BE49-F238E27FC236}">
              <a16:creationId xmlns:a16="http://schemas.microsoft.com/office/drawing/2014/main" id="{FACC0DD2-83F8-E644-8DC7-EA6840A85EE0}"/>
            </a:ext>
          </a:extLst>
        </xdr:cNvPr>
        <xdr:cNvSpPr txBox="1"/>
      </xdr:nvSpPr>
      <xdr:spPr>
        <a:xfrm>
          <a:off x="2181225" y="847724"/>
          <a:ext cx="466725" cy="219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5.35</a:t>
          </a:r>
          <a:endParaRPr lang="en-US">
            <a:effectLst/>
          </a:endParaRPr>
        </a:p>
        <a:p>
          <a:endParaRPr lang="en-US" sz="1100"/>
        </a:p>
      </xdr:txBody>
    </xdr:sp>
    <xdr:clientData/>
  </xdr:twoCellAnchor>
  <xdr:twoCellAnchor>
    <xdr:from>
      <xdr:col>3</xdr:col>
      <xdr:colOff>57149</xdr:colOff>
      <xdr:row>3</xdr:row>
      <xdr:rowOff>76200</xdr:rowOff>
    </xdr:from>
    <xdr:to>
      <xdr:col>3</xdr:col>
      <xdr:colOff>542924</xdr:colOff>
      <xdr:row>4</xdr:row>
      <xdr:rowOff>95250</xdr:rowOff>
    </xdr:to>
    <xdr:sp macro="" textlink="">
      <xdr:nvSpPr>
        <xdr:cNvPr id="5" name="TextBox 4">
          <a:extLst>
            <a:ext uri="{FF2B5EF4-FFF2-40B4-BE49-F238E27FC236}">
              <a16:creationId xmlns:a16="http://schemas.microsoft.com/office/drawing/2014/main" id="{E9D80A6E-5096-94A3-EE22-73E613E9CD66}"/>
            </a:ext>
          </a:extLst>
        </xdr:cNvPr>
        <xdr:cNvSpPr txBox="1"/>
      </xdr:nvSpPr>
      <xdr:spPr>
        <a:xfrm>
          <a:off x="2162174" y="1076325"/>
          <a:ext cx="48577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 5.6</a:t>
          </a:r>
          <a:r>
            <a:rPr lang="en-US" sz="1100">
              <a:solidFill>
                <a:schemeClr val="dk1"/>
              </a:solidFill>
              <a:effectLst/>
              <a:latin typeface="+mn-lt"/>
              <a:ea typeface="+mn-ea"/>
              <a:cs typeface="+mn-cs"/>
            </a:rPr>
            <a:t> </a:t>
          </a:r>
          <a:endParaRPr lang="en-US">
            <a:effectLst/>
          </a:endParaRPr>
        </a:p>
        <a:p>
          <a:endParaRPr lang="en-US" sz="1100"/>
        </a:p>
      </xdr:txBody>
    </xdr:sp>
    <xdr:clientData/>
  </xdr:twoCellAnchor>
  <xdr:twoCellAnchor>
    <xdr:from>
      <xdr:col>3</xdr:col>
      <xdr:colOff>38100</xdr:colOff>
      <xdr:row>4</xdr:row>
      <xdr:rowOff>104775</xdr:rowOff>
    </xdr:from>
    <xdr:to>
      <xdr:col>3</xdr:col>
      <xdr:colOff>742950</xdr:colOff>
      <xdr:row>5</xdr:row>
      <xdr:rowOff>95249</xdr:rowOff>
    </xdr:to>
    <xdr:sp macro="" textlink="">
      <xdr:nvSpPr>
        <xdr:cNvPr id="6" name="TextBox 5">
          <a:extLst>
            <a:ext uri="{FF2B5EF4-FFF2-40B4-BE49-F238E27FC236}">
              <a16:creationId xmlns:a16="http://schemas.microsoft.com/office/drawing/2014/main" id="{2D59FFBA-20C4-CAD4-4C38-027110AEA66C}"/>
            </a:ext>
          </a:extLst>
        </xdr:cNvPr>
        <xdr:cNvSpPr txBox="1"/>
      </xdr:nvSpPr>
      <xdr:spPr>
        <a:xfrm>
          <a:off x="2143125" y="1295400"/>
          <a:ext cx="704850" cy="180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5.875</a:t>
          </a:r>
        </a:p>
        <a:p>
          <a:endParaRPr lang="en-US" sz="1100"/>
        </a:p>
      </xdr:txBody>
    </xdr:sp>
    <xdr:clientData/>
  </xdr:twoCellAnchor>
  <xdr:twoCellAnchor>
    <xdr:from>
      <xdr:col>3</xdr:col>
      <xdr:colOff>47625</xdr:colOff>
      <xdr:row>5</xdr:row>
      <xdr:rowOff>114300</xdr:rowOff>
    </xdr:from>
    <xdr:to>
      <xdr:col>3</xdr:col>
      <xdr:colOff>628650</xdr:colOff>
      <xdr:row>6</xdr:row>
      <xdr:rowOff>123825</xdr:rowOff>
    </xdr:to>
    <xdr:sp macro="" textlink="">
      <xdr:nvSpPr>
        <xdr:cNvPr id="7" name="TextBox 6">
          <a:extLst>
            <a:ext uri="{FF2B5EF4-FFF2-40B4-BE49-F238E27FC236}">
              <a16:creationId xmlns:a16="http://schemas.microsoft.com/office/drawing/2014/main" id="{CFF7D897-4776-823C-7674-6C79C07E52DA}"/>
            </a:ext>
          </a:extLst>
        </xdr:cNvPr>
        <xdr:cNvSpPr txBox="1"/>
      </xdr:nvSpPr>
      <xdr:spPr>
        <a:xfrm>
          <a:off x="2152650" y="1495425"/>
          <a:ext cx="581025"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6.075</a:t>
          </a:r>
          <a:endParaRPr lang="en-US">
            <a:effectLst/>
          </a:endParaRPr>
        </a:p>
        <a:p>
          <a:endParaRPr lang="en-US" sz="1100"/>
        </a:p>
      </xdr:txBody>
    </xdr:sp>
    <xdr:clientData/>
  </xdr:twoCellAnchor>
  <xdr:twoCellAnchor>
    <xdr:from>
      <xdr:col>3</xdr:col>
      <xdr:colOff>57149</xdr:colOff>
      <xdr:row>6</xdr:row>
      <xdr:rowOff>114300</xdr:rowOff>
    </xdr:from>
    <xdr:to>
      <xdr:col>3</xdr:col>
      <xdr:colOff>619124</xdr:colOff>
      <xdr:row>12</xdr:row>
      <xdr:rowOff>57150</xdr:rowOff>
    </xdr:to>
    <xdr:sp macro="" textlink="">
      <xdr:nvSpPr>
        <xdr:cNvPr id="8" name="TextBox 7">
          <a:extLst>
            <a:ext uri="{FF2B5EF4-FFF2-40B4-BE49-F238E27FC236}">
              <a16:creationId xmlns:a16="http://schemas.microsoft.com/office/drawing/2014/main" id="{675414E1-145A-1AF5-77C3-B3D0BAA25BC7}"/>
            </a:ext>
          </a:extLst>
        </xdr:cNvPr>
        <xdr:cNvSpPr txBox="1"/>
      </xdr:nvSpPr>
      <xdr:spPr>
        <a:xfrm>
          <a:off x="2162174" y="1685925"/>
          <a:ext cx="561975" cy="1085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6.3</a:t>
          </a:r>
          <a:r>
            <a:rPr lang="en-US" sz="1100">
              <a:solidFill>
                <a:schemeClr val="dk1"/>
              </a:solidFill>
              <a:effectLst/>
              <a:latin typeface="+mn-lt"/>
              <a:ea typeface="+mn-ea"/>
              <a:cs typeface="+mn-cs"/>
            </a:rPr>
            <a:t> </a:t>
          </a:r>
        </a:p>
        <a:p>
          <a:r>
            <a:rPr lang="en-US" sz="1100" b="0" i="0">
              <a:solidFill>
                <a:schemeClr val="dk1"/>
              </a:solidFill>
              <a:effectLst/>
              <a:latin typeface="+mn-lt"/>
              <a:ea typeface="+mn-ea"/>
              <a:cs typeface="+mn-cs"/>
            </a:rPr>
            <a:t>6.35</a:t>
          </a:r>
          <a:endParaRPr lang="en-US">
            <a:effectLst/>
          </a:endParaRPr>
        </a:p>
        <a:p>
          <a:r>
            <a:rPr lang="en-US" sz="1100" b="0" i="0">
              <a:solidFill>
                <a:schemeClr val="dk1"/>
              </a:solidFill>
              <a:effectLst/>
              <a:latin typeface="+mn-lt"/>
              <a:ea typeface="+mn-ea"/>
              <a:cs typeface="+mn-cs"/>
            </a:rPr>
            <a:t>6.45</a:t>
          </a:r>
          <a:r>
            <a:rPr lang="en-US" sz="1100">
              <a:solidFill>
                <a:schemeClr val="dk1"/>
              </a:solidFill>
              <a:effectLst/>
              <a:latin typeface="+mn-lt"/>
              <a:ea typeface="+mn-ea"/>
              <a:cs typeface="+mn-cs"/>
            </a:rPr>
            <a:t> </a:t>
          </a:r>
          <a:endParaRPr lang="en-US">
            <a:effectLst/>
          </a:endParaRPr>
        </a:p>
        <a:p>
          <a:r>
            <a:rPr lang="en-US" sz="1100" b="0" i="0">
              <a:solidFill>
                <a:schemeClr val="dk1"/>
              </a:solidFill>
              <a:effectLst/>
              <a:latin typeface="+mn-lt"/>
              <a:ea typeface="+mn-ea"/>
              <a:cs typeface="+mn-cs"/>
            </a:rPr>
            <a:t>6.625</a:t>
          </a:r>
          <a:endParaRPr lang="en-US">
            <a:effectLst/>
          </a:endParaRPr>
        </a:p>
        <a:p>
          <a:r>
            <a:rPr lang="en-US" sz="1100" b="0" i="0">
              <a:solidFill>
                <a:schemeClr val="dk1"/>
              </a:solidFill>
              <a:effectLst/>
              <a:latin typeface="+mn-lt"/>
              <a:ea typeface="+mn-ea"/>
              <a:cs typeface="+mn-cs"/>
            </a:rPr>
            <a:t>6.725</a:t>
          </a:r>
          <a:endParaRPr lang="en-US">
            <a:effectLst/>
          </a:endParaRPr>
        </a:p>
        <a:p>
          <a:r>
            <a:rPr lang="en-US" sz="1100" b="0" i="0">
              <a:solidFill>
                <a:schemeClr val="dk1"/>
              </a:solidFill>
              <a:effectLst/>
              <a:latin typeface="+mn-lt"/>
              <a:ea typeface="+mn-ea"/>
              <a:cs typeface="+mn-cs"/>
            </a:rPr>
            <a:t>6.800</a:t>
          </a:r>
          <a:endParaRPr lang="en-US">
            <a:effectLst/>
          </a:endParaRPr>
        </a:p>
        <a:p>
          <a:r>
            <a:rPr lang="en-US" sz="110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twoCellAnchor>
    <xdr:from>
      <xdr:col>3</xdr:col>
      <xdr:colOff>38099</xdr:colOff>
      <xdr:row>11</xdr:row>
      <xdr:rowOff>76200</xdr:rowOff>
    </xdr:from>
    <xdr:to>
      <xdr:col>3</xdr:col>
      <xdr:colOff>695324</xdr:colOff>
      <xdr:row>15</xdr:row>
      <xdr:rowOff>95249</xdr:rowOff>
    </xdr:to>
    <xdr:sp macro="" textlink="">
      <xdr:nvSpPr>
        <xdr:cNvPr id="9" name="TextBox 8">
          <a:extLst>
            <a:ext uri="{FF2B5EF4-FFF2-40B4-BE49-F238E27FC236}">
              <a16:creationId xmlns:a16="http://schemas.microsoft.com/office/drawing/2014/main" id="{97C36266-F974-D38A-0C5C-A252716371BC}"/>
            </a:ext>
          </a:extLst>
        </xdr:cNvPr>
        <xdr:cNvSpPr txBox="1"/>
      </xdr:nvSpPr>
      <xdr:spPr>
        <a:xfrm>
          <a:off x="2143124" y="2600325"/>
          <a:ext cx="657225" cy="7810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6.80</a:t>
          </a:r>
        </a:p>
        <a:p>
          <a:r>
            <a:rPr lang="en-US" sz="1100"/>
            <a:t>6.875</a:t>
          </a:r>
        </a:p>
        <a:p>
          <a:r>
            <a:rPr lang="en-US" sz="1100"/>
            <a:t>7.0</a:t>
          </a:r>
        </a:p>
        <a:p>
          <a:r>
            <a:rPr lang="en-US" sz="1100"/>
            <a:t>7.150</a:t>
          </a:r>
        </a:p>
        <a:p>
          <a:endParaRPr lang="en-US" sz="1100"/>
        </a:p>
      </xdr:txBody>
    </xdr:sp>
    <xdr:clientData/>
  </xdr:twoCellAnchor>
  <xdr:twoCellAnchor>
    <xdr:from>
      <xdr:col>9</xdr:col>
      <xdr:colOff>304799</xdr:colOff>
      <xdr:row>15</xdr:row>
      <xdr:rowOff>171449</xdr:rowOff>
    </xdr:from>
    <xdr:to>
      <xdr:col>15</xdr:col>
      <xdr:colOff>533400</xdr:colOff>
      <xdr:row>39</xdr:row>
      <xdr:rowOff>9525</xdr:rowOff>
    </xdr:to>
    <xdr:sp macro="" textlink="">
      <xdr:nvSpPr>
        <xdr:cNvPr id="3" name="TextBox 2">
          <a:extLst>
            <a:ext uri="{FF2B5EF4-FFF2-40B4-BE49-F238E27FC236}">
              <a16:creationId xmlns:a16="http://schemas.microsoft.com/office/drawing/2014/main" id="{8496C600-1D6B-3546-3F0B-9A5430B7C558}"/>
            </a:ext>
          </a:extLst>
        </xdr:cNvPr>
        <xdr:cNvSpPr txBox="1"/>
      </xdr:nvSpPr>
      <xdr:spPr>
        <a:xfrm>
          <a:off x="7953374" y="3457574"/>
          <a:ext cx="3886201" cy="441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Time</a:t>
          </a:r>
          <a:r>
            <a:rPr lang="en-US" sz="1100" baseline="0"/>
            <a:t> series decompoistion is used to seperate or decompose a time series into sasonal, trend, and irregular components. </a:t>
          </a:r>
        </a:p>
        <a:p>
          <a:r>
            <a:rPr lang="en-US" sz="1100" baseline="0"/>
            <a:t>Basically we want to see the change other than from the trend and seasonality (see irregular component).</a:t>
          </a:r>
        </a:p>
        <a:p>
          <a:endParaRPr lang="en-US" sz="1100" baseline="0"/>
        </a:p>
        <a:p>
          <a:r>
            <a:rPr lang="en-US" sz="1100" baseline="0"/>
            <a:t>We must first decide if the time series decomposition model is an additive or  multiplicative model. </a:t>
          </a:r>
        </a:p>
        <a:p>
          <a:r>
            <a:rPr lang="en-US" sz="1100" baseline="0"/>
            <a:t>If the seasonal fluctuations in earlier time periods are about the same as the size of the seasonal flucuations in later time periods, an additive model is the appropriate. If the fluctuations increase over time because of a long term linear trend then a multiplicative model should be used. </a:t>
          </a:r>
        </a:p>
        <a:p>
          <a:endParaRPr lang="en-US" sz="1100" baseline="0"/>
        </a:p>
        <a:p>
          <a:r>
            <a:rPr lang="en-US" sz="1100" baseline="0"/>
            <a:t>additive model: Yt=trend(t)+seasoonal(t)+irregular(t)</a:t>
          </a:r>
        </a:p>
        <a:p>
          <a:endParaRPr lang="en-US" sz="1100" baseline="0"/>
        </a:p>
        <a:p>
          <a:r>
            <a:rPr lang="en-US" sz="1100" baseline="0"/>
            <a:t>multiplicative model: Yt=trend(t)*seasonal(t)*irregular(t)</a:t>
          </a:r>
        </a:p>
        <a:p>
          <a:endParaRPr lang="en-US" sz="1100" baseline="0"/>
        </a:p>
        <a:p>
          <a:r>
            <a:rPr lang="en-US" sz="1100" baseline="0"/>
            <a:t>In this textbook they only practice the multiplicative model. </a:t>
          </a:r>
        </a:p>
        <a:p>
          <a:endParaRPr lang="en-US" sz="1100" baseline="0"/>
        </a:p>
        <a:p>
          <a:endParaRPr lang="en-US" sz="1100" baseline="0"/>
        </a:p>
        <a:p>
          <a:r>
            <a:rPr lang="en-US" sz="1100"/>
            <a:t>Since the seasonal</a:t>
          </a:r>
          <a:r>
            <a:rPr lang="en-US" sz="1100" baseline="0"/>
            <a:t>ity is reported in quarters it uses a 4 period moving average. If it was in 12 months, it would use a 12 month moving average and 12 sasonal indexes would be computed. </a:t>
          </a:r>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17</xdr:col>
      <xdr:colOff>276427</xdr:colOff>
      <xdr:row>0</xdr:row>
      <xdr:rowOff>81936</xdr:rowOff>
    </xdr:from>
    <xdr:to>
      <xdr:col>27</xdr:col>
      <xdr:colOff>92175</xdr:colOff>
      <xdr:row>13</xdr:row>
      <xdr:rowOff>186711</xdr:rowOff>
    </xdr:to>
    <xdr:graphicFrame macro="">
      <xdr:nvGraphicFramePr>
        <xdr:cNvPr id="2" name="Chart 1">
          <a:extLst>
            <a:ext uri="{FF2B5EF4-FFF2-40B4-BE49-F238E27FC236}">
              <a16:creationId xmlns:a16="http://schemas.microsoft.com/office/drawing/2014/main" id="{C3F49231-C36E-8C13-5A77-103CC3C78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545382</xdr:colOff>
      <xdr:row>17</xdr:row>
      <xdr:rowOff>60018</xdr:rowOff>
    </xdr:from>
    <xdr:to>
      <xdr:col>28</xdr:col>
      <xdr:colOff>545382</xdr:colOff>
      <xdr:row>26</xdr:row>
      <xdr:rowOff>78352</xdr:rowOff>
    </xdr:to>
    <xdr:graphicFrame macro="">
      <xdr:nvGraphicFramePr>
        <xdr:cNvPr id="3" name="Chart 2">
          <a:extLst>
            <a:ext uri="{FF2B5EF4-FFF2-40B4-BE49-F238E27FC236}">
              <a16:creationId xmlns:a16="http://schemas.microsoft.com/office/drawing/2014/main" id="{8CDA6147-0E51-5A7C-7301-19EF6165D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74255</xdr:colOff>
      <xdr:row>15</xdr:row>
      <xdr:rowOff>151478</xdr:rowOff>
    </xdr:from>
    <xdr:to>
      <xdr:col>22</xdr:col>
      <xdr:colOff>74254</xdr:colOff>
      <xdr:row>24</xdr:row>
      <xdr:rowOff>160286</xdr:rowOff>
    </xdr:to>
    <xdr:graphicFrame macro="">
      <xdr:nvGraphicFramePr>
        <xdr:cNvPr id="4" name="Chart 3">
          <a:extLst>
            <a:ext uri="{FF2B5EF4-FFF2-40B4-BE49-F238E27FC236}">
              <a16:creationId xmlns:a16="http://schemas.microsoft.com/office/drawing/2014/main" id="{FF1CED53-A5DD-CF5D-3EAE-8CD65B922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453206</xdr:colOff>
      <xdr:row>13</xdr:row>
      <xdr:rowOff>90026</xdr:rowOff>
    </xdr:from>
    <xdr:to>
      <xdr:col>30</xdr:col>
      <xdr:colOff>453206</xdr:colOff>
      <xdr:row>23</xdr:row>
      <xdr:rowOff>108359</xdr:rowOff>
    </xdr:to>
    <xdr:graphicFrame macro="">
      <xdr:nvGraphicFramePr>
        <xdr:cNvPr id="5" name="Chart 4">
          <a:extLst>
            <a:ext uri="{FF2B5EF4-FFF2-40B4-BE49-F238E27FC236}">
              <a16:creationId xmlns:a16="http://schemas.microsoft.com/office/drawing/2014/main" id="{D6701744-7CDB-8676-FF16-1FB1C7224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285442</xdr:colOff>
      <xdr:row>14</xdr:row>
      <xdr:rowOff>80502</xdr:rowOff>
    </xdr:from>
    <xdr:to>
      <xdr:col>10</xdr:col>
      <xdr:colOff>313915</xdr:colOff>
      <xdr:row>18</xdr:row>
      <xdr:rowOff>232902</xdr:rowOff>
    </xdr:to>
    <xdr:sp macro="" textlink="">
      <xdr:nvSpPr>
        <xdr:cNvPr id="6" name="TextBox 5">
          <a:extLst>
            <a:ext uri="{FF2B5EF4-FFF2-40B4-BE49-F238E27FC236}">
              <a16:creationId xmlns:a16="http://schemas.microsoft.com/office/drawing/2014/main" id="{91CC2B65-D96D-8974-AADF-AB6105D016D3}"/>
            </a:ext>
          </a:extLst>
        </xdr:cNvPr>
        <xdr:cNvSpPr txBox="1"/>
      </xdr:nvSpPr>
      <xdr:spPr>
        <a:xfrm>
          <a:off x="8407297" y="3183808"/>
          <a:ext cx="3162505" cy="941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identify</a:t>
          </a:r>
          <a:r>
            <a:rPr lang="en-US" sz="1100" baseline="0"/>
            <a:t> the trend </a:t>
          </a:r>
          <a:r>
            <a:rPr lang="en-US" sz="1100"/>
            <a:t>Run</a:t>
          </a:r>
          <a:r>
            <a:rPr lang="en-US" sz="1100" baseline="0"/>
            <a:t> as a simple linear regression with independent variables x as t, y as deseasonalized sales</a:t>
          </a:r>
        </a:p>
        <a:p>
          <a:endParaRPr lang="en-US" sz="1100"/>
        </a:p>
      </xdr:txBody>
    </xdr:sp>
    <xdr:clientData/>
  </xdr:twoCellAnchor>
  <xdr:twoCellAnchor>
    <xdr:from>
      <xdr:col>8</xdr:col>
      <xdr:colOff>574674</xdr:colOff>
      <xdr:row>1</xdr:row>
      <xdr:rowOff>174112</xdr:rowOff>
    </xdr:from>
    <xdr:to>
      <xdr:col>9</xdr:col>
      <xdr:colOff>1710404</xdr:colOff>
      <xdr:row>8</xdr:row>
      <xdr:rowOff>20484</xdr:rowOff>
    </xdr:to>
    <xdr:sp macro="" textlink="">
      <xdr:nvSpPr>
        <xdr:cNvPr id="7" name="TextBox 6">
          <a:extLst>
            <a:ext uri="{FF2B5EF4-FFF2-40B4-BE49-F238E27FC236}">
              <a16:creationId xmlns:a16="http://schemas.microsoft.com/office/drawing/2014/main" id="{D1E971B6-E80E-89ED-0E53-9A1D52C395BF}"/>
            </a:ext>
          </a:extLst>
        </xdr:cNvPr>
        <xdr:cNvSpPr txBox="1"/>
      </xdr:nvSpPr>
      <xdr:spPr>
        <a:xfrm>
          <a:off x="8696529" y="747660"/>
          <a:ext cx="2313552" cy="120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Deseasonalized</a:t>
          </a:r>
          <a:r>
            <a:rPr lang="en-US" sz="1100" baseline="0"/>
            <a:t> sales is calculated with the sales divided by the seasonal index of its quarter. </a:t>
          </a:r>
        </a:p>
      </xdr:txBody>
    </xdr:sp>
    <xdr:clientData/>
  </xdr:twoCellAnchor>
  <xdr:twoCellAnchor>
    <xdr:from>
      <xdr:col>4</xdr:col>
      <xdr:colOff>839838</xdr:colOff>
      <xdr:row>35</xdr:row>
      <xdr:rowOff>10242</xdr:rowOff>
    </xdr:from>
    <xdr:to>
      <xdr:col>6</xdr:col>
      <xdr:colOff>635000</xdr:colOff>
      <xdr:row>39</xdr:row>
      <xdr:rowOff>174113</xdr:rowOff>
    </xdr:to>
    <xdr:sp macro="" textlink="">
      <xdr:nvSpPr>
        <xdr:cNvPr id="8" name="TextBox 7">
          <a:extLst>
            <a:ext uri="{FF2B5EF4-FFF2-40B4-BE49-F238E27FC236}">
              <a16:creationId xmlns:a16="http://schemas.microsoft.com/office/drawing/2014/main" id="{533B7A1E-72C0-A313-8692-35555BD5D156}"/>
            </a:ext>
          </a:extLst>
        </xdr:cNvPr>
        <xdr:cNvSpPr txBox="1"/>
      </xdr:nvSpPr>
      <xdr:spPr>
        <a:xfrm>
          <a:off x="3891935" y="7835081"/>
          <a:ext cx="1945968"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 this did not average out to 1, and therefore add up to 4, an adjustment would be necessary. (Read</a:t>
          </a:r>
          <a:r>
            <a:rPr lang="en-US" sz="1100" baseline="0"/>
            <a:t> textbook for more info).</a:t>
          </a:r>
          <a:endParaRPr lang="en-US" sz="1100"/>
        </a:p>
      </xdr:txBody>
    </xdr:sp>
    <xdr:clientData/>
  </xdr:twoCellAnchor>
  <xdr:twoCellAnchor>
    <xdr:from>
      <xdr:col>9</xdr:col>
      <xdr:colOff>1759563</xdr:colOff>
      <xdr:row>0</xdr:row>
      <xdr:rowOff>369529</xdr:rowOff>
    </xdr:from>
    <xdr:to>
      <xdr:col>17</xdr:col>
      <xdr:colOff>73740</xdr:colOff>
      <xdr:row>14</xdr:row>
      <xdr:rowOff>9423</xdr:rowOff>
    </xdr:to>
    <xdr:graphicFrame macro="">
      <xdr:nvGraphicFramePr>
        <xdr:cNvPr id="9" name="Chart 8">
          <a:extLst>
            <a:ext uri="{FF2B5EF4-FFF2-40B4-BE49-F238E27FC236}">
              <a16:creationId xmlns:a16="http://schemas.microsoft.com/office/drawing/2014/main" id="{18D815C5-49F5-40C1-A525-9C71D2FAB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EFDB3-51F8-4FDB-B6D9-0D6747235B4B}">
  <dimension ref="A1:Z16"/>
  <sheetViews>
    <sheetView zoomScale="75" workbookViewId="0">
      <selection activeCell="A3" sqref="A3"/>
    </sheetView>
  </sheetViews>
  <sheetFormatPr defaultRowHeight="15" x14ac:dyDescent="0.25"/>
  <cols>
    <col min="2" max="2" width="18.28515625" customWidth="1"/>
  </cols>
  <sheetData>
    <row r="1" spans="1:26" x14ac:dyDescent="0.25">
      <c r="A1" t="s">
        <v>0</v>
      </c>
      <c r="B1" t="s">
        <v>1</v>
      </c>
      <c r="C1">
        <v>1</v>
      </c>
      <c r="D1">
        <v>17</v>
      </c>
      <c r="E1">
        <v>2</v>
      </c>
      <c r="F1">
        <v>21</v>
      </c>
      <c r="G1">
        <v>3</v>
      </c>
      <c r="H1">
        <v>19</v>
      </c>
      <c r="I1">
        <v>4</v>
      </c>
      <c r="J1">
        <v>23</v>
      </c>
      <c r="K1">
        <v>5</v>
      </c>
      <c r="L1">
        <v>18</v>
      </c>
      <c r="M1">
        <v>6</v>
      </c>
      <c r="N1">
        <v>16</v>
      </c>
      <c r="O1">
        <v>7</v>
      </c>
      <c r="P1">
        <v>20</v>
      </c>
      <c r="Q1">
        <v>8</v>
      </c>
      <c r="R1">
        <v>18</v>
      </c>
      <c r="S1">
        <v>9</v>
      </c>
      <c r="T1">
        <v>22</v>
      </c>
      <c r="U1">
        <v>10</v>
      </c>
      <c r="V1">
        <v>20</v>
      </c>
      <c r="W1">
        <v>11</v>
      </c>
      <c r="X1">
        <v>15</v>
      </c>
      <c r="Y1">
        <v>12</v>
      </c>
      <c r="Z1">
        <v>22</v>
      </c>
    </row>
    <row r="2" spans="1:26" x14ac:dyDescent="0.25">
      <c r="A2" cm="1">
        <f t="array" ref="A2">INDEX($1:$1,ROW($A$1),C2)</f>
        <v>1</v>
      </c>
      <c r="B2" cm="1">
        <f t="array" ref="B2">INDEX($1:$1,ROW($A$1),D2)</f>
        <v>17</v>
      </c>
      <c r="C2">
        <v>3</v>
      </c>
      <c r="D2">
        <v>4</v>
      </c>
      <c r="E2">
        <v>5</v>
      </c>
      <c r="F2">
        <v>6</v>
      </c>
      <c r="G2">
        <v>7</v>
      </c>
      <c r="H2">
        <v>8</v>
      </c>
      <c r="I2">
        <v>9</v>
      </c>
      <c r="J2">
        <v>10</v>
      </c>
      <c r="K2">
        <v>11</v>
      </c>
      <c r="L2">
        <v>12</v>
      </c>
      <c r="M2">
        <v>13</v>
      </c>
      <c r="N2">
        <v>14</v>
      </c>
      <c r="O2">
        <v>15</v>
      </c>
      <c r="P2">
        <v>16</v>
      </c>
      <c r="Q2">
        <v>17</v>
      </c>
      <c r="R2">
        <v>18</v>
      </c>
      <c r="S2">
        <v>19</v>
      </c>
      <c r="T2">
        <v>20</v>
      </c>
      <c r="U2">
        <v>21</v>
      </c>
      <c r="V2">
        <v>22</v>
      </c>
      <c r="W2">
        <v>23</v>
      </c>
      <c r="X2">
        <v>24</v>
      </c>
      <c r="Y2">
        <v>25</v>
      </c>
      <c r="Z2">
        <v>26</v>
      </c>
    </row>
    <row r="3" spans="1:26" x14ac:dyDescent="0.25">
      <c r="A3" cm="1">
        <f t="array" ref="A3">INDEX($1:$1,ROW($A$1),C3)</f>
        <v>2</v>
      </c>
      <c r="B3" cm="1">
        <f t="array" ref="B3">INDEX($1:$1,ROW($A$1),D3)</f>
        <v>21</v>
      </c>
      <c r="C3">
        <f>C2+2</f>
        <v>5</v>
      </c>
      <c r="D3">
        <f>D2+2</f>
        <v>6</v>
      </c>
    </row>
    <row r="4" spans="1:26" x14ac:dyDescent="0.25">
      <c r="A4" cm="1">
        <f t="array" ref="A4">INDEX($1:$1,ROW($A$1),C4)</f>
        <v>3</v>
      </c>
      <c r="B4" cm="1">
        <f t="array" ref="B4">INDEX($1:$1,ROW($A$1),D4)</f>
        <v>19</v>
      </c>
      <c r="C4">
        <f t="shared" ref="C4:C16" si="0">C3+2</f>
        <v>7</v>
      </c>
      <c r="D4">
        <f t="shared" ref="D4:D16" si="1">D3+2</f>
        <v>8</v>
      </c>
    </row>
    <row r="5" spans="1:26" x14ac:dyDescent="0.25">
      <c r="A5" cm="1">
        <f t="array" ref="A5">INDEX($1:$1,ROW($A$1),C5)</f>
        <v>4</v>
      </c>
      <c r="B5" cm="1">
        <f t="array" ref="B5">INDEX($1:$1,ROW($A$1),D5)</f>
        <v>23</v>
      </c>
      <c r="C5">
        <f t="shared" si="0"/>
        <v>9</v>
      </c>
      <c r="D5">
        <f t="shared" si="1"/>
        <v>10</v>
      </c>
    </row>
    <row r="6" spans="1:26" x14ac:dyDescent="0.25">
      <c r="A6" cm="1">
        <f t="array" ref="A6">INDEX($1:$1,ROW($A$1),C6)</f>
        <v>5</v>
      </c>
      <c r="B6" cm="1">
        <f t="array" ref="B6">INDEX($1:$1,ROW($A$1),D6)</f>
        <v>18</v>
      </c>
      <c r="C6">
        <f t="shared" si="0"/>
        <v>11</v>
      </c>
      <c r="D6">
        <f t="shared" si="1"/>
        <v>12</v>
      </c>
    </row>
    <row r="7" spans="1:26" x14ac:dyDescent="0.25">
      <c r="A7" cm="1">
        <f t="array" ref="A7">INDEX($1:$1,ROW($A$1),C7)</f>
        <v>6</v>
      </c>
      <c r="B7" cm="1">
        <f t="array" ref="B7">INDEX($1:$1,ROW($A$1),D7)</f>
        <v>16</v>
      </c>
      <c r="C7">
        <f t="shared" si="0"/>
        <v>13</v>
      </c>
      <c r="D7">
        <f t="shared" si="1"/>
        <v>14</v>
      </c>
    </row>
    <row r="8" spans="1:26" x14ac:dyDescent="0.25">
      <c r="A8" cm="1">
        <f t="array" ref="A8">INDEX($1:$1,ROW($A$1),C8)</f>
        <v>7</v>
      </c>
      <c r="B8" cm="1">
        <f t="array" ref="B8">INDEX($1:$1,ROW($A$1),D8)</f>
        <v>20</v>
      </c>
      <c r="C8">
        <f t="shared" si="0"/>
        <v>15</v>
      </c>
      <c r="D8">
        <f t="shared" si="1"/>
        <v>16</v>
      </c>
    </row>
    <row r="9" spans="1:26" x14ac:dyDescent="0.25">
      <c r="A9" cm="1">
        <f t="array" ref="A9">INDEX($1:$1,ROW($A$1),C9)</f>
        <v>8</v>
      </c>
      <c r="B9" cm="1">
        <f t="array" ref="B9">INDEX($1:$1,ROW($A$1),D9)</f>
        <v>18</v>
      </c>
      <c r="C9">
        <f t="shared" si="0"/>
        <v>17</v>
      </c>
      <c r="D9">
        <f t="shared" si="1"/>
        <v>18</v>
      </c>
    </row>
    <row r="10" spans="1:26" x14ac:dyDescent="0.25">
      <c r="A10" cm="1">
        <f t="array" ref="A10">INDEX($1:$1,ROW($A$1),C10)</f>
        <v>9</v>
      </c>
      <c r="B10" cm="1">
        <f t="array" ref="B10">INDEX($1:$1,ROW($A$1),D10)</f>
        <v>22</v>
      </c>
      <c r="C10">
        <f t="shared" si="0"/>
        <v>19</v>
      </c>
      <c r="D10">
        <f t="shared" si="1"/>
        <v>20</v>
      </c>
    </row>
    <row r="11" spans="1:26" x14ac:dyDescent="0.25">
      <c r="A11" cm="1">
        <f t="array" ref="A11">INDEX($1:$1,ROW($A$1),C11)</f>
        <v>10</v>
      </c>
      <c r="B11" cm="1">
        <f t="array" ref="B11">INDEX($1:$1,ROW($A$1),D11)</f>
        <v>20</v>
      </c>
      <c r="C11">
        <f t="shared" si="0"/>
        <v>21</v>
      </c>
      <c r="D11">
        <f t="shared" si="1"/>
        <v>22</v>
      </c>
    </row>
    <row r="12" spans="1:26" x14ac:dyDescent="0.25">
      <c r="A12" cm="1">
        <f t="array" ref="A12">INDEX($1:$1,ROW($A$1),C12)</f>
        <v>11</v>
      </c>
      <c r="B12" cm="1">
        <f t="array" ref="B12">INDEX($1:$1,ROW($A$1),D12)</f>
        <v>15</v>
      </c>
      <c r="C12">
        <f t="shared" si="0"/>
        <v>23</v>
      </c>
      <c r="D12">
        <f t="shared" si="1"/>
        <v>24</v>
      </c>
    </row>
    <row r="13" spans="1:26" x14ac:dyDescent="0.25">
      <c r="A13" cm="1">
        <f t="array" ref="A13">INDEX($1:$1,ROW($A$1),C13)</f>
        <v>12</v>
      </c>
      <c r="B13" cm="1">
        <f t="array" ref="B13">INDEX($1:$1,ROW($A$1),D13)</f>
        <v>22</v>
      </c>
      <c r="C13">
        <f t="shared" si="0"/>
        <v>25</v>
      </c>
      <c r="D13">
        <f t="shared" si="1"/>
        <v>26</v>
      </c>
    </row>
    <row r="14" spans="1:26" x14ac:dyDescent="0.25">
      <c r="C14">
        <f t="shared" si="0"/>
        <v>27</v>
      </c>
      <c r="D14">
        <f t="shared" si="1"/>
        <v>28</v>
      </c>
    </row>
    <row r="15" spans="1:26" x14ac:dyDescent="0.25">
      <c r="C15">
        <f t="shared" si="0"/>
        <v>29</v>
      </c>
      <c r="D15">
        <f t="shared" si="1"/>
        <v>30</v>
      </c>
    </row>
    <row r="16" spans="1:26" x14ac:dyDescent="0.25">
      <c r="C16">
        <f t="shared" si="0"/>
        <v>31</v>
      </c>
      <c r="D16">
        <f t="shared" si="1"/>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0B48-0B41-4C37-8F9E-130CCE387A45}">
  <dimension ref="A1:B13"/>
  <sheetViews>
    <sheetView workbookViewId="0">
      <selection activeCell="C14" sqref="C14"/>
    </sheetView>
  </sheetViews>
  <sheetFormatPr defaultRowHeight="15" x14ac:dyDescent="0.25"/>
  <sheetData>
    <row r="1" spans="1:2" x14ac:dyDescent="0.25">
      <c r="A1" t="s">
        <v>0</v>
      </c>
      <c r="B1" t="s">
        <v>1</v>
      </c>
    </row>
    <row r="2" spans="1:2" x14ac:dyDescent="0.25">
      <c r="A2">
        <v>1</v>
      </c>
      <c r="B2">
        <v>17</v>
      </c>
    </row>
    <row r="3" spans="1:2" x14ac:dyDescent="0.25">
      <c r="A3">
        <v>2</v>
      </c>
      <c r="B3">
        <v>21</v>
      </c>
    </row>
    <row r="4" spans="1:2" x14ac:dyDescent="0.25">
      <c r="A4">
        <v>3</v>
      </c>
      <c r="B4">
        <v>19</v>
      </c>
    </row>
    <row r="5" spans="1:2" x14ac:dyDescent="0.25">
      <c r="A5">
        <v>4</v>
      </c>
      <c r="B5">
        <v>23</v>
      </c>
    </row>
    <row r="6" spans="1:2" x14ac:dyDescent="0.25">
      <c r="A6">
        <v>5</v>
      </c>
      <c r="B6">
        <v>18</v>
      </c>
    </row>
    <row r="7" spans="1:2" x14ac:dyDescent="0.25">
      <c r="A7">
        <v>6</v>
      </c>
      <c r="B7">
        <v>16</v>
      </c>
    </row>
    <row r="8" spans="1:2" x14ac:dyDescent="0.25">
      <c r="A8">
        <v>7</v>
      </c>
      <c r="B8">
        <v>20</v>
      </c>
    </row>
    <row r="9" spans="1:2" x14ac:dyDescent="0.25">
      <c r="A9">
        <v>8</v>
      </c>
      <c r="B9">
        <v>18</v>
      </c>
    </row>
    <row r="10" spans="1:2" x14ac:dyDescent="0.25">
      <c r="A10">
        <v>9</v>
      </c>
      <c r="B10">
        <v>22</v>
      </c>
    </row>
    <row r="11" spans="1:2" x14ac:dyDescent="0.25">
      <c r="A11">
        <v>10</v>
      </c>
      <c r="B11">
        <v>20</v>
      </c>
    </row>
    <row r="12" spans="1:2" x14ac:dyDescent="0.25">
      <c r="A12">
        <v>11</v>
      </c>
      <c r="B12">
        <v>15</v>
      </c>
    </row>
    <row r="13" spans="1:2" x14ac:dyDescent="0.25">
      <c r="A13">
        <v>12</v>
      </c>
      <c r="B13">
        <v>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F2432-4D17-4C7B-BD2C-0A61856A4243}">
  <dimension ref="A1:AA15"/>
  <sheetViews>
    <sheetView zoomScale="85" zoomScaleNormal="85" workbookViewId="0">
      <selection activeCell="Z5" sqref="Z5"/>
    </sheetView>
  </sheetViews>
  <sheetFormatPr defaultRowHeight="15" x14ac:dyDescent="0.25"/>
  <cols>
    <col min="2" max="2" width="9.85546875" customWidth="1"/>
    <col min="3" max="3" width="8.85546875" bestFit="1" customWidth="1"/>
    <col min="5" max="5" width="8.85546875" bestFit="1" customWidth="1"/>
    <col min="6" max="6" width="13.42578125" customWidth="1"/>
    <col min="8" max="8" width="13.140625" customWidth="1"/>
    <col min="9" max="9" width="16" customWidth="1"/>
    <col min="11" max="11" width="13.5703125" bestFit="1" customWidth="1"/>
    <col min="12" max="12" width="9.5703125" bestFit="1" customWidth="1"/>
    <col min="13" max="13" width="16.7109375" bestFit="1" customWidth="1"/>
    <col min="18" max="18" width="15.140625" bestFit="1" customWidth="1"/>
    <col min="20" max="20" width="10" customWidth="1"/>
    <col min="21" max="21" width="12.5703125" customWidth="1"/>
    <col min="23" max="23" width="11" customWidth="1"/>
    <col min="26" max="26" width="10" customWidth="1"/>
  </cols>
  <sheetData>
    <row r="1" spans="1:27" ht="45" customHeight="1" x14ac:dyDescent="0.25">
      <c r="A1" t="s">
        <v>0</v>
      </c>
      <c r="B1" s="2" t="s">
        <v>119</v>
      </c>
      <c r="C1" s="2" t="s">
        <v>7</v>
      </c>
      <c r="E1" s="2" t="s">
        <v>8</v>
      </c>
      <c r="F1" s="2" t="s">
        <v>10</v>
      </c>
      <c r="G1" s="2" t="s">
        <v>11</v>
      </c>
      <c r="H1" s="2" t="s">
        <v>12</v>
      </c>
      <c r="I1" s="2" t="s">
        <v>13</v>
      </c>
      <c r="T1" s="2" t="s">
        <v>137</v>
      </c>
      <c r="U1" s="2" t="s">
        <v>138</v>
      </c>
    </row>
    <row r="2" spans="1:27" ht="45" x14ac:dyDescent="0.25">
      <c r="A2">
        <v>1</v>
      </c>
      <c r="B2">
        <v>17</v>
      </c>
      <c r="K2" s="2" t="s">
        <v>117</v>
      </c>
      <c r="L2" s="4">
        <f>AVERAGE(E3:E13)</f>
        <v>0.45454545454545453</v>
      </c>
      <c r="R2" t="s">
        <v>136</v>
      </c>
      <c r="S2">
        <f>AVERAGE(B2:B13)</f>
        <v>19.25</v>
      </c>
      <c r="T2">
        <f>B2-$S$2</f>
        <v>-2.25</v>
      </c>
      <c r="U2">
        <f>T2^2</f>
        <v>5.0625</v>
      </c>
      <c r="Z2" t="s">
        <v>134</v>
      </c>
      <c r="AA2">
        <f>SUM(U2:U13)</f>
        <v>70.25</v>
      </c>
    </row>
    <row r="3" spans="1:27" ht="45" x14ac:dyDescent="0.25">
      <c r="A3">
        <v>2</v>
      </c>
      <c r="B3">
        <v>21</v>
      </c>
      <c r="C3">
        <f>B2</f>
        <v>17</v>
      </c>
      <c r="E3">
        <f>B3-C3</f>
        <v>4</v>
      </c>
      <c r="F3">
        <f>ABS(E3)</f>
        <v>4</v>
      </c>
      <c r="G3">
        <f>E3^2</f>
        <v>16</v>
      </c>
      <c r="H3" s="3">
        <f>E3/B3</f>
        <v>0.19047619047619047</v>
      </c>
      <c r="I3" s="3">
        <f>ABS(H3)</f>
        <v>0.19047619047619047</v>
      </c>
      <c r="K3" s="2" t="s">
        <v>114</v>
      </c>
      <c r="L3" s="4">
        <f>AVERAGE(F3:F13)</f>
        <v>3.7272727272727271</v>
      </c>
      <c r="M3" s="6"/>
      <c r="T3">
        <f t="shared" ref="T3:T13" si="0">B3-$S$2</f>
        <v>1.75</v>
      </c>
      <c r="U3">
        <f>T3^2</f>
        <v>3.0625</v>
      </c>
      <c r="Z3" t="s">
        <v>135</v>
      </c>
      <c r="AA3">
        <f>G15</f>
        <v>179</v>
      </c>
    </row>
    <row r="4" spans="1:27" ht="30" x14ac:dyDescent="0.25">
      <c r="A4">
        <v>3</v>
      </c>
      <c r="B4">
        <v>19</v>
      </c>
      <c r="C4">
        <f t="shared" ref="C4:C13" si="1">B3</f>
        <v>21</v>
      </c>
      <c r="E4">
        <f t="shared" ref="E4:E13" si="2">B4-C4</f>
        <v>-2</v>
      </c>
      <c r="F4">
        <f t="shared" ref="F4:F13" si="3">ABS(E4)</f>
        <v>2</v>
      </c>
      <c r="G4">
        <f>E4^2</f>
        <v>4</v>
      </c>
      <c r="H4" s="3">
        <f t="shared" ref="H4:H13" si="4">E4/B4</f>
        <v>-0.10526315789473684</v>
      </c>
      <c r="I4" s="3">
        <f t="shared" ref="I4:I13" si="5">ABS(H4)</f>
        <v>0.10526315789473684</v>
      </c>
      <c r="K4" s="2" t="s">
        <v>115</v>
      </c>
      <c r="L4" s="4">
        <f>AVERAGE(G3:G13)</f>
        <v>16.272727272727273</v>
      </c>
      <c r="T4">
        <f t="shared" si="0"/>
        <v>-0.25</v>
      </c>
      <c r="U4">
        <f t="shared" ref="U4:U13" si="6">T4^2</f>
        <v>6.25E-2</v>
      </c>
      <c r="W4" s="53" t="s">
        <v>141</v>
      </c>
      <c r="X4">
        <v>0</v>
      </c>
      <c r="Z4" t="s">
        <v>43</v>
      </c>
      <c r="AA4">
        <f>1-(AA3/AA2)</f>
        <v>-1.5480427046263343</v>
      </c>
    </row>
    <row r="5" spans="1:27" ht="60" x14ac:dyDescent="0.25">
      <c r="A5">
        <v>4</v>
      </c>
      <c r="B5">
        <v>23</v>
      </c>
      <c r="C5">
        <f t="shared" si="1"/>
        <v>19</v>
      </c>
      <c r="E5">
        <f t="shared" si="2"/>
        <v>4</v>
      </c>
      <c r="F5">
        <f t="shared" si="3"/>
        <v>4</v>
      </c>
      <c r="G5">
        <f t="shared" ref="G5:G13" si="7">E5^2</f>
        <v>16</v>
      </c>
      <c r="H5" s="3">
        <f t="shared" si="4"/>
        <v>0.17391304347826086</v>
      </c>
      <c r="I5" s="3">
        <f t="shared" si="5"/>
        <v>0.17391304347826086</v>
      </c>
      <c r="K5" s="2" t="s">
        <v>116</v>
      </c>
      <c r="L5" s="5">
        <f>AVERAGE(I3:I13)</f>
        <v>0.19244314673376461</v>
      </c>
      <c r="T5">
        <f>B5-$S$2</f>
        <v>3.75</v>
      </c>
      <c r="U5">
        <f>T5^2</f>
        <v>14.0625</v>
      </c>
      <c r="W5" s="54" t="s">
        <v>140</v>
      </c>
      <c r="X5">
        <f>COUNTA(B2:B13)</f>
        <v>12</v>
      </c>
      <c r="Z5" s="2" t="s">
        <v>139</v>
      </c>
      <c r="AA5">
        <f>1-(1-AA4)*(X5-1)/(X5-X4-1)</f>
        <v>-1.5480427046263343</v>
      </c>
    </row>
    <row r="6" spans="1:27" x14ac:dyDescent="0.25">
      <c r="A6">
        <v>5</v>
      </c>
      <c r="B6">
        <v>18</v>
      </c>
      <c r="C6">
        <f t="shared" si="1"/>
        <v>23</v>
      </c>
      <c r="E6">
        <f t="shared" si="2"/>
        <v>-5</v>
      </c>
      <c r="F6">
        <f t="shared" si="3"/>
        <v>5</v>
      </c>
      <c r="G6">
        <f t="shared" si="7"/>
        <v>25</v>
      </c>
      <c r="H6" s="3">
        <f t="shared" si="4"/>
        <v>-0.27777777777777779</v>
      </c>
      <c r="I6" s="3">
        <f t="shared" si="5"/>
        <v>0.27777777777777779</v>
      </c>
      <c r="T6">
        <f t="shared" si="0"/>
        <v>-1.25</v>
      </c>
      <c r="U6">
        <f t="shared" si="6"/>
        <v>1.5625</v>
      </c>
    </row>
    <row r="7" spans="1:27" x14ac:dyDescent="0.25">
      <c r="A7">
        <v>6</v>
      </c>
      <c r="B7">
        <v>16</v>
      </c>
      <c r="C7">
        <f t="shared" si="1"/>
        <v>18</v>
      </c>
      <c r="E7">
        <f t="shared" si="2"/>
        <v>-2</v>
      </c>
      <c r="F7">
        <f t="shared" si="3"/>
        <v>2</v>
      </c>
      <c r="G7">
        <f t="shared" si="7"/>
        <v>4</v>
      </c>
      <c r="H7" s="3">
        <f t="shared" si="4"/>
        <v>-0.125</v>
      </c>
      <c r="I7" s="3">
        <f t="shared" si="5"/>
        <v>0.125</v>
      </c>
      <c r="T7">
        <f t="shared" si="0"/>
        <v>-3.25</v>
      </c>
      <c r="U7">
        <f t="shared" si="6"/>
        <v>10.5625</v>
      </c>
    </row>
    <row r="8" spans="1:27" x14ac:dyDescent="0.25">
      <c r="A8">
        <v>7</v>
      </c>
      <c r="B8">
        <v>20</v>
      </c>
      <c r="C8">
        <f t="shared" si="1"/>
        <v>16</v>
      </c>
      <c r="E8">
        <f t="shared" si="2"/>
        <v>4</v>
      </c>
      <c r="F8">
        <f t="shared" si="3"/>
        <v>4</v>
      </c>
      <c r="G8">
        <f t="shared" si="7"/>
        <v>16</v>
      </c>
      <c r="H8" s="3">
        <f t="shared" si="4"/>
        <v>0.2</v>
      </c>
      <c r="I8" s="3">
        <f t="shared" si="5"/>
        <v>0.2</v>
      </c>
      <c r="T8">
        <f t="shared" si="0"/>
        <v>0.75</v>
      </c>
      <c r="U8">
        <f t="shared" si="6"/>
        <v>0.5625</v>
      </c>
    </row>
    <row r="9" spans="1:27" x14ac:dyDescent="0.25">
      <c r="A9">
        <v>8</v>
      </c>
      <c r="B9">
        <v>18</v>
      </c>
      <c r="C9">
        <f t="shared" si="1"/>
        <v>20</v>
      </c>
      <c r="E9">
        <f t="shared" si="2"/>
        <v>-2</v>
      </c>
      <c r="F9">
        <f t="shared" si="3"/>
        <v>2</v>
      </c>
      <c r="G9">
        <f t="shared" si="7"/>
        <v>4</v>
      </c>
      <c r="H9" s="3">
        <f t="shared" si="4"/>
        <v>-0.1111111111111111</v>
      </c>
      <c r="I9" s="3">
        <f t="shared" si="5"/>
        <v>0.1111111111111111</v>
      </c>
      <c r="T9">
        <f t="shared" si="0"/>
        <v>-1.25</v>
      </c>
      <c r="U9">
        <f t="shared" si="6"/>
        <v>1.5625</v>
      </c>
    </row>
    <row r="10" spans="1:27" x14ac:dyDescent="0.25">
      <c r="A10">
        <v>9</v>
      </c>
      <c r="B10">
        <v>22</v>
      </c>
      <c r="C10">
        <f t="shared" si="1"/>
        <v>18</v>
      </c>
      <c r="E10">
        <f t="shared" si="2"/>
        <v>4</v>
      </c>
      <c r="F10">
        <f t="shared" si="3"/>
        <v>4</v>
      </c>
      <c r="G10">
        <f t="shared" si="7"/>
        <v>16</v>
      </c>
      <c r="H10" s="3">
        <f t="shared" si="4"/>
        <v>0.18181818181818182</v>
      </c>
      <c r="I10" s="3">
        <f t="shared" si="5"/>
        <v>0.18181818181818182</v>
      </c>
      <c r="T10">
        <f t="shared" si="0"/>
        <v>2.75</v>
      </c>
      <c r="U10">
        <f t="shared" si="6"/>
        <v>7.5625</v>
      </c>
    </row>
    <row r="11" spans="1:27" x14ac:dyDescent="0.25">
      <c r="A11">
        <v>10</v>
      </c>
      <c r="B11">
        <v>20</v>
      </c>
      <c r="C11">
        <f t="shared" si="1"/>
        <v>22</v>
      </c>
      <c r="E11">
        <f t="shared" si="2"/>
        <v>-2</v>
      </c>
      <c r="F11">
        <f t="shared" si="3"/>
        <v>2</v>
      </c>
      <c r="G11">
        <f t="shared" si="7"/>
        <v>4</v>
      </c>
      <c r="H11" s="3">
        <f t="shared" si="4"/>
        <v>-0.1</v>
      </c>
      <c r="I11" s="3">
        <f t="shared" si="5"/>
        <v>0.1</v>
      </c>
      <c r="T11">
        <f t="shared" si="0"/>
        <v>0.75</v>
      </c>
      <c r="U11">
        <f t="shared" si="6"/>
        <v>0.5625</v>
      </c>
    </row>
    <row r="12" spans="1:27" x14ac:dyDescent="0.25">
      <c r="A12">
        <v>11</v>
      </c>
      <c r="B12">
        <v>15</v>
      </c>
      <c r="C12">
        <f>B11</f>
        <v>20</v>
      </c>
      <c r="E12">
        <f t="shared" si="2"/>
        <v>-5</v>
      </c>
      <c r="F12">
        <f t="shared" si="3"/>
        <v>5</v>
      </c>
      <c r="G12">
        <f t="shared" si="7"/>
        <v>25</v>
      </c>
      <c r="H12" s="3">
        <f t="shared" si="4"/>
        <v>-0.33333333333333331</v>
      </c>
      <c r="I12" s="3">
        <f t="shared" si="5"/>
        <v>0.33333333333333331</v>
      </c>
      <c r="T12">
        <f t="shared" si="0"/>
        <v>-4.25</v>
      </c>
      <c r="U12">
        <f t="shared" si="6"/>
        <v>18.0625</v>
      </c>
    </row>
    <row r="13" spans="1:27" x14ac:dyDescent="0.25">
      <c r="A13">
        <v>12</v>
      </c>
      <c r="B13">
        <v>22</v>
      </c>
      <c r="C13">
        <f t="shared" si="1"/>
        <v>15</v>
      </c>
      <c r="E13">
        <f t="shared" si="2"/>
        <v>7</v>
      </c>
      <c r="F13">
        <f t="shared" si="3"/>
        <v>7</v>
      </c>
      <c r="G13">
        <f t="shared" si="7"/>
        <v>49</v>
      </c>
      <c r="H13" s="3">
        <f t="shared" si="4"/>
        <v>0.31818181818181818</v>
      </c>
      <c r="I13" s="3">
        <f t="shared" si="5"/>
        <v>0.31818181818181818</v>
      </c>
      <c r="T13">
        <f t="shared" si="0"/>
        <v>2.75</v>
      </c>
      <c r="U13">
        <f t="shared" si="6"/>
        <v>7.5625</v>
      </c>
    </row>
    <row r="14" spans="1:27" x14ac:dyDescent="0.25">
      <c r="A14" t="s">
        <v>75</v>
      </c>
      <c r="H14" s="5"/>
      <c r="I14" s="5"/>
    </row>
    <row r="15" spans="1:27" x14ac:dyDescent="0.25">
      <c r="A15">
        <v>13</v>
      </c>
      <c r="C15">
        <f>B13</f>
        <v>22</v>
      </c>
      <c r="D15" t="s">
        <v>9</v>
      </c>
      <c r="E15">
        <f>SUM(E3:E13)</f>
        <v>5</v>
      </c>
      <c r="F15">
        <f>SUM(F3:F13)</f>
        <v>41</v>
      </c>
      <c r="G15">
        <f>SUM(G3:G13)</f>
        <v>179</v>
      </c>
      <c r="H15" s="3">
        <f>SUM(H3:H13)</f>
        <v>1.1903853837492318E-2</v>
      </c>
      <c r="I15" s="3">
        <f>SUM(I3:I13)</f>
        <v>2.1168746140714108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4D7F-A7C8-454E-B005-A2E0BBC15638}">
  <dimension ref="A1:U17"/>
  <sheetViews>
    <sheetView topLeftCell="B1" zoomScale="86" zoomScaleNormal="86" workbookViewId="0">
      <selection activeCell="T8" sqref="T8"/>
    </sheetView>
  </sheetViews>
  <sheetFormatPr defaultRowHeight="15" x14ac:dyDescent="0.25"/>
  <cols>
    <col min="2" max="2" width="14.7109375" customWidth="1"/>
    <col min="3" max="3" width="15.42578125" customWidth="1"/>
    <col min="8" max="8" width="16.28515625" bestFit="1" customWidth="1"/>
    <col min="9" max="9" width="9.5703125" bestFit="1" customWidth="1"/>
    <col min="17" max="17" width="14.85546875" customWidth="1"/>
  </cols>
  <sheetData>
    <row r="1" spans="1:21" ht="60" x14ac:dyDescent="0.25">
      <c r="A1" t="s">
        <v>0</v>
      </c>
      <c r="B1" t="s">
        <v>1</v>
      </c>
      <c r="C1" s="2" t="s">
        <v>18</v>
      </c>
      <c r="E1" s="2" t="s">
        <v>8</v>
      </c>
      <c r="F1" s="2" t="s">
        <v>10</v>
      </c>
      <c r="G1" s="2" t="s">
        <v>11</v>
      </c>
      <c r="H1" s="2" t="s">
        <v>12</v>
      </c>
      <c r="I1" s="2" t="s">
        <v>13</v>
      </c>
      <c r="Q1" s="2" t="s">
        <v>137</v>
      </c>
      <c r="R1" s="2" t="s">
        <v>138</v>
      </c>
    </row>
    <row r="2" spans="1:21" ht="45" x14ac:dyDescent="0.25">
      <c r="A2">
        <v>1</v>
      </c>
      <c r="B2">
        <v>17</v>
      </c>
      <c r="K2" s="2" t="s">
        <v>15</v>
      </c>
      <c r="L2" s="4">
        <f>AVERAGE(E3:E13)</f>
        <v>0.41125541125541143</v>
      </c>
      <c r="O2" s="2" t="s">
        <v>136</v>
      </c>
      <c r="P2">
        <f>AVERAGE(B2:B13)</f>
        <v>19.25</v>
      </c>
      <c r="Q2">
        <f>B2-$P$2</f>
        <v>-2.25</v>
      </c>
      <c r="R2">
        <f>Q2^2</f>
        <v>5.0625</v>
      </c>
      <c r="T2" t="s">
        <v>134</v>
      </c>
      <c r="U2">
        <f>SUM(R2:R13)</f>
        <v>70.25</v>
      </c>
    </row>
    <row r="3" spans="1:21" x14ac:dyDescent="0.25">
      <c r="A3">
        <v>2</v>
      </c>
      <c r="B3">
        <v>21</v>
      </c>
      <c r="C3" s="4">
        <v>17</v>
      </c>
      <c r="D3" s="4"/>
      <c r="E3" s="4">
        <f>B3-C3</f>
        <v>4</v>
      </c>
      <c r="F3" s="4">
        <f>ABS(E3)</f>
        <v>4</v>
      </c>
      <c r="G3" s="4">
        <f>E3^2</f>
        <v>16</v>
      </c>
      <c r="H3" s="39">
        <f>(E3/B3)</f>
        <v>0.19047619047619047</v>
      </c>
      <c r="I3" s="39">
        <f>ABS(H3)</f>
        <v>0.19047619047619047</v>
      </c>
      <c r="K3" t="s">
        <v>14</v>
      </c>
      <c r="L3" s="4">
        <f>AVERAGE(F3:F13)</f>
        <v>2.4372294372294374</v>
      </c>
      <c r="Q3">
        <f t="shared" ref="Q3:Q13" si="0">B3-$P$2</f>
        <v>1.75</v>
      </c>
      <c r="R3">
        <f>Q3^2</f>
        <v>3.0625</v>
      </c>
      <c r="T3" t="s">
        <v>135</v>
      </c>
      <c r="U3">
        <f>G15</f>
        <v>89.070566893424029</v>
      </c>
    </row>
    <row r="4" spans="1:21" x14ac:dyDescent="0.25">
      <c r="A4">
        <v>3</v>
      </c>
      <c r="B4">
        <v>19</v>
      </c>
      <c r="C4" s="4">
        <f>AVERAGE(B2:B3)</f>
        <v>19</v>
      </c>
      <c r="D4" s="4"/>
      <c r="E4" s="4">
        <f>B4-C4</f>
        <v>0</v>
      </c>
      <c r="F4" s="4">
        <f t="shared" ref="F4:F13" si="1">ABS(E4)</f>
        <v>0</v>
      </c>
      <c r="G4" s="4">
        <f t="shared" ref="G4:G13" si="2">E4^2</f>
        <v>0</v>
      </c>
      <c r="H4" s="39">
        <f t="shared" ref="H4:H13" si="3">(E4/B4)</f>
        <v>0</v>
      </c>
      <c r="I4" s="39">
        <f t="shared" ref="I4:I13" si="4">ABS(H4)</f>
        <v>0</v>
      </c>
      <c r="K4" t="s">
        <v>16</v>
      </c>
      <c r="L4" s="4">
        <f>AVERAGE(G3:G13)</f>
        <v>8.0973242630385478</v>
      </c>
      <c r="Q4">
        <f t="shared" si="0"/>
        <v>-0.25</v>
      </c>
      <c r="R4">
        <f t="shared" ref="R4:R13" si="5">Q4^2</f>
        <v>6.25E-2</v>
      </c>
      <c r="T4" t="s">
        <v>43</v>
      </c>
      <c r="U4">
        <f>1-(U3/U2)</f>
        <v>-0.26790842552916772</v>
      </c>
    </row>
    <row r="5" spans="1:21" x14ac:dyDescent="0.25">
      <c r="A5">
        <v>4</v>
      </c>
      <c r="B5">
        <v>23</v>
      </c>
      <c r="C5" s="4">
        <f>AVERAGE(B2:B4)</f>
        <v>19</v>
      </c>
      <c r="D5" s="4"/>
      <c r="E5" s="4">
        <f t="shared" ref="E5:E13" si="6">B5-C5</f>
        <v>4</v>
      </c>
      <c r="F5" s="4">
        <f t="shared" si="1"/>
        <v>4</v>
      </c>
      <c r="G5" s="4">
        <f t="shared" si="2"/>
        <v>16</v>
      </c>
      <c r="H5" s="39">
        <f t="shared" si="3"/>
        <v>0.17391304347826086</v>
      </c>
      <c r="I5" s="39">
        <f t="shared" si="4"/>
        <v>0.17391304347826086</v>
      </c>
      <c r="K5" t="s">
        <v>17</v>
      </c>
      <c r="L5" s="5">
        <f>AVERAGE(I3:I13)</f>
        <v>0.12848966799559686</v>
      </c>
      <c r="Q5">
        <f t="shared" si="0"/>
        <v>3.75</v>
      </c>
      <c r="R5">
        <f>Q5^2</f>
        <v>14.0625</v>
      </c>
    </row>
    <row r="6" spans="1:21" x14ac:dyDescent="0.25">
      <c r="A6">
        <v>5</v>
      </c>
      <c r="B6">
        <v>18</v>
      </c>
      <c r="C6" s="4">
        <f>AVERAGE(B2:B5)</f>
        <v>20</v>
      </c>
      <c r="D6" s="4"/>
      <c r="E6" s="4">
        <f t="shared" si="6"/>
        <v>-2</v>
      </c>
      <c r="F6" s="4">
        <f t="shared" si="1"/>
        <v>2</v>
      </c>
      <c r="G6" s="4">
        <f t="shared" si="2"/>
        <v>4</v>
      </c>
      <c r="H6" s="39">
        <f t="shared" si="3"/>
        <v>-0.1111111111111111</v>
      </c>
      <c r="I6" s="39">
        <f t="shared" si="4"/>
        <v>0.1111111111111111</v>
      </c>
      <c r="Q6">
        <f t="shared" si="0"/>
        <v>-1.25</v>
      </c>
      <c r="R6">
        <f t="shared" si="5"/>
        <v>1.5625</v>
      </c>
    </row>
    <row r="7" spans="1:21" x14ac:dyDescent="0.25">
      <c r="A7">
        <v>6</v>
      </c>
      <c r="B7">
        <v>16</v>
      </c>
      <c r="C7" s="4">
        <f>AVERAGE(B2:B6)</f>
        <v>19.600000000000001</v>
      </c>
      <c r="D7" s="4"/>
      <c r="E7" s="4">
        <f t="shared" si="6"/>
        <v>-3.6000000000000014</v>
      </c>
      <c r="F7" s="4">
        <f t="shared" si="1"/>
        <v>3.6000000000000014</v>
      </c>
      <c r="G7" s="4">
        <f t="shared" si="2"/>
        <v>12.96000000000001</v>
      </c>
      <c r="H7" s="39">
        <f t="shared" si="3"/>
        <v>-0.22500000000000009</v>
      </c>
      <c r="I7" s="39">
        <f t="shared" si="4"/>
        <v>0.22500000000000009</v>
      </c>
      <c r="Q7">
        <f t="shared" si="0"/>
        <v>-3.25</v>
      </c>
      <c r="R7">
        <f t="shared" si="5"/>
        <v>10.5625</v>
      </c>
    </row>
    <row r="8" spans="1:21" x14ac:dyDescent="0.25">
      <c r="A8">
        <v>7</v>
      </c>
      <c r="B8">
        <v>20</v>
      </c>
      <c r="C8" s="4">
        <f>AVERAGE(B2:B7)</f>
        <v>19</v>
      </c>
      <c r="D8" s="4"/>
      <c r="E8" s="4">
        <f t="shared" si="6"/>
        <v>1</v>
      </c>
      <c r="F8" s="4">
        <f t="shared" si="1"/>
        <v>1</v>
      </c>
      <c r="G8" s="4">
        <f t="shared" si="2"/>
        <v>1</v>
      </c>
      <c r="H8" s="39">
        <f t="shared" si="3"/>
        <v>0.05</v>
      </c>
      <c r="I8" s="39">
        <f t="shared" si="4"/>
        <v>0.05</v>
      </c>
      <c r="Q8">
        <f t="shared" si="0"/>
        <v>0.75</v>
      </c>
      <c r="R8">
        <f t="shared" si="5"/>
        <v>0.5625</v>
      </c>
    </row>
    <row r="9" spans="1:21" x14ac:dyDescent="0.25">
      <c r="A9">
        <v>8</v>
      </c>
      <c r="B9">
        <v>18</v>
      </c>
      <c r="C9" s="4">
        <f>AVERAGE(B2:B8)</f>
        <v>19.142857142857142</v>
      </c>
      <c r="D9" s="4"/>
      <c r="E9" s="4">
        <f t="shared" si="6"/>
        <v>-1.1428571428571423</v>
      </c>
      <c r="F9" s="4">
        <f t="shared" si="1"/>
        <v>1.1428571428571423</v>
      </c>
      <c r="G9" s="4">
        <f t="shared" si="2"/>
        <v>1.3061224489795906</v>
      </c>
      <c r="H9" s="39">
        <f t="shared" si="3"/>
        <v>-6.3492063492063461E-2</v>
      </c>
      <c r="I9" s="39">
        <f t="shared" si="4"/>
        <v>6.3492063492063461E-2</v>
      </c>
      <c r="Q9">
        <f t="shared" si="0"/>
        <v>-1.25</v>
      </c>
      <c r="R9">
        <f t="shared" si="5"/>
        <v>1.5625</v>
      </c>
    </row>
    <row r="10" spans="1:21" x14ac:dyDescent="0.25">
      <c r="A10">
        <v>9</v>
      </c>
      <c r="B10">
        <v>22</v>
      </c>
      <c r="C10" s="4">
        <f>AVERAGE(B2:B9)</f>
        <v>19</v>
      </c>
      <c r="D10" s="4"/>
      <c r="E10" s="4">
        <f t="shared" si="6"/>
        <v>3</v>
      </c>
      <c r="F10" s="4">
        <f t="shared" si="1"/>
        <v>3</v>
      </c>
      <c r="G10" s="4">
        <f t="shared" si="2"/>
        <v>9</v>
      </c>
      <c r="H10" s="39">
        <f t="shared" si="3"/>
        <v>0.13636363636363635</v>
      </c>
      <c r="I10" s="39">
        <f t="shared" si="4"/>
        <v>0.13636363636363635</v>
      </c>
      <c r="Q10">
        <f t="shared" si="0"/>
        <v>2.75</v>
      </c>
      <c r="R10">
        <f t="shared" si="5"/>
        <v>7.5625</v>
      </c>
    </row>
    <row r="11" spans="1:21" x14ac:dyDescent="0.25">
      <c r="A11">
        <v>10</v>
      </c>
      <c r="B11">
        <v>20</v>
      </c>
      <c r="C11" s="4">
        <f>AVERAGE(B2:B10)</f>
        <v>19.333333333333332</v>
      </c>
      <c r="D11" s="4"/>
      <c r="E11" s="4">
        <f t="shared" si="6"/>
        <v>0.66666666666666785</v>
      </c>
      <c r="F11" s="4">
        <f t="shared" si="1"/>
        <v>0.66666666666666785</v>
      </c>
      <c r="G11" s="4">
        <f t="shared" si="2"/>
        <v>0.44444444444444603</v>
      </c>
      <c r="H11" s="39">
        <f t="shared" si="3"/>
        <v>3.3333333333333395E-2</v>
      </c>
      <c r="I11" s="39">
        <f t="shared" si="4"/>
        <v>3.3333333333333395E-2</v>
      </c>
      <c r="Q11">
        <f t="shared" si="0"/>
        <v>0.75</v>
      </c>
      <c r="R11">
        <f t="shared" si="5"/>
        <v>0.5625</v>
      </c>
    </row>
    <row r="12" spans="1:21" x14ac:dyDescent="0.25">
      <c r="A12">
        <v>11</v>
      </c>
      <c r="B12">
        <v>15</v>
      </c>
      <c r="C12" s="4">
        <f>AVERAGE(B2:B11)</f>
        <v>19.399999999999999</v>
      </c>
      <c r="D12" s="4"/>
      <c r="E12" s="4">
        <f t="shared" si="6"/>
        <v>-4.3999999999999986</v>
      </c>
      <c r="F12" s="4">
        <f t="shared" si="1"/>
        <v>4.3999999999999986</v>
      </c>
      <c r="G12" s="4">
        <f t="shared" si="2"/>
        <v>19.359999999999989</v>
      </c>
      <c r="H12" s="39">
        <f t="shared" si="3"/>
        <v>-0.29333333333333322</v>
      </c>
      <c r="I12" s="39">
        <f t="shared" si="4"/>
        <v>0.29333333333333322</v>
      </c>
      <c r="Q12">
        <f t="shared" si="0"/>
        <v>-4.25</v>
      </c>
      <c r="R12">
        <f t="shared" si="5"/>
        <v>18.0625</v>
      </c>
    </row>
    <row r="13" spans="1:21" x14ac:dyDescent="0.25">
      <c r="A13">
        <v>12</v>
      </c>
      <c r="B13">
        <v>22</v>
      </c>
      <c r="C13" s="4">
        <f>AVERAGE(B2:B12)</f>
        <v>19</v>
      </c>
      <c r="D13" s="4"/>
      <c r="E13" s="4">
        <f t="shared" si="6"/>
        <v>3</v>
      </c>
      <c r="F13" s="4">
        <f t="shared" si="1"/>
        <v>3</v>
      </c>
      <c r="G13" s="4">
        <f t="shared" si="2"/>
        <v>9</v>
      </c>
      <c r="H13" s="39">
        <f t="shared" si="3"/>
        <v>0.13636363636363635</v>
      </c>
      <c r="I13" s="39">
        <f t="shared" si="4"/>
        <v>0.13636363636363635</v>
      </c>
      <c r="Q13">
        <f t="shared" si="0"/>
        <v>2.75</v>
      </c>
      <c r="R13">
        <f t="shared" si="5"/>
        <v>7.5625</v>
      </c>
    </row>
    <row r="14" spans="1:21" x14ac:dyDescent="0.25">
      <c r="H14" s="5"/>
      <c r="I14" s="5"/>
    </row>
    <row r="15" spans="1:21" x14ac:dyDescent="0.25">
      <c r="D15" t="s">
        <v>9</v>
      </c>
      <c r="E15">
        <f>SUM(E3:E13)</f>
        <v>4.5238095238095255</v>
      </c>
      <c r="F15">
        <f>SUM(F3:F13)</f>
        <v>26.80952380952381</v>
      </c>
      <c r="G15">
        <f>SUM(G3:G13)</f>
        <v>89.070566893424029</v>
      </c>
      <c r="H15" s="39">
        <f>SUM(H3:H13)</f>
        <v>2.7513332078549557E-2</v>
      </c>
      <c r="I15" s="5">
        <f>SUM(I3:I13)</f>
        <v>1.4133863479515654</v>
      </c>
    </row>
    <row r="17" spans="1:3" x14ac:dyDescent="0.25">
      <c r="A17" t="s">
        <v>26</v>
      </c>
      <c r="C17">
        <f>AVERAGE(B2:B13)</f>
        <v>19.25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20B1-49C8-4BA7-A407-18026D50B904}">
  <dimension ref="A1:N19"/>
  <sheetViews>
    <sheetView tabSelected="1" topLeftCell="F1" workbookViewId="0">
      <selection activeCell="L5" sqref="L5"/>
    </sheetView>
  </sheetViews>
  <sheetFormatPr defaultRowHeight="15" x14ac:dyDescent="0.25"/>
  <cols>
    <col min="2" max="2" width="12.5703125" customWidth="1"/>
  </cols>
  <sheetData>
    <row r="1" spans="1:14" ht="60" x14ac:dyDescent="0.25">
      <c r="A1" t="s">
        <v>0</v>
      </c>
      <c r="B1" t="s">
        <v>1</v>
      </c>
      <c r="E1" s="2" t="s">
        <v>8</v>
      </c>
      <c r="F1" s="2" t="s">
        <v>10</v>
      </c>
      <c r="G1" s="2" t="s">
        <v>11</v>
      </c>
      <c r="H1" s="2" t="s">
        <v>12</v>
      </c>
      <c r="I1" s="2" t="s">
        <v>13</v>
      </c>
    </row>
    <row r="2" spans="1:14" ht="45" x14ac:dyDescent="0.25">
      <c r="A2">
        <v>1</v>
      </c>
      <c r="B2">
        <v>17</v>
      </c>
      <c r="C2" t="e">
        <v>#N/A</v>
      </c>
      <c r="K2" s="2" t="s">
        <v>15</v>
      </c>
      <c r="L2" s="4">
        <f>AVERAGE(E5:E13)</f>
        <v>0</v>
      </c>
      <c r="N2" s="4"/>
    </row>
    <row r="3" spans="1:14" x14ac:dyDescent="0.25">
      <c r="A3">
        <v>2</v>
      </c>
      <c r="B3">
        <v>21</v>
      </c>
      <c r="C3" t="e">
        <v>#N/A</v>
      </c>
      <c r="E3" s="4"/>
      <c r="F3" s="4"/>
      <c r="G3" s="4"/>
      <c r="H3" s="4"/>
      <c r="I3" s="4"/>
      <c r="K3" t="s">
        <v>14</v>
      </c>
      <c r="L3" s="4">
        <f>AVERAGE(F5:F13)</f>
        <v>2.6666666666666665</v>
      </c>
    </row>
    <row r="4" spans="1:14" x14ac:dyDescent="0.25">
      <c r="A4">
        <v>3</v>
      </c>
      <c r="B4">
        <v>19</v>
      </c>
      <c r="C4" t="e">
        <v>#N/A</v>
      </c>
      <c r="E4" s="4"/>
      <c r="F4" s="4"/>
      <c r="G4" s="4"/>
      <c r="H4" s="4"/>
      <c r="I4" s="4"/>
      <c r="K4" t="s">
        <v>16</v>
      </c>
      <c r="L4" s="4">
        <f>AVERAGE(G5:G13)</f>
        <v>10.222222222222221</v>
      </c>
    </row>
    <row r="5" spans="1:14" x14ac:dyDescent="0.25">
      <c r="A5">
        <v>4</v>
      </c>
      <c r="B5">
        <v>23</v>
      </c>
      <c r="C5">
        <f t="shared" ref="C5:C14" si="0">AVERAGE(B2:B4)</f>
        <v>19</v>
      </c>
      <c r="E5" s="4">
        <f>B5-C5</f>
        <v>4</v>
      </c>
      <c r="F5" s="4">
        <f>ABS(E5)</f>
        <v>4</v>
      </c>
      <c r="G5" s="4">
        <f t="shared" ref="G5:G13" si="1">E5^2</f>
        <v>16</v>
      </c>
      <c r="H5" s="39">
        <f>(E5/B5)</f>
        <v>0.17391304347826086</v>
      </c>
      <c r="I5" s="39">
        <f>ABS(H5)</f>
        <v>0.17391304347826086</v>
      </c>
      <c r="K5" t="s">
        <v>17</v>
      </c>
      <c r="L5" s="5">
        <f>AVERAGE(I5:I13)</f>
        <v>0.14356609574000878</v>
      </c>
    </row>
    <row r="6" spans="1:14" x14ac:dyDescent="0.25">
      <c r="A6">
        <v>5</v>
      </c>
      <c r="B6">
        <v>18</v>
      </c>
      <c r="C6">
        <f t="shared" si="0"/>
        <v>21</v>
      </c>
      <c r="E6" s="4">
        <f t="shared" ref="E6:E13" si="2">B6-C6</f>
        <v>-3</v>
      </c>
      <c r="F6" s="4">
        <f t="shared" ref="F6:F13" si="3">ABS(E6)</f>
        <v>3</v>
      </c>
      <c r="G6" s="4">
        <f t="shared" si="1"/>
        <v>9</v>
      </c>
      <c r="H6" s="39">
        <f t="shared" ref="H6:H13" si="4">(E6/B6)</f>
        <v>-0.16666666666666666</v>
      </c>
      <c r="I6" s="39">
        <f t="shared" ref="I6:I13" si="5">ABS(H6)</f>
        <v>0.16666666666666666</v>
      </c>
    </row>
    <row r="7" spans="1:14" x14ac:dyDescent="0.25">
      <c r="A7">
        <v>6</v>
      </c>
      <c r="B7">
        <v>16</v>
      </c>
      <c r="C7">
        <f t="shared" si="0"/>
        <v>20</v>
      </c>
      <c r="E7" s="4">
        <f t="shared" si="2"/>
        <v>-4</v>
      </c>
      <c r="F7" s="4">
        <f t="shared" si="3"/>
        <v>4</v>
      </c>
      <c r="G7" s="4">
        <f t="shared" si="1"/>
        <v>16</v>
      </c>
      <c r="H7" s="39">
        <f t="shared" si="4"/>
        <v>-0.25</v>
      </c>
      <c r="I7" s="39">
        <f t="shared" si="5"/>
        <v>0.25</v>
      </c>
    </row>
    <row r="8" spans="1:14" x14ac:dyDescent="0.25">
      <c r="A8">
        <v>7</v>
      </c>
      <c r="B8">
        <v>20</v>
      </c>
      <c r="C8">
        <f t="shared" si="0"/>
        <v>19</v>
      </c>
      <c r="E8" s="4">
        <f t="shared" si="2"/>
        <v>1</v>
      </c>
      <c r="F8" s="4">
        <f t="shared" si="3"/>
        <v>1</v>
      </c>
      <c r="G8" s="4">
        <f t="shared" si="1"/>
        <v>1</v>
      </c>
      <c r="H8" s="39">
        <f t="shared" si="4"/>
        <v>0.05</v>
      </c>
      <c r="I8" s="39">
        <f t="shared" si="5"/>
        <v>0.05</v>
      </c>
    </row>
    <row r="9" spans="1:14" x14ac:dyDescent="0.25">
      <c r="A9">
        <v>8</v>
      </c>
      <c r="B9">
        <v>18</v>
      </c>
      <c r="C9">
        <f t="shared" si="0"/>
        <v>18</v>
      </c>
      <c r="E9" s="4">
        <f t="shared" si="2"/>
        <v>0</v>
      </c>
      <c r="F9" s="4">
        <f t="shared" si="3"/>
        <v>0</v>
      </c>
      <c r="G9" s="4">
        <f t="shared" si="1"/>
        <v>0</v>
      </c>
      <c r="H9" s="39">
        <f t="shared" si="4"/>
        <v>0</v>
      </c>
      <c r="I9" s="39">
        <f t="shared" si="5"/>
        <v>0</v>
      </c>
    </row>
    <row r="10" spans="1:14" x14ac:dyDescent="0.25">
      <c r="A10">
        <v>9</v>
      </c>
      <c r="B10">
        <v>22</v>
      </c>
      <c r="C10">
        <f t="shared" si="0"/>
        <v>18</v>
      </c>
      <c r="E10" s="4">
        <f t="shared" si="2"/>
        <v>4</v>
      </c>
      <c r="F10" s="4">
        <f t="shared" si="3"/>
        <v>4</v>
      </c>
      <c r="G10" s="4">
        <f t="shared" si="1"/>
        <v>16</v>
      </c>
      <c r="H10" s="39">
        <f t="shared" si="4"/>
        <v>0.18181818181818182</v>
      </c>
      <c r="I10" s="39">
        <f t="shared" si="5"/>
        <v>0.18181818181818182</v>
      </c>
    </row>
    <row r="11" spans="1:14" x14ac:dyDescent="0.25">
      <c r="A11">
        <v>10</v>
      </c>
      <c r="B11">
        <v>20</v>
      </c>
      <c r="C11">
        <f t="shared" si="0"/>
        <v>20</v>
      </c>
      <c r="E11" s="4">
        <f t="shared" si="2"/>
        <v>0</v>
      </c>
      <c r="F11" s="4">
        <f t="shared" si="3"/>
        <v>0</v>
      </c>
      <c r="G11" s="4">
        <f t="shared" si="1"/>
        <v>0</v>
      </c>
      <c r="H11" s="39">
        <f t="shared" si="4"/>
        <v>0</v>
      </c>
      <c r="I11" s="39">
        <f t="shared" si="5"/>
        <v>0</v>
      </c>
    </row>
    <row r="12" spans="1:14" x14ac:dyDescent="0.25">
      <c r="A12">
        <v>11</v>
      </c>
      <c r="B12">
        <v>15</v>
      </c>
      <c r="C12">
        <f t="shared" si="0"/>
        <v>20</v>
      </c>
      <c r="E12" s="4">
        <f t="shared" si="2"/>
        <v>-5</v>
      </c>
      <c r="F12" s="4">
        <f t="shared" si="3"/>
        <v>5</v>
      </c>
      <c r="G12" s="4">
        <f t="shared" si="1"/>
        <v>25</v>
      </c>
      <c r="H12" s="39">
        <f t="shared" si="4"/>
        <v>-0.33333333333333331</v>
      </c>
      <c r="I12" s="39">
        <f t="shared" si="5"/>
        <v>0.33333333333333331</v>
      </c>
    </row>
    <row r="13" spans="1:14" x14ac:dyDescent="0.25">
      <c r="A13">
        <v>12</v>
      </c>
      <c r="B13">
        <v>22</v>
      </c>
      <c r="C13">
        <f t="shared" si="0"/>
        <v>19</v>
      </c>
      <c r="E13" s="4">
        <f t="shared" si="2"/>
        <v>3</v>
      </c>
      <c r="F13" s="4">
        <f t="shared" si="3"/>
        <v>3</v>
      </c>
      <c r="G13" s="4">
        <f t="shared" si="1"/>
        <v>9</v>
      </c>
      <c r="H13" s="39">
        <f t="shared" si="4"/>
        <v>0.13636363636363635</v>
      </c>
      <c r="I13" s="39">
        <f t="shared" si="5"/>
        <v>0.13636363636363635</v>
      </c>
    </row>
    <row r="14" spans="1:14" x14ac:dyDescent="0.25">
      <c r="C14">
        <f t="shared" si="0"/>
        <v>19</v>
      </c>
      <c r="H14" s="5"/>
      <c r="I14" s="5"/>
    </row>
    <row r="15" spans="1:14" x14ac:dyDescent="0.25">
      <c r="D15" t="s">
        <v>9</v>
      </c>
      <c r="E15">
        <f>SUM(E3:E13)</f>
        <v>0</v>
      </c>
      <c r="F15">
        <f>SUM(F3:F13)</f>
        <v>24</v>
      </c>
      <c r="G15">
        <f>SUM(G3:G13)</f>
        <v>92</v>
      </c>
      <c r="H15" s="39">
        <f>SUM(H3:H13)</f>
        <v>-0.20790513833992091</v>
      </c>
      <c r="I15" s="5">
        <f>SUM(I3:I13)</f>
        <v>1.2920948616600789</v>
      </c>
    </row>
    <row r="17" spans="2:3" x14ac:dyDescent="0.25">
      <c r="B17" t="s">
        <v>113</v>
      </c>
      <c r="C17">
        <f>AVERAGE(B11:B13)</f>
        <v>19</v>
      </c>
    </row>
    <row r="19" spans="2:3" x14ac:dyDescent="0.25">
      <c r="B19">
        <f>AVERAGE(B2:B13)</f>
        <v>19.25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0D1B-A79E-46EA-9661-4E23CC88296F}">
  <dimension ref="A1:L23"/>
  <sheetViews>
    <sheetView topLeftCell="A7" zoomScale="86" zoomScaleNormal="86" workbookViewId="0">
      <selection activeCell="H6" sqref="H6"/>
    </sheetView>
  </sheetViews>
  <sheetFormatPr defaultRowHeight="15" x14ac:dyDescent="0.25"/>
  <cols>
    <col min="1" max="1" width="12.140625" customWidth="1"/>
    <col min="2" max="2" width="15.5703125" customWidth="1"/>
    <col min="3" max="3" width="9.5703125" bestFit="1" customWidth="1"/>
    <col min="5" max="5" width="26.28515625" customWidth="1"/>
    <col min="7" max="7" width="9.140625" customWidth="1"/>
    <col min="8" max="8" width="12.28515625" customWidth="1"/>
  </cols>
  <sheetData>
    <row r="1" spans="1:12" ht="60" x14ac:dyDescent="0.25">
      <c r="A1" t="s">
        <v>0</v>
      </c>
      <c r="B1" t="s">
        <v>1</v>
      </c>
      <c r="C1" t="s">
        <v>26</v>
      </c>
      <c r="E1" s="2" t="s">
        <v>8</v>
      </c>
      <c r="F1" s="2" t="s">
        <v>10</v>
      </c>
      <c r="G1" s="2" t="s">
        <v>11</v>
      </c>
      <c r="H1" s="2" t="s">
        <v>12</v>
      </c>
      <c r="I1" s="2" t="s">
        <v>13</v>
      </c>
    </row>
    <row r="2" spans="1:12" ht="45" x14ac:dyDescent="0.25">
      <c r="A2">
        <v>1</v>
      </c>
      <c r="B2">
        <v>17</v>
      </c>
      <c r="K2" s="2" t="s">
        <v>15</v>
      </c>
      <c r="L2" s="4">
        <f>AVERAGE(E5:E13)</f>
        <v>5.5555555555556739E-2</v>
      </c>
    </row>
    <row r="3" spans="1:12" x14ac:dyDescent="0.25">
      <c r="A3">
        <v>2</v>
      </c>
      <c r="B3">
        <v>21</v>
      </c>
      <c r="E3" s="4"/>
      <c r="F3" s="4"/>
      <c r="G3" s="4"/>
      <c r="H3" s="4"/>
      <c r="I3" s="4"/>
      <c r="K3" t="s">
        <v>14</v>
      </c>
      <c r="L3" s="4">
        <f>AVERAGE(F5:F13)</f>
        <v>2.9814814814814814</v>
      </c>
    </row>
    <row r="4" spans="1:12" x14ac:dyDescent="0.25">
      <c r="A4">
        <v>3</v>
      </c>
      <c r="B4">
        <v>19</v>
      </c>
      <c r="E4" s="4"/>
      <c r="F4" s="4"/>
      <c r="G4" s="4"/>
      <c r="H4" s="4"/>
      <c r="I4" s="4"/>
      <c r="K4" t="s">
        <v>16</v>
      </c>
      <c r="L4" s="4">
        <f>AVERAGE(G5:G13)</f>
        <v>11.49074074074074</v>
      </c>
    </row>
    <row r="5" spans="1:12" x14ac:dyDescent="0.25">
      <c r="A5">
        <v>4</v>
      </c>
      <c r="B5">
        <v>23</v>
      </c>
      <c r="C5">
        <f t="shared" ref="C5:C13" si="0">$B$20*B4+$B$21*B3+$B$22*B2</f>
        <v>19.333333333333332</v>
      </c>
      <c r="E5" s="4">
        <f>B5-C5</f>
        <v>3.6666666666666679</v>
      </c>
      <c r="F5" s="4">
        <f>ABS(E5)</f>
        <v>3.6666666666666679</v>
      </c>
      <c r="G5" s="4">
        <f>E5^2</f>
        <v>13.444444444444454</v>
      </c>
      <c r="H5" s="39">
        <f>(E5/B5)</f>
        <v>0.15942028985507251</v>
      </c>
      <c r="I5" s="39">
        <f t="shared" ref="I5:I13" si="1">ABS(H5)</f>
        <v>0.15942028985507251</v>
      </c>
      <c r="K5" t="s">
        <v>17</v>
      </c>
      <c r="L5" s="5">
        <f>AVERAGE(I5:I13)</f>
        <v>0.15992483205647456</v>
      </c>
    </row>
    <row r="6" spans="1:12" x14ac:dyDescent="0.25">
      <c r="A6">
        <v>5</v>
      </c>
      <c r="B6">
        <v>18</v>
      </c>
      <c r="C6">
        <f t="shared" si="0"/>
        <v>21.333333333333332</v>
      </c>
      <c r="E6" s="4">
        <f t="shared" ref="E6:E13" si="2">B6-C6</f>
        <v>-3.3333333333333321</v>
      </c>
      <c r="F6" s="4">
        <f t="shared" ref="F6:F13" si="3">ABS(E6)</f>
        <v>3.3333333333333321</v>
      </c>
      <c r="G6" s="4">
        <f t="shared" ref="G6:G13" si="4">E6^2</f>
        <v>11.111111111111104</v>
      </c>
      <c r="H6" s="39">
        <f t="shared" ref="H6:H13" si="5">(E6/B6)</f>
        <v>-0.18518518518518512</v>
      </c>
      <c r="I6" s="39">
        <f t="shared" si="1"/>
        <v>0.18518518518518512</v>
      </c>
    </row>
    <row r="7" spans="1:12" x14ac:dyDescent="0.25">
      <c r="A7">
        <v>6</v>
      </c>
      <c r="B7">
        <v>16</v>
      </c>
      <c r="C7">
        <f t="shared" si="0"/>
        <v>19.833333333333332</v>
      </c>
      <c r="E7" s="4">
        <f t="shared" si="2"/>
        <v>-3.8333333333333321</v>
      </c>
      <c r="F7" s="4">
        <f t="shared" si="3"/>
        <v>3.8333333333333321</v>
      </c>
      <c r="G7" s="4">
        <f t="shared" si="4"/>
        <v>14.694444444444436</v>
      </c>
      <c r="H7" s="39">
        <f t="shared" si="5"/>
        <v>-0.23958333333333326</v>
      </c>
      <c r="I7" s="39">
        <f t="shared" si="1"/>
        <v>0.23958333333333326</v>
      </c>
    </row>
    <row r="8" spans="1:12" x14ac:dyDescent="0.25">
      <c r="A8">
        <v>7</v>
      </c>
      <c r="B8">
        <v>20</v>
      </c>
      <c r="C8">
        <f t="shared" si="0"/>
        <v>17.833333333333332</v>
      </c>
      <c r="E8" s="4">
        <f t="shared" si="2"/>
        <v>2.1666666666666679</v>
      </c>
      <c r="F8" s="4">
        <f t="shared" si="3"/>
        <v>2.1666666666666679</v>
      </c>
      <c r="G8" s="4">
        <f t="shared" si="4"/>
        <v>4.69444444444445</v>
      </c>
      <c r="H8" s="39">
        <f t="shared" si="5"/>
        <v>0.10833333333333339</v>
      </c>
      <c r="I8" s="39">
        <f t="shared" si="1"/>
        <v>0.10833333333333339</v>
      </c>
    </row>
    <row r="9" spans="1:12" x14ac:dyDescent="0.25">
      <c r="A9">
        <v>8</v>
      </c>
      <c r="B9">
        <v>18</v>
      </c>
      <c r="C9">
        <f t="shared" si="0"/>
        <v>18.333333333333332</v>
      </c>
      <c r="E9" s="4">
        <f t="shared" si="2"/>
        <v>-0.33333333333333215</v>
      </c>
      <c r="F9" s="4">
        <f t="shared" si="3"/>
        <v>0.33333333333333215</v>
      </c>
      <c r="G9" s="4">
        <f t="shared" si="4"/>
        <v>0.11111111111111033</v>
      </c>
      <c r="H9" s="39">
        <f t="shared" si="5"/>
        <v>-1.8518518518518452E-2</v>
      </c>
      <c r="I9" s="39">
        <f t="shared" si="1"/>
        <v>1.8518518518518452E-2</v>
      </c>
    </row>
    <row r="10" spans="1:12" x14ac:dyDescent="0.25">
      <c r="A10">
        <v>9</v>
      </c>
      <c r="B10">
        <v>22</v>
      </c>
      <c r="C10">
        <f t="shared" si="0"/>
        <v>18.333333333333332</v>
      </c>
      <c r="E10" s="4">
        <f t="shared" si="2"/>
        <v>3.6666666666666679</v>
      </c>
      <c r="F10" s="4">
        <f t="shared" si="3"/>
        <v>3.6666666666666679</v>
      </c>
      <c r="G10" s="4">
        <f t="shared" si="4"/>
        <v>13.444444444444454</v>
      </c>
      <c r="H10" s="39">
        <f t="shared" si="5"/>
        <v>0.16666666666666671</v>
      </c>
      <c r="I10" s="39">
        <f t="shared" si="1"/>
        <v>0.16666666666666671</v>
      </c>
    </row>
    <row r="11" spans="1:12" x14ac:dyDescent="0.25">
      <c r="A11">
        <v>10</v>
      </c>
      <c r="B11">
        <v>20</v>
      </c>
      <c r="C11">
        <f t="shared" si="0"/>
        <v>20.333333333333332</v>
      </c>
      <c r="E11" s="4">
        <f t="shared" si="2"/>
        <v>-0.33333333333333215</v>
      </c>
      <c r="F11" s="4">
        <f t="shared" si="3"/>
        <v>0.33333333333333215</v>
      </c>
      <c r="G11" s="4">
        <f t="shared" si="4"/>
        <v>0.11111111111111033</v>
      </c>
      <c r="H11" s="39">
        <f t="shared" si="5"/>
        <v>-1.6666666666666607E-2</v>
      </c>
      <c r="I11" s="39">
        <f t="shared" si="1"/>
        <v>1.6666666666666607E-2</v>
      </c>
    </row>
    <row r="12" spans="1:12" x14ac:dyDescent="0.25">
      <c r="A12">
        <v>11</v>
      </c>
      <c r="B12">
        <v>15</v>
      </c>
      <c r="C12">
        <f t="shared" si="0"/>
        <v>20.333333333333332</v>
      </c>
      <c r="E12" s="4">
        <f t="shared" si="2"/>
        <v>-5.3333333333333321</v>
      </c>
      <c r="F12" s="4">
        <f t="shared" si="3"/>
        <v>5.3333333333333321</v>
      </c>
      <c r="G12" s="4">
        <f t="shared" si="4"/>
        <v>28.444444444444432</v>
      </c>
      <c r="H12" s="39">
        <f t="shared" si="5"/>
        <v>-0.35555555555555546</v>
      </c>
      <c r="I12" s="39">
        <f t="shared" si="1"/>
        <v>0.35555555555555546</v>
      </c>
    </row>
    <row r="13" spans="1:12" x14ac:dyDescent="0.25">
      <c r="A13">
        <v>12</v>
      </c>
      <c r="B13">
        <v>22</v>
      </c>
      <c r="C13">
        <f t="shared" si="0"/>
        <v>17.833333333333332</v>
      </c>
      <c r="E13" s="4">
        <f t="shared" si="2"/>
        <v>4.1666666666666679</v>
      </c>
      <c r="F13" s="4">
        <f t="shared" si="3"/>
        <v>4.1666666666666679</v>
      </c>
      <c r="G13" s="4">
        <f t="shared" si="4"/>
        <v>17.361111111111121</v>
      </c>
      <c r="H13" s="39">
        <f t="shared" si="5"/>
        <v>0.18939393939393945</v>
      </c>
      <c r="I13" s="39">
        <f t="shared" si="1"/>
        <v>0.18939393939393945</v>
      </c>
    </row>
    <row r="14" spans="1:12" x14ac:dyDescent="0.25">
      <c r="A14" s="36"/>
      <c r="B14" s="36"/>
      <c r="C14" s="36"/>
    </row>
    <row r="15" spans="1:12" ht="25.5" customHeight="1" x14ac:dyDescent="0.25">
      <c r="A15" s="37" t="s">
        <v>112</v>
      </c>
      <c r="B15" s="38"/>
      <c r="C15" s="38"/>
    </row>
    <row r="16" spans="1:12" x14ac:dyDescent="0.25">
      <c r="A16" s="38">
        <v>13</v>
      </c>
      <c r="B16" s="38"/>
      <c r="C16" s="38">
        <f>$B$20*B13+$B$21*B12+$B$22*B11</f>
        <v>19.333333333333332</v>
      </c>
    </row>
    <row r="19" spans="1:8" x14ac:dyDescent="0.25">
      <c r="B19" t="s">
        <v>21</v>
      </c>
      <c r="C19" s="11" t="s">
        <v>49</v>
      </c>
      <c r="D19" s="12">
        <f>SUM(E3:E13)</f>
        <v>0.50000000000001066</v>
      </c>
      <c r="E19" s="11">
        <f>SUM(F3:F13)</f>
        <v>26.833333333333332</v>
      </c>
      <c r="F19" s="11">
        <f>SUM(G3:G13)</f>
        <v>103.41666666666666</v>
      </c>
      <c r="G19" s="16">
        <f>SUM(H3:H13)</f>
        <v>-0.19169503001024685</v>
      </c>
      <c r="H19" s="12">
        <f>SUM(I3:I13)</f>
        <v>1.4393234885082711</v>
      </c>
    </row>
    <row r="20" spans="1:8" x14ac:dyDescent="0.25">
      <c r="A20" t="s">
        <v>22</v>
      </c>
      <c r="B20">
        <f>3/6</f>
        <v>0.5</v>
      </c>
    </row>
    <row r="21" spans="1:8" x14ac:dyDescent="0.25">
      <c r="A21" t="s">
        <v>23</v>
      </c>
      <c r="B21">
        <f>2/6</f>
        <v>0.33333333333333331</v>
      </c>
    </row>
    <row r="22" spans="1:8" x14ac:dyDescent="0.25">
      <c r="A22" t="s">
        <v>24</v>
      </c>
      <c r="B22">
        <f>1/6</f>
        <v>0.16666666666666666</v>
      </c>
    </row>
    <row r="23" spans="1:8" x14ac:dyDescent="0.25">
      <c r="A23" t="s">
        <v>25</v>
      </c>
      <c r="B23" s="10">
        <f>SUM(B20:B22)</f>
        <v>0.99999999999999989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881C-57FC-4622-9C10-38811D013BA6}">
  <dimension ref="A1:T30"/>
  <sheetViews>
    <sheetView zoomScale="88" zoomScaleNormal="85" workbookViewId="0">
      <selection activeCell="O2" sqref="O2:P5"/>
    </sheetView>
  </sheetViews>
  <sheetFormatPr defaultRowHeight="15" x14ac:dyDescent="0.25"/>
  <cols>
    <col min="2" max="2" width="14.42578125" customWidth="1"/>
    <col min="3" max="3" width="15.28515625" customWidth="1"/>
    <col min="4" max="4" width="4.7109375" customWidth="1"/>
    <col min="5" max="5" width="17.5703125" customWidth="1"/>
    <col min="7" max="7" width="12.140625" customWidth="1"/>
    <col min="11" max="11" width="12" customWidth="1"/>
    <col min="12" max="12" width="14.28515625" customWidth="1"/>
    <col min="13" max="13" width="10.7109375" customWidth="1"/>
  </cols>
  <sheetData>
    <row r="1" spans="1:20" ht="51.75" customHeight="1" x14ac:dyDescent="0.25">
      <c r="A1" s="33" t="s">
        <v>0</v>
      </c>
      <c r="B1" s="34" t="s">
        <v>37</v>
      </c>
      <c r="C1" s="34" t="s">
        <v>38</v>
      </c>
      <c r="D1" s="35" t="s">
        <v>39</v>
      </c>
      <c r="E1" s="35">
        <v>0.2</v>
      </c>
      <c r="F1" s="33"/>
      <c r="G1" s="33"/>
      <c r="H1" s="33"/>
      <c r="I1" s="33"/>
      <c r="J1" s="33"/>
      <c r="K1" s="34" t="s">
        <v>35</v>
      </c>
      <c r="L1" s="34" t="s">
        <v>36</v>
      </c>
      <c r="M1" s="2" t="s">
        <v>118</v>
      </c>
    </row>
    <row r="2" spans="1:20" ht="45" x14ac:dyDescent="0.25">
      <c r="A2">
        <v>1</v>
      </c>
      <c r="B2">
        <v>17</v>
      </c>
      <c r="E2" t="s">
        <v>32</v>
      </c>
      <c r="O2" s="2" t="s">
        <v>15</v>
      </c>
      <c r="P2" s="4">
        <f>AVERAGE(K3:K13)</f>
        <v>0.99316148596363296</v>
      </c>
    </row>
    <row r="3" spans="1:20" x14ac:dyDescent="0.25">
      <c r="A3">
        <v>2</v>
      </c>
      <c r="B3">
        <v>21</v>
      </c>
      <c r="C3">
        <f>B2</f>
        <v>17</v>
      </c>
      <c r="E3" t="s">
        <v>27</v>
      </c>
      <c r="G3" t="s">
        <v>28</v>
      </c>
      <c r="I3" t="s">
        <v>29</v>
      </c>
      <c r="K3">
        <f>B3-C3</f>
        <v>4</v>
      </c>
      <c r="L3">
        <f>K3^2</f>
        <v>16</v>
      </c>
      <c r="M3" s="5">
        <f>K3/B3</f>
        <v>0.19047619047619047</v>
      </c>
      <c r="O3" t="s">
        <v>14</v>
      </c>
      <c r="P3" s="4" cm="1">
        <f t="array" ref="P3">AVERAGE(ABS(K3:K13))</f>
        <v>2.5963390510545454</v>
      </c>
    </row>
    <row r="4" spans="1:20" x14ac:dyDescent="0.25">
      <c r="A4">
        <v>3</v>
      </c>
      <c r="B4">
        <v>19</v>
      </c>
      <c r="C4" s="4">
        <f>$E$1*B3+(1-$E$1)*C3</f>
        <v>17.8</v>
      </c>
      <c r="E4" t="s">
        <v>30</v>
      </c>
      <c r="G4" t="s">
        <v>31</v>
      </c>
      <c r="I4">
        <v>17.8</v>
      </c>
      <c r="K4" s="4">
        <f>B4-C4</f>
        <v>1.1999999999999993</v>
      </c>
      <c r="L4">
        <f t="shared" ref="L4:L13" si="0">K4^2</f>
        <v>1.4399999999999984</v>
      </c>
      <c r="M4" s="5">
        <f t="shared" ref="M4:M13" si="1">K4/B4</f>
        <v>6.3157894736842066E-2</v>
      </c>
      <c r="O4" t="s">
        <v>16</v>
      </c>
      <c r="P4" s="4">
        <f>AVERAGE(L3:L13)</f>
        <v>8.9822306751375613</v>
      </c>
    </row>
    <row r="5" spans="1:20" x14ac:dyDescent="0.25">
      <c r="A5">
        <v>4</v>
      </c>
      <c r="B5">
        <v>23</v>
      </c>
      <c r="C5" s="4">
        <f t="shared" ref="C5:C13" si="2">$E$1*B4+(1-$E$1)*C4</f>
        <v>18.040000000000003</v>
      </c>
      <c r="E5" t="s">
        <v>33</v>
      </c>
      <c r="K5" s="4">
        <f t="shared" ref="K5:K13" si="3">B5-C5</f>
        <v>4.9599999999999973</v>
      </c>
      <c r="L5">
        <f t="shared" si="0"/>
        <v>24.601599999999973</v>
      </c>
      <c r="M5" s="5">
        <f t="shared" si="1"/>
        <v>0.21565217391304337</v>
      </c>
      <c r="O5" t="s">
        <v>17</v>
      </c>
      <c r="P5" s="5" cm="1">
        <f t="array" ref="P5">AVERAGE(ABS(M3:M13))</f>
        <v>0.13402425212624569</v>
      </c>
      <c r="T5" s="7"/>
    </row>
    <row r="6" spans="1:20" x14ac:dyDescent="0.25">
      <c r="A6">
        <v>5</v>
      </c>
      <c r="B6">
        <v>18</v>
      </c>
      <c r="C6" s="4">
        <f t="shared" si="2"/>
        <v>19.032000000000004</v>
      </c>
      <c r="E6" t="s">
        <v>34</v>
      </c>
      <c r="K6" s="4">
        <f t="shared" si="3"/>
        <v>-1.0320000000000036</v>
      </c>
      <c r="L6">
        <f t="shared" si="0"/>
        <v>1.0650240000000073</v>
      </c>
      <c r="M6" s="5">
        <f t="shared" si="1"/>
        <v>-5.7333333333333535E-2</v>
      </c>
    </row>
    <row r="7" spans="1:20" x14ac:dyDescent="0.25">
      <c r="A7">
        <v>6</v>
      </c>
      <c r="B7">
        <v>16</v>
      </c>
      <c r="C7" s="4">
        <f t="shared" si="2"/>
        <v>18.825600000000005</v>
      </c>
      <c r="K7" s="4">
        <f t="shared" si="3"/>
        <v>-2.825600000000005</v>
      </c>
      <c r="L7">
        <f t="shared" si="0"/>
        <v>7.9840153600000283</v>
      </c>
      <c r="M7" s="5">
        <f t="shared" si="1"/>
        <v>-0.17660000000000031</v>
      </c>
    </row>
    <row r="8" spans="1:20" x14ac:dyDescent="0.25">
      <c r="A8">
        <v>7</v>
      </c>
      <c r="B8">
        <v>20</v>
      </c>
      <c r="C8" s="4">
        <f t="shared" si="2"/>
        <v>18.260480000000005</v>
      </c>
      <c r="K8" s="4">
        <f t="shared" si="3"/>
        <v>1.7395199999999953</v>
      </c>
      <c r="L8">
        <f t="shared" si="0"/>
        <v>3.0259298303999835</v>
      </c>
      <c r="M8" s="5">
        <f t="shared" si="1"/>
        <v>8.6975999999999762E-2</v>
      </c>
    </row>
    <row r="9" spans="1:20" x14ac:dyDescent="0.25">
      <c r="A9">
        <v>8</v>
      </c>
      <c r="B9">
        <v>18</v>
      </c>
      <c r="C9" s="4">
        <f t="shared" si="2"/>
        <v>18.608384000000004</v>
      </c>
      <c r="K9" s="4">
        <f t="shared" si="3"/>
        <v>-0.60838400000000448</v>
      </c>
      <c r="L9">
        <f t="shared" si="0"/>
        <v>0.37013109145600542</v>
      </c>
      <c r="M9" s="5">
        <f t="shared" si="1"/>
        <v>-3.3799111111111363E-2</v>
      </c>
    </row>
    <row r="10" spans="1:20" x14ac:dyDescent="0.25">
      <c r="A10">
        <v>9</v>
      </c>
      <c r="B10">
        <v>22</v>
      </c>
      <c r="C10" s="4">
        <f t="shared" si="2"/>
        <v>18.486707200000005</v>
      </c>
      <c r="K10" s="4">
        <f t="shared" si="3"/>
        <v>3.513292799999995</v>
      </c>
      <c r="L10">
        <f t="shared" si="0"/>
        <v>12.343226298531805</v>
      </c>
      <c r="M10" s="5">
        <f t="shared" si="1"/>
        <v>0.15969512727272706</v>
      </c>
    </row>
    <row r="11" spans="1:20" x14ac:dyDescent="0.25">
      <c r="A11">
        <v>10</v>
      </c>
      <c r="B11">
        <v>20</v>
      </c>
      <c r="C11" s="4">
        <f t="shared" si="2"/>
        <v>19.189365760000005</v>
      </c>
      <c r="K11" s="4">
        <f t="shared" si="3"/>
        <v>0.81063423999999529</v>
      </c>
      <c r="L11">
        <f t="shared" si="0"/>
        <v>0.65712787106036996</v>
      </c>
      <c r="M11" s="5">
        <f t="shared" si="1"/>
        <v>4.0531711999999762E-2</v>
      </c>
    </row>
    <row r="12" spans="1:20" x14ac:dyDescent="0.25">
      <c r="A12">
        <v>11</v>
      </c>
      <c r="B12">
        <v>15</v>
      </c>
      <c r="C12" s="4">
        <f t="shared" si="2"/>
        <v>19.351492608000004</v>
      </c>
      <c r="K12" s="4">
        <f t="shared" si="3"/>
        <v>-4.3514926080000045</v>
      </c>
      <c r="L12">
        <f t="shared" si="0"/>
        <v>18.935487917478682</v>
      </c>
      <c r="M12" s="5">
        <f t="shared" si="1"/>
        <v>-0.29009950720000027</v>
      </c>
    </row>
    <row r="13" spans="1:20" x14ac:dyDescent="0.25">
      <c r="A13">
        <v>12</v>
      </c>
      <c r="B13">
        <v>22</v>
      </c>
      <c r="C13" s="4">
        <f t="shared" si="2"/>
        <v>18.481194086400002</v>
      </c>
      <c r="K13" s="4">
        <f t="shared" si="3"/>
        <v>3.5188059135999978</v>
      </c>
      <c r="L13">
        <f t="shared" si="0"/>
        <v>12.381995057586316</v>
      </c>
      <c r="M13" s="5">
        <f t="shared" si="1"/>
        <v>0.15994572334545445</v>
      </c>
    </row>
    <row r="14" spans="1:20" x14ac:dyDescent="0.25">
      <c r="A14" s="21" t="s">
        <v>113</v>
      </c>
      <c r="J14" s="11" t="s">
        <v>9</v>
      </c>
      <c r="K14" s="12">
        <f>SUM(K3:K13)</f>
        <v>10.924776345599962</v>
      </c>
      <c r="L14" s="12">
        <f>SUM(L3:L13)</f>
        <v>98.804537426513178</v>
      </c>
    </row>
    <row r="15" spans="1:20" x14ac:dyDescent="0.25">
      <c r="A15">
        <v>13</v>
      </c>
      <c r="B15" s="21"/>
      <c r="C15" s="32">
        <f>$E$1*B13+(1-$E$1)*C13</f>
        <v>19.184955269120003</v>
      </c>
    </row>
    <row r="30" ht="15.75" customHeight="1" x14ac:dyDescent="0.25"/>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B906F-A081-4411-8342-EEF56476105A}">
  <dimension ref="A1:D13"/>
  <sheetViews>
    <sheetView workbookViewId="0">
      <selection activeCell="D4" sqref="D4"/>
    </sheetView>
  </sheetViews>
  <sheetFormatPr defaultRowHeight="15" x14ac:dyDescent="0.25"/>
  <sheetData>
    <row r="1" spans="1:4" ht="60" x14ac:dyDescent="0.25">
      <c r="A1" t="s">
        <v>0</v>
      </c>
      <c r="B1" s="2" t="s">
        <v>37</v>
      </c>
    </row>
    <row r="2" spans="1:4" x14ac:dyDescent="0.25">
      <c r="A2">
        <v>1</v>
      </c>
      <c r="B2">
        <v>17</v>
      </c>
      <c r="D2" t="e">
        <v>#N/A</v>
      </c>
    </row>
    <row r="3" spans="1:4" x14ac:dyDescent="0.25">
      <c r="A3">
        <v>2</v>
      </c>
      <c r="B3">
        <v>21</v>
      </c>
      <c r="D3">
        <f>B2</f>
        <v>17</v>
      </c>
    </row>
    <row r="4" spans="1:4" x14ac:dyDescent="0.25">
      <c r="A4">
        <v>3</v>
      </c>
      <c r="B4">
        <v>19</v>
      </c>
      <c r="D4">
        <f>0.2*B3+0.8*D3</f>
        <v>17.8</v>
      </c>
    </row>
    <row r="5" spans="1:4" x14ac:dyDescent="0.25">
      <c r="A5">
        <v>4</v>
      </c>
      <c r="B5">
        <v>23</v>
      </c>
      <c r="D5">
        <f t="shared" ref="D5:D13" si="0">0.2*B4+0.8*D4</f>
        <v>18.040000000000003</v>
      </c>
    </row>
    <row r="6" spans="1:4" x14ac:dyDescent="0.25">
      <c r="A6">
        <v>5</v>
      </c>
      <c r="B6">
        <v>18</v>
      </c>
      <c r="D6">
        <f t="shared" si="0"/>
        <v>19.032000000000004</v>
      </c>
    </row>
    <row r="7" spans="1:4" x14ac:dyDescent="0.25">
      <c r="A7">
        <v>6</v>
      </c>
      <c r="B7">
        <v>16</v>
      </c>
      <c r="D7">
        <f t="shared" si="0"/>
        <v>18.825600000000005</v>
      </c>
    </row>
    <row r="8" spans="1:4" x14ac:dyDescent="0.25">
      <c r="A8">
        <v>7</v>
      </c>
      <c r="B8">
        <v>20</v>
      </c>
      <c r="D8">
        <f t="shared" si="0"/>
        <v>18.260480000000005</v>
      </c>
    </row>
    <row r="9" spans="1:4" x14ac:dyDescent="0.25">
      <c r="A9">
        <v>8</v>
      </c>
      <c r="B9">
        <v>18</v>
      </c>
      <c r="D9">
        <f t="shared" si="0"/>
        <v>18.608384000000004</v>
      </c>
    </row>
    <row r="10" spans="1:4" x14ac:dyDescent="0.25">
      <c r="A10">
        <v>9</v>
      </c>
      <c r="B10">
        <v>22</v>
      </c>
      <c r="D10">
        <f t="shared" si="0"/>
        <v>18.486707200000005</v>
      </c>
    </row>
    <row r="11" spans="1:4" x14ac:dyDescent="0.25">
      <c r="A11">
        <v>10</v>
      </c>
      <c r="B11">
        <v>20</v>
      </c>
      <c r="D11">
        <f t="shared" si="0"/>
        <v>19.189365760000005</v>
      </c>
    </row>
    <row r="12" spans="1:4" x14ac:dyDescent="0.25">
      <c r="A12">
        <v>11</v>
      </c>
      <c r="B12">
        <v>15</v>
      </c>
      <c r="D12">
        <f t="shared" si="0"/>
        <v>19.351492608000004</v>
      </c>
    </row>
    <row r="13" spans="1:4" x14ac:dyDescent="0.25">
      <c r="A13">
        <v>12</v>
      </c>
      <c r="B13">
        <v>22</v>
      </c>
      <c r="D13">
        <f t="shared" si="0"/>
        <v>18.481194086400002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B8A8-5A15-4825-8606-CB8482DA1184}">
  <dimension ref="A1:B23"/>
  <sheetViews>
    <sheetView workbookViewId="0">
      <selection activeCell="C20" sqref="C20"/>
    </sheetView>
  </sheetViews>
  <sheetFormatPr defaultRowHeight="15" x14ac:dyDescent="0.25"/>
  <sheetData>
    <row r="1" spans="1:2" x14ac:dyDescent="0.25">
      <c r="A1" t="s">
        <v>0</v>
      </c>
      <c r="B1" t="s">
        <v>1</v>
      </c>
    </row>
    <row r="2" spans="1:2" x14ac:dyDescent="0.25">
      <c r="A2">
        <v>1</v>
      </c>
      <c r="B2">
        <v>17</v>
      </c>
    </row>
    <row r="3" spans="1:2" x14ac:dyDescent="0.25">
      <c r="A3">
        <v>2</v>
      </c>
      <c r="B3">
        <v>21</v>
      </c>
    </row>
    <row r="4" spans="1:2" x14ac:dyDescent="0.25">
      <c r="A4">
        <v>3</v>
      </c>
      <c r="B4">
        <v>19</v>
      </c>
    </row>
    <row r="5" spans="1:2" x14ac:dyDescent="0.25">
      <c r="A5">
        <v>4</v>
      </c>
      <c r="B5">
        <v>23</v>
      </c>
    </row>
    <row r="6" spans="1:2" x14ac:dyDescent="0.25">
      <c r="A6">
        <v>5</v>
      </c>
      <c r="B6">
        <v>18</v>
      </c>
    </row>
    <row r="7" spans="1:2" x14ac:dyDescent="0.25">
      <c r="A7">
        <v>6</v>
      </c>
      <c r="B7">
        <v>16</v>
      </c>
    </row>
    <row r="8" spans="1:2" x14ac:dyDescent="0.25">
      <c r="A8">
        <v>7</v>
      </c>
      <c r="B8">
        <v>20</v>
      </c>
    </row>
    <row r="9" spans="1:2" x14ac:dyDescent="0.25">
      <c r="A9">
        <v>8</v>
      </c>
      <c r="B9">
        <v>18</v>
      </c>
    </row>
    <row r="10" spans="1:2" x14ac:dyDescent="0.25">
      <c r="A10">
        <v>9</v>
      </c>
      <c r="B10">
        <v>22</v>
      </c>
    </row>
    <row r="11" spans="1:2" x14ac:dyDescent="0.25">
      <c r="A11">
        <v>10</v>
      </c>
      <c r="B11">
        <v>20</v>
      </c>
    </row>
    <row r="12" spans="1:2" x14ac:dyDescent="0.25">
      <c r="A12">
        <v>11</v>
      </c>
      <c r="B12">
        <v>15</v>
      </c>
    </row>
    <row r="13" spans="1:2" x14ac:dyDescent="0.25">
      <c r="A13">
        <v>12</v>
      </c>
      <c r="B13">
        <v>22</v>
      </c>
    </row>
    <row r="14" spans="1:2" x14ac:dyDescent="0.25">
      <c r="A14">
        <v>13</v>
      </c>
      <c r="B14">
        <v>31</v>
      </c>
    </row>
    <row r="15" spans="1:2" x14ac:dyDescent="0.25">
      <c r="A15">
        <v>14</v>
      </c>
      <c r="B15">
        <v>34</v>
      </c>
    </row>
    <row r="16" spans="1:2" x14ac:dyDescent="0.25">
      <c r="A16">
        <v>15</v>
      </c>
      <c r="B16">
        <v>31</v>
      </c>
    </row>
    <row r="17" spans="1:2" x14ac:dyDescent="0.25">
      <c r="A17">
        <v>16</v>
      </c>
      <c r="B17">
        <v>33</v>
      </c>
    </row>
    <row r="18" spans="1:2" x14ac:dyDescent="0.25">
      <c r="A18">
        <v>17</v>
      </c>
      <c r="B18">
        <v>28</v>
      </c>
    </row>
    <row r="19" spans="1:2" x14ac:dyDescent="0.25">
      <c r="A19">
        <v>18</v>
      </c>
      <c r="B19">
        <v>32</v>
      </c>
    </row>
    <row r="20" spans="1:2" x14ac:dyDescent="0.25">
      <c r="A20">
        <v>19</v>
      </c>
      <c r="B20">
        <v>30</v>
      </c>
    </row>
    <row r="21" spans="1:2" x14ac:dyDescent="0.25">
      <c r="A21">
        <v>20</v>
      </c>
      <c r="B21">
        <v>29</v>
      </c>
    </row>
    <row r="22" spans="1:2" x14ac:dyDescent="0.25">
      <c r="A22">
        <v>21</v>
      </c>
      <c r="B22">
        <v>34</v>
      </c>
    </row>
    <row r="23" spans="1:2" x14ac:dyDescent="0.25">
      <c r="A23">
        <v>22</v>
      </c>
      <c r="B23">
        <v>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2D14-4411-465E-9187-535AA417F4CE}">
  <dimension ref="A1:L36"/>
  <sheetViews>
    <sheetView zoomScale="85" zoomScaleNormal="85" workbookViewId="0">
      <selection activeCell="E23" sqref="E23"/>
    </sheetView>
  </sheetViews>
  <sheetFormatPr defaultRowHeight="15" x14ac:dyDescent="0.25"/>
  <cols>
    <col min="2" max="2" width="25.42578125" customWidth="1"/>
    <col min="4" max="4" width="23.140625" customWidth="1"/>
    <col min="5" max="5" width="17.5703125" customWidth="1"/>
    <col min="6" max="6" width="17" customWidth="1"/>
    <col min="7" max="7" width="12.5703125" customWidth="1"/>
  </cols>
  <sheetData>
    <row r="1" spans="1:10" ht="28.5" customHeight="1" x14ac:dyDescent="0.25">
      <c r="A1" t="s">
        <v>2</v>
      </c>
      <c r="B1" t="s">
        <v>5</v>
      </c>
      <c r="D1" t="s">
        <v>26</v>
      </c>
      <c r="E1" t="s">
        <v>35</v>
      </c>
      <c r="F1" s="2" t="s">
        <v>36</v>
      </c>
      <c r="G1" s="2" t="s">
        <v>118</v>
      </c>
    </row>
    <row r="2" spans="1:10" x14ac:dyDescent="0.25">
      <c r="A2">
        <v>1</v>
      </c>
      <c r="B2">
        <v>21.6</v>
      </c>
      <c r="D2">
        <f>$E$35+$E$36*A2</f>
        <v>21.5</v>
      </c>
      <c r="E2">
        <f>B2-D2</f>
        <v>0.10000000000000142</v>
      </c>
      <c r="F2">
        <f>E2^2</f>
        <v>1.0000000000000285E-2</v>
      </c>
      <c r="G2" s="5">
        <f>E2/B2</f>
        <v>4.6296296296296953E-3</v>
      </c>
    </row>
    <row r="3" spans="1:10" x14ac:dyDescent="0.25">
      <c r="A3">
        <v>2</v>
      </c>
      <c r="B3">
        <v>22.9</v>
      </c>
      <c r="D3">
        <f t="shared" ref="D3:D11" si="0">$E$35+$E$36*A3</f>
        <v>22.6</v>
      </c>
      <c r="E3">
        <f t="shared" ref="E3:E11" si="1">B3-D3</f>
        <v>0.29999999999999716</v>
      </c>
      <c r="F3">
        <f t="shared" ref="F3:F11" si="2">E3^2</f>
        <v>8.999999999999829E-2</v>
      </c>
      <c r="G3" s="5">
        <f t="shared" ref="G3:G11" si="3">E3/B3</f>
        <v>1.3100436681222584E-2</v>
      </c>
    </row>
    <row r="4" spans="1:10" ht="45" x14ac:dyDescent="0.25">
      <c r="A4">
        <v>3</v>
      </c>
      <c r="B4">
        <v>25.5</v>
      </c>
      <c r="D4">
        <f t="shared" si="0"/>
        <v>23.7</v>
      </c>
      <c r="E4">
        <f t="shared" si="1"/>
        <v>1.8000000000000007</v>
      </c>
      <c r="F4">
        <f t="shared" si="2"/>
        <v>3.2400000000000024</v>
      </c>
      <c r="G4" s="5">
        <f t="shared" si="3"/>
        <v>7.0588235294117674E-2</v>
      </c>
      <c r="I4" s="2" t="s">
        <v>15</v>
      </c>
      <c r="J4" s="4">
        <f>AVERAGE(E2:E11)</f>
        <v>-1.4210854715202005E-15</v>
      </c>
    </row>
    <row r="5" spans="1:10" x14ac:dyDescent="0.25">
      <c r="A5">
        <v>4</v>
      </c>
      <c r="B5">
        <v>21.9</v>
      </c>
      <c r="D5">
        <f t="shared" si="0"/>
        <v>24.8</v>
      </c>
      <c r="E5">
        <f t="shared" si="1"/>
        <v>-2.9000000000000021</v>
      </c>
      <c r="F5">
        <f t="shared" si="2"/>
        <v>8.4100000000000126</v>
      </c>
      <c r="G5" s="5">
        <f t="shared" si="3"/>
        <v>-0.13242009132420102</v>
      </c>
      <c r="I5" t="s">
        <v>14</v>
      </c>
      <c r="J5" s="4" cm="1">
        <f t="array" ref="J5">AVERAGE(ABS(E2:E11))</f>
        <v>1.3200000000000003</v>
      </c>
    </row>
    <row r="6" spans="1:10" x14ac:dyDescent="0.25">
      <c r="A6">
        <v>5</v>
      </c>
      <c r="B6">
        <v>23.9</v>
      </c>
      <c r="D6">
        <f t="shared" si="0"/>
        <v>25.900000000000002</v>
      </c>
      <c r="E6">
        <f t="shared" si="1"/>
        <v>-2.0000000000000036</v>
      </c>
      <c r="F6">
        <f t="shared" si="2"/>
        <v>4.0000000000000142</v>
      </c>
      <c r="G6" s="5">
        <f t="shared" si="3"/>
        <v>-8.3682008368200986E-2</v>
      </c>
      <c r="I6" t="s">
        <v>16</v>
      </c>
      <c r="J6" s="4">
        <f>AVERAGE(F2:F11)</f>
        <v>3.0700000000000025</v>
      </c>
    </row>
    <row r="7" spans="1:10" x14ac:dyDescent="0.25">
      <c r="A7">
        <v>6</v>
      </c>
      <c r="B7">
        <v>27.5</v>
      </c>
      <c r="D7">
        <f t="shared" si="0"/>
        <v>27</v>
      </c>
      <c r="E7">
        <f t="shared" si="1"/>
        <v>0.5</v>
      </c>
      <c r="F7">
        <f t="shared" si="2"/>
        <v>0.25</v>
      </c>
      <c r="G7" s="5">
        <f t="shared" si="3"/>
        <v>1.8181818181818181E-2</v>
      </c>
      <c r="I7" t="s">
        <v>17</v>
      </c>
      <c r="J7" s="5" cm="1">
        <f t="array" ref="J7">AVERAGE(ABS(G2:G11))</f>
        <v>5.0681430369127423E-2</v>
      </c>
    </row>
    <row r="8" spans="1:10" x14ac:dyDescent="0.25">
      <c r="A8">
        <v>7</v>
      </c>
      <c r="B8">
        <v>31.5</v>
      </c>
      <c r="D8">
        <f t="shared" si="0"/>
        <v>28.1</v>
      </c>
      <c r="E8">
        <f t="shared" si="1"/>
        <v>3.3999999999999986</v>
      </c>
      <c r="F8">
        <f t="shared" si="2"/>
        <v>11.55999999999999</v>
      </c>
      <c r="G8" s="5">
        <f t="shared" si="3"/>
        <v>0.10793650793650789</v>
      </c>
    </row>
    <row r="9" spans="1:10" x14ac:dyDescent="0.25">
      <c r="A9">
        <v>8</v>
      </c>
      <c r="B9">
        <v>29.7</v>
      </c>
      <c r="D9">
        <f t="shared" si="0"/>
        <v>29.200000000000003</v>
      </c>
      <c r="E9">
        <f t="shared" si="1"/>
        <v>0.49999999999999645</v>
      </c>
      <c r="F9">
        <f t="shared" si="2"/>
        <v>0.24999999999999645</v>
      </c>
      <c r="G9" s="5">
        <f t="shared" si="3"/>
        <v>1.6835016835016717E-2</v>
      </c>
    </row>
    <row r="10" spans="1:10" x14ac:dyDescent="0.25">
      <c r="A10">
        <v>9</v>
      </c>
      <c r="B10">
        <v>28.6</v>
      </c>
      <c r="D10">
        <f t="shared" si="0"/>
        <v>30.300000000000004</v>
      </c>
      <c r="E10">
        <f t="shared" si="1"/>
        <v>-1.7000000000000028</v>
      </c>
      <c r="F10">
        <f t="shared" si="2"/>
        <v>2.8900000000000095</v>
      </c>
      <c r="G10" s="5">
        <f t="shared" si="3"/>
        <v>-5.9440559440559537E-2</v>
      </c>
    </row>
    <row r="11" spans="1:10" x14ac:dyDescent="0.25">
      <c r="A11">
        <v>10</v>
      </c>
      <c r="B11">
        <v>31.4</v>
      </c>
      <c r="D11">
        <f t="shared" si="0"/>
        <v>31.400000000000006</v>
      </c>
      <c r="E11">
        <f t="shared" si="1"/>
        <v>0</v>
      </c>
      <c r="F11">
        <f t="shared" si="2"/>
        <v>0</v>
      </c>
      <c r="G11" s="5">
        <f t="shared" si="3"/>
        <v>0</v>
      </c>
    </row>
    <row r="13" spans="1:10" x14ac:dyDescent="0.25">
      <c r="E13" t="s">
        <v>49</v>
      </c>
      <c r="F13">
        <f>SUM(F2:F11)</f>
        <v>30.700000000000024</v>
      </c>
    </row>
    <row r="19" spans="4:9" x14ac:dyDescent="0.25">
      <c r="D19" t="s">
        <v>40</v>
      </c>
    </row>
    <row r="20" spans="4:9" ht="15.75" thickBot="1" x14ac:dyDescent="0.3"/>
    <row r="21" spans="4:9" x14ac:dyDescent="0.25">
      <c r="D21" s="13" t="s">
        <v>41</v>
      </c>
      <c r="E21" s="13"/>
    </row>
    <row r="22" spans="4:9" x14ac:dyDescent="0.25">
      <c r="D22" t="s">
        <v>42</v>
      </c>
      <c r="E22">
        <v>0.87452616661188121</v>
      </c>
    </row>
    <row r="23" spans="4:9" x14ac:dyDescent="0.25">
      <c r="D23" t="s">
        <v>43</v>
      </c>
      <c r="E23">
        <v>0.76479601608887182</v>
      </c>
    </row>
    <row r="24" spans="4:9" x14ac:dyDescent="0.25">
      <c r="D24" t="s">
        <v>44</v>
      </c>
      <c r="E24">
        <v>0.73539551809998083</v>
      </c>
    </row>
    <row r="25" spans="4:9" x14ac:dyDescent="0.25">
      <c r="D25" t="s">
        <v>19</v>
      </c>
      <c r="E25">
        <v>1.9589538024159734</v>
      </c>
    </row>
    <row r="26" spans="4:9" ht="15.75" thickBot="1" x14ac:dyDescent="0.3">
      <c r="D26" s="8" t="s">
        <v>45</v>
      </c>
      <c r="E26" s="8">
        <v>10</v>
      </c>
    </row>
    <row r="28" spans="4:9" ht="15.75" thickBot="1" x14ac:dyDescent="0.3">
      <c r="D28" t="s">
        <v>46</v>
      </c>
    </row>
    <row r="29" spans="4:9" x14ac:dyDescent="0.25">
      <c r="D29" s="9"/>
      <c r="E29" s="9" t="s">
        <v>51</v>
      </c>
      <c r="F29" s="9" t="s">
        <v>52</v>
      </c>
      <c r="G29" s="9" t="s">
        <v>53</v>
      </c>
      <c r="H29" s="9" t="s">
        <v>54</v>
      </c>
      <c r="I29" s="9" t="s">
        <v>55</v>
      </c>
    </row>
    <row r="30" spans="4:9" x14ac:dyDescent="0.25">
      <c r="D30" t="s">
        <v>47</v>
      </c>
      <c r="E30">
        <v>1</v>
      </c>
      <c r="F30">
        <v>99.825000000000003</v>
      </c>
      <c r="G30">
        <v>99.825000000000003</v>
      </c>
      <c r="H30">
        <v>26.013029315960907</v>
      </c>
      <c r="I30">
        <v>9.2950922339240366E-4</v>
      </c>
    </row>
    <row r="31" spans="4:9" x14ac:dyDescent="0.25">
      <c r="D31" t="s">
        <v>48</v>
      </c>
      <c r="E31">
        <v>8</v>
      </c>
      <c r="F31">
        <v>30.700000000000006</v>
      </c>
      <c r="G31">
        <v>3.8375000000000008</v>
      </c>
    </row>
    <row r="32" spans="4:9" ht="15.75" thickBot="1" x14ac:dyDescent="0.3">
      <c r="D32" s="8" t="s">
        <v>49</v>
      </c>
      <c r="E32" s="8">
        <v>9</v>
      </c>
      <c r="F32" s="8">
        <v>130.52500000000001</v>
      </c>
      <c r="G32" s="8"/>
      <c r="H32" s="8"/>
      <c r="I32" s="8"/>
    </row>
    <row r="33" spans="4:12" ht="15.75" thickBot="1" x14ac:dyDescent="0.3"/>
    <row r="34" spans="4:12" x14ac:dyDescent="0.25">
      <c r="D34" s="9"/>
      <c r="E34" s="9" t="s">
        <v>56</v>
      </c>
      <c r="F34" s="9" t="s">
        <v>19</v>
      </c>
      <c r="G34" s="9" t="s">
        <v>57</v>
      </c>
      <c r="H34" s="9" t="s">
        <v>58</v>
      </c>
      <c r="I34" s="9" t="s">
        <v>59</v>
      </c>
      <c r="J34" s="9" t="s">
        <v>60</v>
      </c>
      <c r="K34" s="9" t="s">
        <v>61</v>
      </c>
      <c r="L34" s="9" t="s">
        <v>62</v>
      </c>
    </row>
    <row r="35" spans="4:12" x14ac:dyDescent="0.25">
      <c r="D35" t="s">
        <v>50</v>
      </c>
      <c r="E35">
        <v>20.399999999999999</v>
      </c>
      <c r="F35">
        <v>1.3382202110763886</v>
      </c>
      <c r="G35">
        <v>15.244127858143312</v>
      </c>
      <c r="H35">
        <v>3.3998882786469612E-7</v>
      </c>
      <c r="I35">
        <v>17.314058659444054</v>
      </c>
      <c r="J35">
        <v>23.485941340555943</v>
      </c>
      <c r="K35">
        <v>17.314058659444054</v>
      </c>
      <c r="L35">
        <v>23.485941340555943</v>
      </c>
    </row>
    <row r="36" spans="4:12" ht="15.75" thickBot="1" x14ac:dyDescent="0.3">
      <c r="D36" s="8" t="s">
        <v>2</v>
      </c>
      <c r="E36" s="8">
        <v>1.1000000000000005</v>
      </c>
      <c r="F36" s="8">
        <v>0.21567371540164909</v>
      </c>
      <c r="G36" s="8">
        <v>5.1002969831139175</v>
      </c>
      <c r="H36" s="8">
        <v>9.2950922339240117E-4</v>
      </c>
      <c r="I36" s="8">
        <v>0.60265552042895099</v>
      </c>
      <c r="J36" s="8">
        <v>1.5973444795710501</v>
      </c>
      <c r="K36" s="8">
        <v>0.60265552042895099</v>
      </c>
      <c r="L36" s="8">
        <v>1.5973444795710501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1381-649A-4CD8-8B80-4918A37E953C}">
  <dimension ref="A1:G16"/>
  <sheetViews>
    <sheetView workbookViewId="0">
      <selection activeCell="H15" sqref="H15"/>
    </sheetView>
  </sheetViews>
  <sheetFormatPr defaultRowHeight="15" x14ac:dyDescent="0.25"/>
  <cols>
    <col min="6" max="6" width="11" customWidth="1"/>
  </cols>
  <sheetData>
    <row r="1" spans="1:7" ht="45" x14ac:dyDescent="0.25">
      <c r="A1" t="s">
        <v>2</v>
      </c>
      <c r="B1" t="s">
        <v>5</v>
      </c>
      <c r="D1" t="s">
        <v>121</v>
      </c>
      <c r="E1" t="s">
        <v>122</v>
      </c>
      <c r="F1" s="2" t="s">
        <v>124</v>
      </c>
      <c r="G1" s="2" t="s">
        <v>125</v>
      </c>
    </row>
    <row r="2" spans="1:7" x14ac:dyDescent="0.25">
      <c r="A2">
        <v>1</v>
      </c>
      <c r="B2">
        <v>21.6</v>
      </c>
      <c r="D2">
        <f>A2-$A$14</f>
        <v>-4.5</v>
      </c>
      <c r="E2">
        <f>B2-$B$14</f>
        <v>-4.8499999999999979</v>
      </c>
      <c r="F2">
        <f>D2*E2</f>
        <v>21.824999999999989</v>
      </c>
      <c r="G2">
        <f>(A2-$A$14)^2</f>
        <v>20.25</v>
      </c>
    </row>
    <row r="3" spans="1:7" x14ac:dyDescent="0.25">
      <c r="A3">
        <v>2</v>
      </c>
      <c r="B3">
        <v>22.9</v>
      </c>
      <c r="D3">
        <f t="shared" ref="D3:D11" si="0">A3-$A$14</f>
        <v>-3.5</v>
      </c>
      <c r="E3">
        <f t="shared" ref="E3:E11" si="1">B3-$B$14</f>
        <v>-3.5500000000000007</v>
      </c>
      <c r="F3">
        <f t="shared" ref="F3:F11" si="2">D3*E3</f>
        <v>12.425000000000002</v>
      </c>
      <c r="G3">
        <f t="shared" ref="G3:G11" si="3">(A3-$A$14)^2</f>
        <v>12.25</v>
      </c>
    </row>
    <row r="4" spans="1:7" x14ac:dyDescent="0.25">
      <c r="A4">
        <v>3</v>
      </c>
      <c r="B4">
        <v>25.5</v>
      </c>
      <c r="D4">
        <f t="shared" si="0"/>
        <v>-2.5</v>
      </c>
      <c r="E4">
        <f t="shared" si="1"/>
        <v>-0.94999999999999929</v>
      </c>
      <c r="F4">
        <f t="shared" si="2"/>
        <v>2.3749999999999982</v>
      </c>
      <c r="G4">
        <f t="shared" si="3"/>
        <v>6.25</v>
      </c>
    </row>
    <row r="5" spans="1:7" x14ac:dyDescent="0.25">
      <c r="A5">
        <v>4</v>
      </c>
      <c r="B5">
        <v>21.9</v>
      </c>
      <c r="D5">
        <f t="shared" si="0"/>
        <v>-1.5</v>
      </c>
      <c r="E5">
        <f t="shared" si="1"/>
        <v>-4.5500000000000007</v>
      </c>
      <c r="F5">
        <f t="shared" si="2"/>
        <v>6.8250000000000011</v>
      </c>
      <c r="G5">
        <f t="shared" si="3"/>
        <v>2.25</v>
      </c>
    </row>
    <row r="6" spans="1:7" x14ac:dyDescent="0.25">
      <c r="A6">
        <v>5</v>
      </c>
      <c r="B6">
        <v>23.9</v>
      </c>
      <c r="D6">
        <f t="shared" si="0"/>
        <v>-0.5</v>
      </c>
      <c r="E6">
        <f t="shared" si="1"/>
        <v>-2.5500000000000007</v>
      </c>
      <c r="F6">
        <f t="shared" si="2"/>
        <v>1.2750000000000004</v>
      </c>
      <c r="G6">
        <f t="shared" si="3"/>
        <v>0.25</v>
      </c>
    </row>
    <row r="7" spans="1:7" x14ac:dyDescent="0.25">
      <c r="A7">
        <v>6</v>
      </c>
      <c r="B7">
        <v>27.5</v>
      </c>
      <c r="D7">
        <f t="shared" si="0"/>
        <v>0.5</v>
      </c>
      <c r="E7">
        <f t="shared" si="1"/>
        <v>1.0500000000000007</v>
      </c>
      <c r="F7">
        <f t="shared" si="2"/>
        <v>0.52500000000000036</v>
      </c>
      <c r="G7">
        <f t="shared" si="3"/>
        <v>0.25</v>
      </c>
    </row>
    <row r="8" spans="1:7" x14ac:dyDescent="0.25">
      <c r="A8">
        <v>7</v>
      </c>
      <c r="B8">
        <v>31.5</v>
      </c>
      <c r="D8">
        <f t="shared" si="0"/>
        <v>1.5</v>
      </c>
      <c r="E8">
        <f t="shared" si="1"/>
        <v>5.0500000000000007</v>
      </c>
      <c r="F8">
        <f t="shared" si="2"/>
        <v>7.5750000000000011</v>
      </c>
      <c r="G8">
        <f t="shared" si="3"/>
        <v>2.25</v>
      </c>
    </row>
    <row r="9" spans="1:7" x14ac:dyDescent="0.25">
      <c r="A9">
        <v>8</v>
      </c>
      <c r="B9">
        <v>29.7</v>
      </c>
      <c r="D9">
        <f t="shared" si="0"/>
        <v>2.5</v>
      </c>
      <c r="E9">
        <f t="shared" si="1"/>
        <v>3.25</v>
      </c>
      <c r="F9">
        <f t="shared" si="2"/>
        <v>8.125</v>
      </c>
      <c r="G9">
        <f t="shared" si="3"/>
        <v>6.25</v>
      </c>
    </row>
    <row r="10" spans="1:7" x14ac:dyDescent="0.25">
      <c r="A10">
        <v>9</v>
      </c>
      <c r="B10">
        <v>28.6</v>
      </c>
      <c r="D10">
        <f t="shared" si="0"/>
        <v>3.5</v>
      </c>
      <c r="E10">
        <f t="shared" si="1"/>
        <v>2.1500000000000021</v>
      </c>
      <c r="F10">
        <f t="shared" si="2"/>
        <v>7.5250000000000075</v>
      </c>
      <c r="G10">
        <f t="shared" si="3"/>
        <v>12.25</v>
      </c>
    </row>
    <row r="11" spans="1:7" x14ac:dyDescent="0.25">
      <c r="A11">
        <v>10</v>
      </c>
      <c r="B11">
        <v>31.4</v>
      </c>
      <c r="D11">
        <f t="shared" si="0"/>
        <v>4.5</v>
      </c>
      <c r="E11">
        <f t="shared" si="1"/>
        <v>4.9499999999999993</v>
      </c>
      <c r="F11">
        <f t="shared" si="2"/>
        <v>22.274999999999999</v>
      </c>
      <c r="G11">
        <f t="shared" si="3"/>
        <v>20.25</v>
      </c>
    </row>
    <row r="13" spans="1:7" x14ac:dyDescent="0.25">
      <c r="A13" s="11" t="s">
        <v>120</v>
      </c>
      <c r="B13" s="11" t="s">
        <v>123</v>
      </c>
      <c r="E13" s="11" t="s">
        <v>20</v>
      </c>
      <c r="F13">
        <f>SUM(F2:F11)</f>
        <v>90.75</v>
      </c>
      <c r="G13">
        <f>SUM(G2:G11)</f>
        <v>82.5</v>
      </c>
    </row>
    <row r="14" spans="1:7" x14ac:dyDescent="0.25">
      <c r="A14">
        <f>AVERAGE(A2:A11)</f>
        <v>5.5</v>
      </c>
      <c r="B14">
        <f>AVERAGE(B2:B11)</f>
        <v>26.45</v>
      </c>
    </row>
    <row r="15" spans="1:7" x14ac:dyDescent="0.25">
      <c r="E15" t="s">
        <v>127</v>
      </c>
      <c r="F15">
        <f>B14-F16*A14</f>
        <v>20.399999999999999</v>
      </c>
    </row>
    <row r="16" spans="1:7" x14ac:dyDescent="0.25">
      <c r="E16" t="s">
        <v>126</v>
      </c>
      <c r="F16">
        <f>F13/G13</f>
        <v>1.1000000000000001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E8C0-1590-46C2-A807-73E88B885F4D}">
  <dimension ref="A1:I52"/>
  <sheetViews>
    <sheetView zoomScale="85" zoomScaleNormal="85" workbookViewId="0">
      <selection activeCell="G21" sqref="G21:G22"/>
    </sheetView>
  </sheetViews>
  <sheetFormatPr defaultRowHeight="15" x14ac:dyDescent="0.25"/>
  <cols>
    <col min="1" max="1" width="13.7109375" customWidth="1"/>
    <col min="3" max="3" width="16" customWidth="1"/>
    <col min="7" max="7" width="13.28515625" customWidth="1"/>
  </cols>
  <sheetData>
    <row r="1" spans="1:7" ht="43.5" customHeight="1" x14ac:dyDescent="0.25">
      <c r="A1" t="s">
        <v>2</v>
      </c>
      <c r="B1" t="s">
        <v>5</v>
      </c>
      <c r="D1" t="s">
        <v>26</v>
      </c>
      <c r="F1" s="2" t="s">
        <v>35</v>
      </c>
      <c r="G1" s="2" t="s">
        <v>36</v>
      </c>
    </row>
    <row r="2" spans="1:7" x14ac:dyDescent="0.25">
      <c r="A2">
        <v>1</v>
      </c>
      <c r="B2">
        <v>21.6</v>
      </c>
      <c r="D2">
        <v>21.5</v>
      </c>
      <c r="F2">
        <f>B2-D2</f>
        <v>0.10000000000000142</v>
      </c>
      <c r="G2">
        <f>F2^2</f>
        <v>1.0000000000000285E-2</v>
      </c>
    </row>
    <row r="3" spans="1:7" x14ac:dyDescent="0.25">
      <c r="A3">
        <v>2</v>
      </c>
      <c r="B3">
        <v>22.9</v>
      </c>
      <c r="D3">
        <v>22.6</v>
      </c>
      <c r="F3">
        <f t="shared" ref="F3:F11" si="0">B3-D3</f>
        <v>0.29999999999999716</v>
      </c>
      <c r="G3">
        <f t="shared" ref="G3:G11" si="1">F3^2</f>
        <v>8.999999999999829E-2</v>
      </c>
    </row>
    <row r="4" spans="1:7" x14ac:dyDescent="0.25">
      <c r="A4">
        <v>3</v>
      </c>
      <c r="B4">
        <v>25.5</v>
      </c>
      <c r="D4">
        <v>23.7</v>
      </c>
      <c r="F4">
        <f t="shared" si="0"/>
        <v>1.8000000000000007</v>
      </c>
      <c r="G4">
        <f t="shared" si="1"/>
        <v>3.2400000000000024</v>
      </c>
    </row>
    <row r="5" spans="1:7" x14ac:dyDescent="0.25">
      <c r="A5">
        <v>4</v>
      </c>
      <c r="B5">
        <v>21.9</v>
      </c>
      <c r="D5">
        <v>24.8</v>
      </c>
      <c r="F5">
        <f t="shared" si="0"/>
        <v>-2.9000000000000021</v>
      </c>
      <c r="G5">
        <f t="shared" si="1"/>
        <v>8.4100000000000126</v>
      </c>
    </row>
    <row r="6" spans="1:7" x14ac:dyDescent="0.25">
      <c r="A6">
        <v>5</v>
      </c>
      <c r="B6">
        <v>23.9</v>
      </c>
      <c r="D6">
        <v>25.900000000000002</v>
      </c>
      <c r="F6">
        <f t="shared" si="0"/>
        <v>-2.0000000000000036</v>
      </c>
      <c r="G6">
        <f t="shared" si="1"/>
        <v>4.0000000000000142</v>
      </c>
    </row>
    <row r="7" spans="1:7" x14ac:dyDescent="0.25">
      <c r="A7">
        <v>6</v>
      </c>
      <c r="B7">
        <v>27.5</v>
      </c>
      <c r="D7">
        <v>27</v>
      </c>
      <c r="F7">
        <f t="shared" si="0"/>
        <v>0.5</v>
      </c>
      <c r="G7">
        <f t="shared" si="1"/>
        <v>0.25</v>
      </c>
    </row>
    <row r="8" spans="1:7" x14ac:dyDescent="0.25">
      <c r="A8">
        <v>7</v>
      </c>
      <c r="B8">
        <v>31.5</v>
      </c>
      <c r="D8">
        <v>28.1</v>
      </c>
      <c r="F8">
        <f t="shared" si="0"/>
        <v>3.3999999999999986</v>
      </c>
      <c r="G8">
        <f t="shared" si="1"/>
        <v>11.55999999999999</v>
      </c>
    </row>
    <row r="9" spans="1:7" x14ac:dyDescent="0.25">
      <c r="A9">
        <v>8</v>
      </c>
      <c r="B9">
        <v>29.7</v>
      </c>
      <c r="D9">
        <v>29.200000000000003</v>
      </c>
      <c r="F9">
        <f t="shared" si="0"/>
        <v>0.49999999999999645</v>
      </c>
      <c r="G9">
        <f t="shared" si="1"/>
        <v>0.24999999999999645</v>
      </c>
    </row>
    <row r="10" spans="1:7" x14ac:dyDescent="0.25">
      <c r="A10">
        <v>9</v>
      </c>
      <c r="B10">
        <v>28.6</v>
      </c>
      <c r="D10">
        <v>30.300000000000004</v>
      </c>
      <c r="F10">
        <f t="shared" si="0"/>
        <v>-1.7000000000000028</v>
      </c>
      <c r="G10">
        <f t="shared" si="1"/>
        <v>2.8900000000000095</v>
      </c>
    </row>
    <row r="11" spans="1:7" ht="15.75" thickBot="1" x14ac:dyDescent="0.3">
      <c r="A11">
        <v>10</v>
      </c>
      <c r="B11">
        <v>31.4</v>
      </c>
      <c r="D11" s="8">
        <v>31.400000000000006</v>
      </c>
      <c r="F11">
        <f t="shared" si="0"/>
        <v>0</v>
      </c>
      <c r="G11">
        <f t="shared" si="1"/>
        <v>0</v>
      </c>
    </row>
    <row r="12" spans="1:7" x14ac:dyDescent="0.25">
      <c r="A12" s="1">
        <v>10.1</v>
      </c>
      <c r="B12" s="1" t="s">
        <v>76</v>
      </c>
      <c r="C12" s="1"/>
      <c r="D12" s="1">
        <v>31.5</v>
      </c>
    </row>
    <row r="13" spans="1:7" x14ac:dyDescent="0.25">
      <c r="A13" s="14">
        <v>11</v>
      </c>
      <c r="C13" t="s">
        <v>67</v>
      </c>
      <c r="D13" s="14">
        <f>$B$35+$B$36*A13</f>
        <v>32.5</v>
      </c>
      <c r="F13" t="s">
        <v>68</v>
      </c>
      <c r="G13" s="15">
        <f>SUM(G2:G11)</f>
        <v>30.700000000000024</v>
      </c>
    </row>
    <row r="14" spans="1:7" x14ac:dyDescent="0.25">
      <c r="A14" s="14">
        <v>12</v>
      </c>
      <c r="D14" s="14">
        <f>$B$35+$B$36*A14</f>
        <v>33.600000000000009</v>
      </c>
    </row>
    <row r="15" spans="1:7" x14ac:dyDescent="0.25">
      <c r="A15" s="14">
        <v>13</v>
      </c>
      <c r="D15" s="14">
        <f>$B$35+$B$36*A15</f>
        <v>34.700000000000003</v>
      </c>
    </row>
    <row r="19" spans="1:6" x14ac:dyDescent="0.25">
      <c r="A19" t="s">
        <v>40</v>
      </c>
    </row>
    <row r="20" spans="1:6" ht="15.75" thickBot="1" x14ac:dyDescent="0.3"/>
    <row r="21" spans="1:6" x14ac:dyDescent="0.25">
      <c r="A21" s="13" t="s">
        <v>41</v>
      </c>
      <c r="B21" s="13"/>
    </row>
    <row r="22" spans="1:6" x14ac:dyDescent="0.25">
      <c r="A22" t="s">
        <v>42</v>
      </c>
      <c r="B22">
        <v>0.87452616661188121</v>
      </c>
    </row>
    <row r="23" spans="1:6" x14ac:dyDescent="0.25">
      <c r="A23" t="s">
        <v>43</v>
      </c>
      <c r="B23">
        <v>0.76479601608887182</v>
      </c>
    </row>
    <row r="24" spans="1:6" x14ac:dyDescent="0.25">
      <c r="A24" t="s">
        <v>44</v>
      </c>
      <c r="B24">
        <v>0.73539551809998083</v>
      </c>
    </row>
    <row r="25" spans="1:6" x14ac:dyDescent="0.25">
      <c r="A25" t="s">
        <v>19</v>
      </c>
      <c r="B25">
        <v>1.9589538024159734</v>
      </c>
    </row>
    <row r="26" spans="1:6" ht="15.75" thickBot="1" x14ac:dyDescent="0.3">
      <c r="A26" s="8" t="s">
        <v>45</v>
      </c>
      <c r="B26" s="8">
        <v>10</v>
      </c>
    </row>
    <row r="28" spans="1:6" ht="15.75" thickBot="1" x14ac:dyDescent="0.3">
      <c r="A28" t="s">
        <v>46</v>
      </c>
    </row>
    <row r="29" spans="1:6" x14ac:dyDescent="0.25">
      <c r="A29" s="9"/>
      <c r="B29" s="9" t="s">
        <v>51</v>
      </c>
      <c r="C29" s="9" t="s">
        <v>52</v>
      </c>
      <c r="D29" s="9" t="s">
        <v>53</v>
      </c>
      <c r="E29" s="9" t="s">
        <v>54</v>
      </c>
      <c r="F29" s="9" t="s">
        <v>55</v>
      </c>
    </row>
    <row r="30" spans="1:6" x14ac:dyDescent="0.25">
      <c r="A30" t="s">
        <v>47</v>
      </c>
      <c r="B30">
        <v>1</v>
      </c>
      <c r="C30">
        <v>99.825000000000003</v>
      </c>
      <c r="D30">
        <v>99.825000000000003</v>
      </c>
      <c r="E30">
        <v>26.013029315960907</v>
      </c>
      <c r="F30">
        <v>9.2950922339240366E-4</v>
      </c>
    </row>
    <row r="31" spans="1:6" x14ac:dyDescent="0.25">
      <c r="A31" t="s">
        <v>48</v>
      </c>
      <c r="B31">
        <v>8</v>
      </c>
      <c r="C31" s="15">
        <v>30.700000000000006</v>
      </c>
      <c r="D31" s="1">
        <v>3.8374999999999999</v>
      </c>
    </row>
    <row r="32" spans="1:6" ht="15.75" thickBot="1" x14ac:dyDescent="0.3">
      <c r="A32" s="8" t="s">
        <v>49</v>
      </c>
      <c r="B32" s="8">
        <v>9</v>
      </c>
      <c r="C32" s="8">
        <v>130.52500000000001</v>
      </c>
      <c r="D32" s="8"/>
      <c r="E32" s="8"/>
      <c r="F32" s="8"/>
    </row>
    <row r="33" spans="1:9" ht="15.75" thickBot="1" x14ac:dyDescent="0.3"/>
    <row r="34" spans="1:9" x14ac:dyDescent="0.25">
      <c r="A34" s="9"/>
      <c r="B34" s="9" t="s">
        <v>56</v>
      </c>
      <c r="C34" s="9" t="s">
        <v>19</v>
      </c>
      <c r="D34" s="9" t="s">
        <v>57</v>
      </c>
      <c r="E34" s="9" t="s">
        <v>58</v>
      </c>
      <c r="F34" s="9" t="s">
        <v>59</v>
      </c>
      <c r="G34" s="9" t="s">
        <v>60</v>
      </c>
      <c r="H34" s="9" t="s">
        <v>61</v>
      </c>
      <c r="I34" s="9" t="s">
        <v>62</v>
      </c>
    </row>
    <row r="35" spans="1:9" x14ac:dyDescent="0.25">
      <c r="A35" t="s">
        <v>50</v>
      </c>
      <c r="B35">
        <v>20.399999999999999</v>
      </c>
      <c r="C35">
        <v>1.3382202110763886</v>
      </c>
      <c r="D35">
        <v>15.244127858143312</v>
      </c>
      <c r="E35">
        <v>3.3998882786469612E-7</v>
      </c>
      <c r="F35">
        <v>17.314058659444054</v>
      </c>
      <c r="G35">
        <v>23.485941340555943</v>
      </c>
      <c r="H35">
        <v>17.314058659444054</v>
      </c>
      <c r="I35">
        <v>23.485941340555943</v>
      </c>
    </row>
    <row r="36" spans="1:9" ht="15.75" thickBot="1" x14ac:dyDescent="0.3">
      <c r="A36" s="8" t="s">
        <v>2</v>
      </c>
      <c r="B36" s="8">
        <v>1.1000000000000005</v>
      </c>
      <c r="C36" s="8">
        <v>0.21567371540164909</v>
      </c>
      <c r="D36" s="8">
        <v>5.1002969831139175</v>
      </c>
      <c r="E36" s="8">
        <v>9.2950922339240117E-4</v>
      </c>
      <c r="F36" s="8">
        <v>0.60265552042895099</v>
      </c>
      <c r="G36" s="8">
        <v>1.5973444795710501</v>
      </c>
      <c r="H36" s="8">
        <v>0.60265552042895099</v>
      </c>
      <c r="I36" s="8">
        <v>1.5973444795710501</v>
      </c>
    </row>
    <row r="40" spans="1:9" x14ac:dyDescent="0.25">
      <c r="A40" t="s">
        <v>63</v>
      </c>
    </row>
    <row r="41" spans="1:9" ht="15.75" thickBot="1" x14ac:dyDescent="0.3"/>
    <row r="42" spans="1:9" x14ac:dyDescent="0.25">
      <c r="A42" s="9" t="s">
        <v>64</v>
      </c>
      <c r="B42" s="9" t="s">
        <v>65</v>
      </c>
      <c r="C42" s="9" t="s">
        <v>66</v>
      </c>
    </row>
    <row r="43" spans="1:9" x14ac:dyDescent="0.25">
      <c r="A43">
        <v>1</v>
      </c>
      <c r="B43">
        <v>21.5</v>
      </c>
      <c r="C43">
        <v>0.10000000000000142</v>
      </c>
    </row>
    <row r="44" spans="1:9" x14ac:dyDescent="0.25">
      <c r="A44">
        <v>2</v>
      </c>
      <c r="B44">
        <v>22.6</v>
      </c>
      <c r="C44">
        <v>0.29999999999999716</v>
      </c>
    </row>
    <row r="45" spans="1:9" x14ac:dyDescent="0.25">
      <c r="A45">
        <v>3</v>
      </c>
      <c r="B45">
        <v>23.7</v>
      </c>
      <c r="C45">
        <v>1.8000000000000007</v>
      </c>
    </row>
    <row r="46" spans="1:9" x14ac:dyDescent="0.25">
      <c r="A46">
        <v>4</v>
      </c>
      <c r="B46">
        <v>24.8</v>
      </c>
      <c r="C46">
        <v>-2.9000000000000021</v>
      </c>
    </row>
    <row r="47" spans="1:9" x14ac:dyDescent="0.25">
      <c r="A47">
        <v>5</v>
      </c>
      <c r="B47">
        <v>25.900000000000002</v>
      </c>
      <c r="C47">
        <v>-2.0000000000000036</v>
      </c>
    </row>
    <row r="48" spans="1:9" x14ac:dyDescent="0.25">
      <c r="A48">
        <v>6</v>
      </c>
      <c r="B48">
        <v>27</v>
      </c>
      <c r="C48">
        <v>0.5</v>
      </c>
    </row>
    <row r="49" spans="1:3" x14ac:dyDescent="0.25">
      <c r="A49">
        <v>7</v>
      </c>
      <c r="B49">
        <v>28.1</v>
      </c>
      <c r="C49">
        <v>3.3999999999999986</v>
      </c>
    </row>
    <row r="50" spans="1:3" x14ac:dyDescent="0.25">
      <c r="A50">
        <v>8</v>
      </c>
      <c r="B50">
        <v>29.200000000000003</v>
      </c>
      <c r="C50">
        <v>0.49999999999999645</v>
      </c>
    </row>
    <row r="51" spans="1:3" x14ac:dyDescent="0.25">
      <c r="A51">
        <v>9</v>
      </c>
      <c r="B51">
        <v>30.300000000000004</v>
      </c>
      <c r="C51">
        <v>-1.7000000000000028</v>
      </c>
    </row>
    <row r="52" spans="1:3" ht="15.75" thickBot="1" x14ac:dyDescent="0.3">
      <c r="A52" s="8">
        <v>10</v>
      </c>
      <c r="B52" s="8">
        <v>31.400000000000006</v>
      </c>
      <c r="C52" s="8">
        <v>-7.1054273576010019E-15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8E2A-A04E-4A8E-8B30-71791DD94CE1}">
  <dimension ref="A1:M15"/>
  <sheetViews>
    <sheetView zoomScale="85" zoomScaleNormal="85" workbookViewId="0">
      <selection activeCell="F3" sqref="F3"/>
    </sheetView>
  </sheetViews>
  <sheetFormatPr defaultRowHeight="15" x14ac:dyDescent="0.25"/>
  <cols>
    <col min="2" max="2" width="11.7109375" customWidth="1"/>
    <col min="3" max="3" width="14" customWidth="1"/>
    <col min="8" max="8" width="14.7109375" customWidth="1"/>
    <col min="9" max="9" width="13.7109375" customWidth="1"/>
    <col min="10" max="10" width="16.140625" bestFit="1" customWidth="1"/>
    <col min="12" max="12" width="10.5703125" bestFit="1" customWidth="1"/>
  </cols>
  <sheetData>
    <row r="1" spans="1:13" ht="30" customHeight="1" x14ac:dyDescent="0.25">
      <c r="A1" t="s">
        <v>2</v>
      </c>
      <c r="B1" t="s">
        <v>5</v>
      </c>
      <c r="C1" t="s">
        <v>74</v>
      </c>
      <c r="D1" s="11" t="s">
        <v>69</v>
      </c>
      <c r="E1" t="s">
        <v>70</v>
      </c>
      <c r="F1" t="s">
        <v>72</v>
      </c>
      <c r="H1" t="s">
        <v>35</v>
      </c>
      <c r="I1" s="2" t="s">
        <v>73</v>
      </c>
      <c r="J1" t="s">
        <v>118</v>
      </c>
    </row>
    <row r="2" spans="1:13" x14ac:dyDescent="0.25">
      <c r="A2">
        <v>1</v>
      </c>
      <c r="B2">
        <v>21.6</v>
      </c>
      <c r="D2" s="11">
        <v>0.1</v>
      </c>
      <c r="E2">
        <f>B2</f>
        <v>21.6</v>
      </c>
      <c r="F2">
        <f>B3-B2</f>
        <v>1.2999999999999972</v>
      </c>
    </row>
    <row r="3" spans="1:13" ht="45" x14ac:dyDescent="0.25">
      <c r="A3">
        <v>2</v>
      </c>
      <c r="B3">
        <v>22.9</v>
      </c>
      <c r="C3">
        <f>E2+F2</f>
        <v>22.9</v>
      </c>
      <c r="E3">
        <f>$D$2*B3+(1-$D$2)*(E2+F2)</f>
        <v>22.9</v>
      </c>
      <c r="F3">
        <f>$D$6*(E3-E2)+(1-$D$6)*F2</f>
        <v>1.2999999999999972</v>
      </c>
      <c r="H3">
        <f>B3-C3</f>
        <v>0</v>
      </c>
      <c r="I3">
        <f t="shared" ref="I3:I10" si="0">H3^2</f>
        <v>0</v>
      </c>
      <c r="J3" s="5">
        <f>H3/B3</f>
        <v>0</v>
      </c>
      <c r="L3" s="2" t="s">
        <v>15</v>
      </c>
      <c r="M3" s="4">
        <f>AVERAGE(H2:H11)</f>
        <v>-0.7158887577424744</v>
      </c>
    </row>
    <row r="4" spans="1:13" x14ac:dyDescent="0.25">
      <c r="A4">
        <v>3</v>
      </c>
      <c r="B4">
        <v>25.5</v>
      </c>
      <c r="C4">
        <f>E3+F3</f>
        <v>24.199999999999996</v>
      </c>
      <c r="E4">
        <f>$D$2*B4+(1-$D$2)*(E3+F3)</f>
        <v>24.33</v>
      </c>
      <c r="F4">
        <f>$D$6*(E4-E3)+(1-$D$6)*F3</f>
        <v>1.3259999999999978</v>
      </c>
      <c r="H4">
        <f t="shared" ref="H4:H11" si="1">B4-C4</f>
        <v>1.3000000000000043</v>
      </c>
      <c r="I4">
        <f>H4^2</f>
        <v>1.690000000000011</v>
      </c>
      <c r="J4" s="5">
        <f t="shared" ref="J4:J11" si="2">H4/B4</f>
        <v>5.0980392156862911E-2</v>
      </c>
      <c r="L4" t="s">
        <v>14</v>
      </c>
      <c r="M4" s="4" cm="1">
        <f t="array" ref="M4">AVERAGE(ABS(H2:H11))</f>
        <v>1.4772801955682293</v>
      </c>
    </row>
    <row r="5" spans="1:13" x14ac:dyDescent="0.25">
      <c r="A5">
        <v>4</v>
      </c>
      <c r="B5">
        <v>21.9</v>
      </c>
      <c r="C5">
        <f>E4+F4</f>
        <v>25.655999999999995</v>
      </c>
      <c r="D5" s="11" t="s">
        <v>71</v>
      </c>
      <c r="E5">
        <f t="shared" ref="E5:E11" si="3">$D$2*B5+(1-$D$2)*(E4+F4)</f>
        <v>25.280399999999997</v>
      </c>
      <c r="F5">
        <f t="shared" ref="F5:F11" si="4">$D$6*(E5-E4)+(1-$D$6)*F4</f>
        <v>1.2508799999999982</v>
      </c>
      <c r="H5">
        <f t="shared" si="1"/>
        <v>-3.7559999999999967</v>
      </c>
      <c r="I5">
        <f t="shared" si="0"/>
        <v>14.107535999999975</v>
      </c>
      <c r="J5" s="5">
        <f t="shared" si="2"/>
        <v>-0.17150684931506835</v>
      </c>
      <c r="L5" t="s">
        <v>16</v>
      </c>
      <c r="M5" s="4">
        <f>I13/9</f>
        <v>4.4086407154510834</v>
      </c>
    </row>
    <row r="6" spans="1:13" x14ac:dyDescent="0.25">
      <c r="A6">
        <v>5</v>
      </c>
      <c r="B6">
        <v>23.9</v>
      </c>
      <c r="C6">
        <f t="shared" ref="C6:C11" si="5">E5+F5</f>
        <v>26.531279999999995</v>
      </c>
      <c r="D6" s="11">
        <v>0.2</v>
      </c>
      <c r="E6">
        <f t="shared" si="3"/>
        <v>26.268151999999997</v>
      </c>
      <c r="F6">
        <f t="shared" si="4"/>
        <v>1.1982543999999988</v>
      </c>
      <c r="H6">
        <f t="shared" si="1"/>
        <v>-2.6312799999999967</v>
      </c>
      <c r="I6">
        <f t="shared" si="0"/>
        <v>6.9236344383999828</v>
      </c>
      <c r="J6" s="5">
        <f t="shared" si="2"/>
        <v>-0.11009539748953961</v>
      </c>
      <c r="L6" t="s">
        <v>17</v>
      </c>
      <c r="M6" s="5" cm="1">
        <f t="array" ref="M6">AVERAGE(ABS(J3:J11))</f>
        <v>6.3084785065443461E-2</v>
      </c>
    </row>
    <row r="7" spans="1:13" x14ac:dyDescent="0.25">
      <c r="A7">
        <v>6</v>
      </c>
      <c r="B7">
        <v>27.5</v>
      </c>
      <c r="C7">
        <f t="shared" si="5"/>
        <v>27.466406399999997</v>
      </c>
      <c r="E7">
        <f t="shared" si="3"/>
        <v>27.469765759999998</v>
      </c>
      <c r="F7">
        <f>$D$6*(E7-E6)+(1-$D$6)*F6</f>
        <v>1.1989262719999993</v>
      </c>
      <c r="H7">
        <f t="shared" si="1"/>
        <v>3.3593600000003221E-2</v>
      </c>
      <c r="I7">
        <f t="shared" si="0"/>
        <v>1.1285299609602164E-3</v>
      </c>
      <c r="J7" s="5">
        <f t="shared" si="2"/>
        <v>1.2215854545455716E-3</v>
      </c>
    </row>
    <row r="8" spans="1:13" x14ac:dyDescent="0.25">
      <c r="A8">
        <v>7</v>
      </c>
      <c r="B8">
        <v>31.5</v>
      </c>
      <c r="C8">
        <f t="shared" si="5"/>
        <v>28.668692031999996</v>
      </c>
      <c r="E8">
        <f t="shared" si="3"/>
        <v>28.951822828799997</v>
      </c>
      <c r="F8">
        <f t="shared" si="4"/>
        <v>1.2555524313599995</v>
      </c>
      <c r="H8">
        <f t="shared" si="1"/>
        <v>2.8313079680000044</v>
      </c>
      <c r="I8">
        <f t="shared" si="0"/>
        <v>8.0163048096603138</v>
      </c>
      <c r="J8" s="5">
        <f t="shared" si="2"/>
        <v>8.9882792634920772E-2</v>
      </c>
    </row>
    <row r="9" spans="1:13" x14ac:dyDescent="0.25">
      <c r="A9">
        <v>8</v>
      </c>
      <c r="B9">
        <v>29.7</v>
      </c>
      <c r="C9">
        <f t="shared" si="5"/>
        <v>30.207375260159996</v>
      </c>
      <c r="E9">
        <f t="shared" si="3"/>
        <v>30.156637734143995</v>
      </c>
      <c r="F9">
        <f t="shared" si="4"/>
        <v>1.2454049261567992</v>
      </c>
      <c r="H9">
        <f t="shared" si="1"/>
        <v>-0.50737526015999634</v>
      </c>
      <c r="I9">
        <f t="shared" si="0"/>
        <v>0.25742965462242395</v>
      </c>
      <c r="J9" s="5">
        <f t="shared" si="2"/>
        <v>-1.7083342092929169E-2</v>
      </c>
    </row>
    <row r="10" spans="1:13" x14ac:dyDescent="0.25">
      <c r="A10">
        <v>9</v>
      </c>
      <c r="B10">
        <v>28.6</v>
      </c>
      <c r="C10">
        <f t="shared" si="5"/>
        <v>31.402042660300793</v>
      </c>
      <c r="E10">
        <f t="shared" si="3"/>
        <v>31.121838394270714</v>
      </c>
      <c r="F10">
        <f t="shared" si="4"/>
        <v>1.1893640729507833</v>
      </c>
      <c r="H10">
        <f t="shared" si="1"/>
        <v>-2.802042660300792</v>
      </c>
      <c r="I10">
        <f t="shared" si="0"/>
        <v>7.8514430701455398</v>
      </c>
      <c r="J10" s="5">
        <f t="shared" si="2"/>
        <v>-9.7973519590936781E-2</v>
      </c>
    </row>
    <row r="11" spans="1:13" x14ac:dyDescent="0.25">
      <c r="A11">
        <v>10</v>
      </c>
      <c r="B11">
        <v>31.4</v>
      </c>
      <c r="C11">
        <f t="shared" si="5"/>
        <v>32.311202467221499</v>
      </c>
      <c r="E11">
        <f t="shared" si="3"/>
        <v>32.22008222049935</v>
      </c>
      <c r="F11">
        <f t="shared" si="4"/>
        <v>1.1711400236063538</v>
      </c>
      <c r="H11">
        <f t="shared" si="1"/>
        <v>-0.9112024672215</v>
      </c>
      <c r="I11">
        <f>H11^2</f>
        <v>0.83028993627054881</v>
      </c>
      <c r="J11" s="5">
        <f t="shared" si="2"/>
        <v>-2.90191868541879E-2</v>
      </c>
    </row>
    <row r="12" spans="1:13" x14ac:dyDescent="0.25">
      <c r="A12" t="s">
        <v>75</v>
      </c>
    </row>
    <row r="13" spans="1:13" x14ac:dyDescent="0.25">
      <c r="H13" t="s">
        <v>20</v>
      </c>
      <c r="I13">
        <f>SUM(I2:I11)</f>
        <v>39.677766439059752</v>
      </c>
    </row>
    <row r="14" spans="1:13" x14ac:dyDescent="0.25">
      <c r="A14" s="1">
        <v>10.1</v>
      </c>
      <c r="B14" s="1" t="s">
        <v>76</v>
      </c>
      <c r="C14" s="1">
        <v>31.5</v>
      </c>
    </row>
    <row r="15" spans="1:13" x14ac:dyDescent="0.25">
      <c r="A15">
        <v>11</v>
      </c>
      <c r="C15">
        <f>E11+F11</f>
        <v>33.391222244105705</v>
      </c>
      <c r="E15">
        <f>$D$2*B12+(1-$D$2)*(E11+F11)</f>
        <v>30.052100019695136</v>
      </c>
      <c r="F15">
        <f>$D$6*(E15-E11)+(1-$D$6)*F11</f>
        <v>0.50331557872424026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EA21F-BDC4-46A6-8B09-55E60706E790}">
  <dimension ref="A1:P47"/>
  <sheetViews>
    <sheetView zoomScale="86" zoomScaleNormal="86" workbookViewId="0">
      <selection activeCell="N19" sqref="N19:N20"/>
    </sheetView>
  </sheetViews>
  <sheetFormatPr defaultRowHeight="15" x14ac:dyDescent="0.25"/>
  <cols>
    <col min="2" max="2" width="29.140625" customWidth="1"/>
  </cols>
  <sheetData>
    <row r="1" spans="1:2" x14ac:dyDescent="0.25">
      <c r="A1" t="s">
        <v>2</v>
      </c>
      <c r="B1" t="s">
        <v>77</v>
      </c>
    </row>
    <row r="2" spans="1:2" x14ac:dyDescent="0.25">
      <c r="A2">
        <v>1</v>
      </c>
      <c r="B2">
        <v>23.1</v>
      </c>
    </row>
    <row r="3" spans="1:2" x14ac:dyDescent="0.25">
      <c r="A3">
        <v>2</v>
      </c>
      <c r="B3">
        <v>21.3</v>
      </c>
    </row>
    <row r="4" spans="1:2" x14ac:dyDescent="0.25">
      <c r="A4">
        <v>3</v>
      </c>
      <c r="B4">
        <v>27.4</v>
      </c>
    </row>
    <row r="5" spans="1:2" x14ac:dyDescent="0.25">
      <c r="A5">
        <v>4</v>
      </c>
      <c r="B5">
        <v>34.6</v>
      </c>
    </row>
    <row r="6" spans="1:2" x14ac:dyDescent="0.25">
      <c r="A6">
        <v>5</v>
      </c>
      <c r="B6">
        <v>33.799999999999997</v>
      </c>
    </row>
    <row r="7" spans="1:2" x14ac:dyDescent="0.25">
      <c r="A7">
        <v>6</v>
      </c>
      <c r="B7">
        <v>43.2</v>
      </c>
    </row>
    <row r="8" spans="1:2" x14ac:dyDescent="0.25">
      <c r="A8">
        <v>7</v>
      </c>
      <c r="B8">
        <v>59.5</v>
      </c>
    </row>
    <row r="9" spans="1:2" x14ac:dyDescent="0.25">
      <c r="A9">
        <v>8</v>
      </c>
      <c r="B9">
        <v>64.400000000000006</v>
      </c>
    </row>
    <row r="10" spans="1:2" x14ac:dyDescent="0.25">
      <c r="A10">
        <v>9</v>
      </c>
      <c r="B10">
        <v>74.2</v>
      </c>
    </row>
    <row r="11" spans="1:2" x14ac:dyDescent="0.25">
      <c r="A11">
        <v>10</v>
      </c>
      <c r="B11">
        <v>99.3</v>
      </c>
    </row>
    <row r="14" spans="1:2" x14ac:dyDescent="0.25">
      <c r="A14" t="s">
        <v>40</v>
      </c>
    </row>
    <row r="15" spans="1:2" ht="15.75" thickBot="1" x14ac:dyDescent="0.3"/>
    <row r="16" spans="1:2" x14ac:dyDescent="0.25">
      <c r="A16" s="13" t="s">
        <v>41</v>
      </c>
      <c r="B16" s="13"/>
    </row>
    <row r="17" spans="1:16" x14ac:dyDescent="0.25">
      <c r="A17" t="s">
        <v>42</v>
      </c>
      <c r="B17">
        <v>0.95127731126911586</v>
      </c>
    </row>
    <row r="18" spans="1:16" x14ac:dyDescent="0.25">
      <c r="A18" t="s">
        <v>43</v>
      </c>
      <c r="B18">
        <v>0.90492852293539827</v>
      </c>
      <c r="P18" t="s">
        <v>78</v>
      </c>
    </row>
    <row r="19" spans="1:16" x14ac:dyDescent="0.25">
      <c r="A19" t="s">
        <v>44</v>
      </c>
      <c r="B19">
        <v>0.89304458830232303</v>
      </c>
    </row>
    <row r="20" spans="1:16" x14ac:dyDescent="0.25">
      <c r="A20" t="s">
        <v>19</v>
      </c>
      <c r="B20">
        <v>8.3598299968215599</v>
      </c>
      <c r="N20" t="s">
        <v>78</v>
      </c>
    </row>
    <row r="21" spans="1:16" ht="15.75" thickBot="1" x14ac:dyDescent="0.3">
      <c r="A21" s="8" t="s">
        <v>45</v>
      </c>
      <c r="B21" s="8">
        <v>10</v>
      </c>
    </row>
    <row r="23" spans="1:16" ht="15.75" thickBot="1" x14ac:dyDescent="0.3">
      <c r="A23" t="s">
        <v>46</v>
      </c>
    </row>
    <row r="24" spans="1:16" x14ac:dyDescent="0.25">
      <c r="A24" s="9"/>
      <c r="B24" s="9" t="s">
        <v>51</v>
      </c>
      <c r="C24" s="9" t="s">
        <v>52</v>
      </c>
      <c r="D24" s="9" t="s">
        <v>53</v>
      </c>
      <c r="E24" s="9" t="s">
        <v>54</v>
      </c>
      <c r="F24" s="9" t="s">
        <v>55</v>
      </c>
    </row>
    <row r="25" spans="1:16" x14ac:dyDescent="0.25">
      <c r="A25" t="s">
        <v>47</v>
      </c>
      <c r="B25">
        <v>1</v>
      </c>
      <c r="C25">
        <v>5321.6819393939395</v>
      </c>
      <c r="D25">
        <v>5321.6819393939395</v>
      </c>
      <c r="E25">
        <v>76.147214779927552</v>
      </c>
      <c r="F25">
        <v>2.3242446026608095E-5</v>
      </c>
    </row>
    <row r="26" spans="1:16" x14ac:dyDescent="0.25">
      <c r="A26" t="s">
        <v>48</v>
      </c>
      <c r="B26">
        <v>8</v>
      </c>
      <c r="C26">
        <v>559.09406060606045</v>
      </c>
      <c r="D26">
        <v>69.886757575757557</v>
      </c>
    </row>
    <row r="27" spans="1:16" ht="15.75" thickBot="1" x14ac:dyDescent="0.3">
      <c r="A27" s="8" t="s">
        <v>49</v>
      </c>
      <c r="B27" s="8">
        <v>9</v>
      </c>
      <c r="C27" s="8">
        <v>5880.7759999999998</v>
      </c>
      <c r="D27" s="8"/>
      <c r="E27" s="8"/>
      <c r="F27" s="8"/>
    </row>
    <row r="28" spans="1:16" ht="15.75" thickBot="1" x14ac:dyDescent="0.3"/>
    <row r="29" spans="1:16" x14ac:dyDescent="0.25">
      <c r="A29" s="9"/>
      <c r="B29" s="9" t="s">
        <v>56</v>
      </c>
      <c r="C29" s="9" t="s">
        <v>19</v>
      </c>
      <c r="D29" s="9" t="s">
        <v>57</v>
      </c>
      <c r="E29" s="9" t="s">
        <v>58</v>
      </c>
      <c r="F29" s="9" t="s">
        <v>59</v>
      </c>
      <c r="G29" s="9" t="s">
        <v>60</v>
      </c>
      <c r="H29" s="9" t="s">
        <v>61</v>
      </c>
      <c r="I29" s="9" t="s">
        <v>62</v>
      </c>
    </row>
    <row r="30" spans="1:16" x14ac:dyDescent="0.25">
      <c r="A30" t="s">
        <v>50</v>
      </c>
      <c r="B30">
        <v>3.9066666666666592</v>
      </c>
      <c r="C30">
        <v>5.7108510926148472</v>
      </c>
      <c r="D30">
        <v>0.68407783766568153</v>
      </c>
      <c r="E30">
        <v>0.51325035240670247</v>
      </c>
      <c r="F30">
        <v>-9.2625795684384151</v>
      </c>
      <c r="G30">
        <v>17.075912901771733</v>
      </c>
      <c r="H30">
        <v>-9.2625795684384151</v>
      </c>
      <c r="I30">
        <v>17.075912901771733</v>
      </c>
    </row>
    <row r="31" spans="1:16" ht="15.75" thickBot="1" x14ac:dyDescent="0.3">
      <c r="A31" s="8" t="s">
        <v>2</v>
      </c>
      <c r="B31" s="8">
        <v>8.0315151515151531</v>
      </c>
      <c r="C31" s="8">
        <v>0.92038699091169562</v>
      </c>
      <c r="D31" s="8">
        <v>8.7262371489621788</v>
      </c>
      <c r="E31" s="8">
        <v>2.3242446026608055E-5</v>
      </c>
      <c r="F31" s="8">
        <v>5.9090989444846631</v>
      </c>
      <c r="G31" s="8">
        <v>10.153931358545643</v>
      </c>
      <c r="H31" s="8">
        <v>5.9090989444846631</v>
      </c>
      <c r="I31" s="8">
        <v>10.153931358545643</v>
      </c>
    </row>
    <row r="35" spans="1:7" x14ac:dyDescent="0.25">
      <c r="A35" t="s">
        <v>63</v>
      </c>
      <c r="F35" t="s">
        <v>82</v>
      </c>
    </row>
    <row r="36" spans="1:7" ht="15.75" thickBot="1" x14ac:dyDescent="0.3"/>
    <row r="37" spans="1:7" x14ac:dyDescent="0.25">
      <c r="A37" s="9" t="s">
        <v>64</v>
      </c>
      <c r="B37" s="9" t="s">
        <v>79</v>
      </c>
      <c r="C37" s="9" t="s">
        <v>66</v>
      </c>
      <c r="D37" s="9" t="s">
        <v>80</v>
      </c>
      <c r="F37" s="9" t="s">
        <v>83</v>
      </c>
      <c r="G37" s="9" t="s">
        <v>77</v>
      </c>
    </row>
    <row r="38" spans="1:7" x14ac:dyDescent="0.25">
      <c r="A38">
        <v>1</v>
      </c>
      <c r="B38">
        <v>11.938181818181812</v>
      </c>
      <c r="C38">
        <v>11.161818181818189</v>
      </c>
      <c r="D38">
        <v>1.4161646821291347</v>
      </c>
      <c r="F38">
        <v>5</v>
      </c>
      <c r="G38">
        <v>21.3</v>
      </c>
    </row>
    <row r="39" spans="1:7" x14ac:dyDescent="0.25">
      <c r="A39">
        <v>2</v>
      </c>
      <c r="B39">
        <v>19.969696969696965</v>
      </c>
      <c r="C39">
        <v>1.3303030303030354</v>
      </c>
      <c r="D39">
        <v>0.1687832696570267</v>
      </c>
      <c r="F39">
        <v>15</v>
      </c>
      <c r="G39">
        <v>23.1</v>
      </c>
    </row>
    <row r="40" spans="1:7" x14ac:dyDescent="0.25">
      <c r="A40">
        <v>3</v>
      </c>
      <c r="B40">
        <v>28.00121212121212</v>
      </c>
      <c r="C40">
        <v>-0.60121212121212153</v>
      </c>
      <c r="D40">
        <v>-7.6279272665043238E-2</v>
      </c>
      <c r="F40">
        <v>25</v>
      </c>
      <c r="G40">
        <v>27.4</v>
      </c>
    </row>
    <row r="41" spans="1:7" x14ac:dyDescent="0.25">
      <c r="A41">
        <v>4</v>
      </c>
      <c r="B41">
        <v>36.032727272727271</v>
      </c>
      <c r="C41">
        <v>-1.43272727272727</v>
      </c>
      <c r="D41">
        <v>-0.18177842800419533</v>
      </c>
      <c r="F41">
        <v>35</v>
      </c>
      <c r="G41">
        <v>33.799999999999997</v>
      </c>
    </row>
    <row r="42" spans="1:7" x14ac:dyDescent="0.25">
      <c r="A42">
        <v>5</v>
      </c>
      <c r="B42">
        <v>44.064242424242423</v>
      </c>
      <c r="C42">
        <v>-10.264242424242425</v>
      </c>
      <c r="D42">
        <v>-1.3022840341281974</v>
      </c>
      <c r="F42">
        <v>45</v>
      </c>
      <c r="G42">
        <v>34.6</v>
      </c>
    </row>
    <row r="43" spans="1:7" x14ac:dyDescent="0.25">
      <c r="A43">
        <v>6</v>
      </c>
      <c r="B43">
        <v>52.095757575757581</v>
      </c>
      <c r="C43">
        <v>-8.8957575757575782</v>
      </c>
      <c r="D43">
        <v>-1.1286564155015166</v>
      </c>
      <c r="F43">
        <v>55</v>
      </c>
      <c r="G43">
        <v>43.2</v>
      </c>
    </row>
    <row r="44" spans="1:7" x14ac:dyDescent="0.25">
      <c r="A44">
        <v>7</v>
      </c>
      <c r="B44">
        <v>60.127272727272732</v>
      </c>
      <c r="C44">
        <v>-0.62727272727273231</v>
      </c>
      <c r="D44">
        <v>-7.9585733072903578E-2</v>
      </c>
      <c r="F44">
        <v>65</v>
      </c>
      <c r="G44">
        <v>59.5</v>
      </c>
    </row>
    <row r="45" spans="1:7" x14ac:dyDescent="0.25">
      <c r="A45">
        <v>8</v>
      </c>
      <c r="B45">
        <v>68.158787878787876</v>
      </c>
      <c r="C45">
        <v>-3.7587878787878708</v>
      </c>
      <c r="D45">
        <v>-0.47689924301269854</v>
      </c>
      <c r="F45">
        <v>75</v>
      </c>
      <c r="G45">
        <v>64.400000000000006</v>
      </c>
    </row>
    <row r="46" spans="1:7" x14ac:dyDescent="0.25">
      <c r="A46">
        <v>9</v>
      </c>
      <c r="B46">
        <v>76.190303030303028</v>
      </c>
      <c r="C46">
        <v>-1.9903030303030249</v>
      </c>
      <c r="D46">
        <v>-0.2525213018467754</v>
      </c>
      <c r="F46">
        <v>85</v>
      </c>
      <c r="G46">
        <v>74.2</v>
      </c>
    </row>
    <row r="47" spans="1:7" ht="15.75" thickBot="1" x14ac:dyDescent="0.3">
      <c r="A47" s="8">
        <v>10</v>
      </c>
      <c r="B47" s="8">
        <v>84.221818181818179</v>
      </c>
      <c r="C47" s="8">
        <v>15.078181818181818</v>
      </c>
      <c r="D47" s="8">
        <v>1.9130564764451712</v>
      </c>
      <c r="F47" s="8">
        <v>95</v>
      </c>
      <c r="G47" s="8">
        <v>99.3</v>
      </c>
    </row>
  </sheetData>
  <sortState xmlns:xlrd2="http://schemas.microsoft.com/office/spreadsheetml/2017/richdata2" ref="G38:G47">
    <sortCondition ref="G38"/>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0C84-E8E4-414B-8FB4-C44B1AC56628}">
  <dimension ref="A1:I49"/>
  <sheetViews>
    <sheetView workbookViewId="0">
      <selection activeCell="B51" sqref="B51"/>
    </sheetView>
  </sheetViews>
  <sheetFormatPr defaultRowHeight="15" x14ac:dyDescent="0.25"/>
  <cols>
    <col min="1" max="1" width="18" bestFit="1" customWidth="1"/>
    <col min="2" max="2" width="27.5703125" bestFit="1" customWidth="1"/>
    <col min="3" max="3" width="11.85546875" customWidth="1"/>
  </cols>
  <sheetData>
    <row r="1" spans="1:3" ht="33" customHeight="1" x14ac:dyDescent="0.25">
      <c r="A1" t="s">
        <v>2</v>
      </c>
      <c r="B1" t="s">
        <v>81</v>
      </c>
      <c r="C1" s="2" t="s">
        <v>77</v>
      </c>
    </row>
    <row r="2" spans="1:3" x14ac:dyDescent="0.25">
      <c r="A2">
        <v>1</v>
      </c>
      <c r="B2">
        <f>A2^2</f>
        <v>1</v>
      </c>
      <c r="C2">
        <v>23.1</v>
      </c>
    </row>
    <row r="3" spans="1:3" x14ac:dyDescent="0.25">
      <c r="A3">
        <v>2</v>
      </c>
      <c r="B3">
        <f t="shared" ref="B3:B11" si="0">A3^2</f>
        <v>4</v>
      </c>
      <c r="C3">
        <v>21.3</v>
      </c>
    </row>
    <row r="4" spans="1:3" x14ac:dyDescent="0.25">
      <c r="A4">
        <v>3</v>
      </c>
      <c r="B4">
        <f t="shared" si="0"/>
        <v>9</v>
      </c>
      <c r="C4">
        <v>27.4</v>
      </c>
    </row>
    <row r="5" spans="1:3" x14ac:dyDescent="0.25">
      <c r="A5">
        <v>4</v>
      </c>
      <c r="B5">
        <f t="shared" si="0"/>
        <v>16</v>
      </c>
      <c r="C5">
        <v>34.6</v>
      </c>
    </row>
    <row r="6" spans="1:3" x14ac:dyDescent="0.25">
      <c r="A6">
        <v>5</v>
      </c>
      <c r="B6">
        <f t="shared" si="0"/>
        <v>25</v>
      </c>
      <c r="C6">
        <v>33.799999999999997</v>
      </c>
    </row>
    <row r="7" spans="1:3" x14ac:dyDescent="0.25">
      <c r="A7">
        <v>6</v>
      </c>
      <c r="B7">
        <f t="shared" si="0"/>
        <v>36</v>
      </c>
      <c r="C7">
        <v>43.2</v>
      </c>
    </row>
    <row r="8" spans="1:3" x14ac:dyDescent="0.25">
      <c r="A8">
        <v>7</v>
      </c>
      <c r="B8">
        <f t="shared" si="0"/>
        <v>49</v>
      </c>
      <c r="C8">
        <v>59.5</v>
      </c>
    </row>
    <row r="9" spans="1:3" x14ac:dyDescent="0.25">
      <c r="A9">
        <v>8</v>
      </c>
      <c r="B9">
        <f t="shared" si="0"/>
        <v>64</v>
      </c>
      <c r="C9">
        <v>64.400000000000006</v>
      </c>
    </row>
    <row r="10" spans="1:3" x14ac:dyDescent="0.25">
      <c r="A10">
        <v>9</v>
      </c>
      <c r="B10">
        <f t="shared" si="0"/>
        <v>81</v>
      </c>
      <c r="C10">
        <v>74.2</v>
      </c>
    </row>
    <row r="11" spans="1:3" x14ac:dyDescent="0.25">
      <c r="A11">
        <v>10</v>
      </c>
      <c r="B11">
        <f t="shared" si="0"/>
        <v>100</v>
      </c>
      <c r="C11">
        <v>99.3</v>
      </c>
    </row>
    <row r="14" spans="1:3" x14ac:dyDescent="0.25">
      <c r="A14" t="s">
        <v>40</v>
      </c>
    </row>
    <row r="15" spans="1:3" ht="15.75" thickBot="1" x14ac:dyDescent="0.3"/>
    <row r="16" spans="1:3" x14ac:dyDescent="0.25">
      <c r="A16" s="13" t="s">
        <v>41</v>
      </c>
      <c r="B16" s="13"/>
    </row>
    <row r="17" spans="1:9" x14ac:dyDescent="0.25">
      <c r="A17" t="s">
        <v>42</v>
      </c>
      <c r="B17">
        <v>0.99054773176377442</v>
      </c>
    </row>
    <row r="18" spans="1:9" x14ac:dyDescent="0.25">
      <c r="A18" t="s">
        <v>43</v>
      </c>
      <c r="B18">
        <v>0.98118480890235849</v>
      </c>
    </row>
    <row r="19" spans="1:9" x14ac:dyDescent="0.25">
      <c r="A19" t="s">
        <v>44</v>
      </c>
      <c r="B19">
        <v>0.97580904001731816</v>
      </c>
    </row>
    <row r="20" spans="1:9" x14ac:dyDescent="0.25">
      <c r="A20" t="s">
        <v>19</v>
      </c>
      <c r="B20">
        <v>3.975782479002882</v>
      </c>
    </row>
    <row r="21" spans="1:9" ht="15.75" thickBot="1" x14ac:dyDescent="0.3">
      <c r="A21" s="8" t="s">
        <v>45</v>
      </c>
      <c r="B21" s="8">
        <v>10</v>
      </c>
    </row>
    <row r="23" spans="1:9" ht="15.75" thickBot="1" x14ac:dyDescent="0.3">
      <c r="A23" t="s">
        <v>46</v>
      </c>
    </row>
    <row r="24" spans="1:9" x14ac:dyDescent="0.25">
      <c r="A24" s="9"/>
      <c r="B24" s="9" t="s">
        <v>51</v>
      </c>
      <c r="C24" s="9" t="s">
        <v>52</v>
      </c>
      <c r="D24" s="9" t="s">
        <v>53</v>
      </c>
      <c r="E24" s="9" t="s">
        <v>54</v>
      </c>
      <c r="F24" s="9" t="s">
        <v>55</v>
      </c>
    </row>
    <row r="25" spans="1:9" x14ac:dyDescent="0.25">
      <c r="A25" t="s">
        <v>47</v>
      </c>
      <c r="B25">
        <v>2</v>
      </c>
      <c r="C25">
        <v>5770.128075757576</v>
      </c>
      <c r="D25">
        <v>2885.064037878788</v>
      </c>
      <c r="E25">
        <v>182.5199017823804</v>
      </c>
      <c r="F25">
        <v>9.1365075546302211E-7</v>
      </c>
    </row>
    <row r="26" spans="1:9" x14ac:dyDescent="0.25">
      <c r="A26" t="s">
        <v>48</v>
      </c>
      <c r="B26">
        <v>7</v>
      </c>
      <c r="C26">
        <v>110.64792424242411</v>
      </c>
      <c r="D26">
        <v>15.806846320346301</v>
      </c>
    </row>
    <row r="27" spans="1:9" ht="15.75" thickBot="1" x14ac:dyDescent="0.3">
      <c r="A27" s="8" t="s">
        <v>49</v>
      </c>
      <c r="B27" s="8">
        <v>9</v>
      </c>
      <c r="C27" s="8">
        <v>5880.7759999999998</v>
      </c>
      <c r="D27" s="8"/>
      <c r="E27" s="8"/>
      <c r="F27" s="8"/>
    </row>
    <row r="28" spans="1:9" ht="15.75" thickBot="1" x14ac:dyDescent="0.3"/>
    <row r="29" spans="1:9" x14ac:dyDescent="0.25">
      <c r="A29" s="9"/>
      <c r="B29" s="9" t="s">
        <v>56</v>
      </c>
      <c r="C29" s="9" t="s">
        <v>19</v>
      </c>
      <c r="D29" s="9" t="s">
        <v>57</v>
      </c>
      <c r="E29" s="9" t="s">
        <v>58</v>
      </c>
      <c r="F29" s="9" t="s">
        <v>59</v>
      </c>
      <c r="G29" s="9" t="s">
        <v>60</v>
      </c>
      <c r="H29" s="9" t="s">
        <v>61</v>
      </c>
      <c r="I29" s="9" t="s">
        <v>62</v>
      </c>
    </row>
    <row r="30" spans="1:9" x14ac:dyDescent="0.25">
      <c r="A30" t="s">
        <v>50</v>
      </c>
      <c r="B30" s="18">
        <v>24.181666666666658</v>
      </c>
      <c r="C30">
        <v>4.6761241867397363</v>
      </c>
      <c r="D30">
        <v>5.1713054874033357</v>
      </c>
      <c r="E30">
        <v>1.2932222035879606E-3</v>
      </c>
      <c r="F30">
        <v>13.124390011242289</v>
      </c>
      <c r="G30">
        <v>35.238943322091025</v>
      </c>
      <c r="H30">
        <v>13.124390011242289</v>
      </c>
      <c r="I30">
        <v>35.238943322091025</v>
      </c>
    </row>
    <row r="31" spans="1:9" x14ac:dyDescent="0.25">
      <c r="A31" t="s">
        <v>2</v>
      </c>
      <c r="B31" s="4">
        <v>-2.1059848484848462</v>
      </c>
      <c r="C31">
        <v>1.9529465991066797</v>
      </c>
      <c r="D31">
        <v>-1.0783627414329555</v>
      </c>
      <c r="E31">
        <v>0.31662312610305876</v>
      </c>
      <c r="F31">
        <v>-6.7239697387981527</v>
      </c>
      <c r="G31">
        <v>2.5120000418284603</v>
      </c>
      <c r="H31">
        <v>-6.7239697387981527</v>
      </c>
      <c r="I31">
        <v>2.5120000418284603</v>
      </c>
    </row>
    <row r="32" spans="1:9" ht="15.75" thickBot="1" x14ac:dyDescent="0.3">
      <c r="A32" s="8" t="s">
        <v>81</v>
      </c>
      <c r="B32" s="17">
        <v>0.92159090909090902</v>
      </c>
      <c r="C32" s="8">
        <v>0.1730237236336388</v>
      </c>
      <c r="D32" s="8">
        <v>5.3263846698981565</v>
      </c>
      <c r="E32" s="8">
        <v>1.0917021197164067E-3</v>
      </c>
      <c r="F32" s="8">
        <v>0.51245481608591903</v>
      </c>
      <c r="G32" s="8">
        <v>1.330727002095899</v>
      </c>
      <c r="H32" s="8">
        <v>0.51245481608591903</v>
      </c>
      <c r="I32" s="8">
        <v>1.330727002095899</v>
      </c>
    </row>
    <row r="33" spans="1:7" x14ac:dyDescent="0.25">
      <c r="B33" s="4"/>
    </row>
    <row r="36" spans="1:7" x14ac:dyDescent="0.25">
      <c r="A36" t="s">
        <v>63</v>
      </c>
      <c r="F36" t="s">
        <v>82</v>
      </c>
    </row>
    <row r="37" spans="1:7" ht="15.75" thickBot="1" x14ac:dyDescent="0.3"/>
    <row r="38" spans="1:7" x14ac:dyDescent="0.25">
      <c r="A38" s="9" t="s">
        <v>64</v>
      </c>
      <c r="B38" s="9" t="s">
        <v>79</v>
      </c>
      <c r="C38" s="9" t="s">
        <v>66</v>
      </c>
      <c r="D38" s="9" t="s">
        <v>80</v>
      </c>
      <c r="F38" s="9" t="s">
        <v>83</v>
      </c>
      <c r="G38" s="9" t="s">
        <v>77</v>
      </c>
    </row>
    <row r="39" spans="1:7" x14ac:dyDescent="0.25">
      <c r="A39">
        <v>1</v>
      </c>
      <c r="B39">
        <v>22.997272727272723</v>
      </c>
      <c r="C39">
        <v>0.10272727272727877</v>
      </c>
      <c r="D39">
        <v>2.9297824796827587E-2</v>
      </c>
      <c r="F39">
        <v>5</v>
      </c>
      <c r="G39">
        <v>21.3</v>
      </c>
    </row>
    <row r="40" spans="1:7" x14ac:dyDescent="0.25">
      <c r="A40">
        <v>2</v>
      </c>
      <c r="B40">
        <v>23.656060606060603</v>
      </c>
      <c r="C40">
        <v>-2.356060606060602</v>
      </c>
      <c r="D40">
        <v>-0.67194863656436776</v>
      </c>
      <c r="F40">
        <v>15</v>
      </c>
      <c r="G40">
        <v>23.1</v>
      </c>
    </row>
    <row r="41" spans="1:7" x14ac:dyDescent="0.25">
      <c r="A41">
        <v>3</v>
      </c>
      <c r="B41">
        <v>26.158030303030298</v>
      </c>
      <c r="C41">
        <v>1.2419696969697007</v>
      </c>
      <c r="D41">
        <v>0.35420983755100638</v>
      </c>
      <c r="F41">
        <v>25</v>
      </c>
      <c r="G41">
        <v>27.4</v>
      </c>
    </row>
    <row r="42" spans="1:7" x14ac:dyDescent="0.25">
      <c r="A42">
        <v>4</v>
      </c>
      <c r="B42">
        <v>30.503181818181815</v>
      </c>
      <c r="C42">
        <v>4.0968181818181861</v>
      </c>
      <c r="D42">
        <v>1.1684128092645654</v>
      </c>
      <c r="F42">
        <v>35</v>
      </c>
      <c r="G42">
        <v>33.799999999999997</v>
      </c>
    </row>
    <row r="43" spans="1:7" x14ac:dyDescent="0.25">
      <c r="A43">
        <v>5</v>
      </c>
      <c r="B43">
        <v>36.691515151515155</v>
      </c>
      <c r="C43">
        <v>-2.8915151515151578</v>
      </c>
      <c r="D43">
        <v>-0.82466030740800289</v>
      </c>
      <c r="F43">
        <v>45</v>
      </c>
      <c r="G43">
        <v>34.6</v>
      </c>
    </row>
    <row r="44" spans="1:7" x14ac:dyDescent="0.25">
      <c r="A44">
        <v>6</v>
      </c>
      <c r="B44">
        <v>44.723030303030299</v>
      </c>
      <c r="C44">
        <v>-1.5230303030302963</v>
      </c>
      <c r="D44">
        <v>-0.43436834049807121</v>
      </c>
      <c r="F44">
        <v>55</v>
      </c>
      <c r="G44">
        <v>43.2</v>
      </c>
    </row>
    <row r="45" spans="1:7" x14ac:dyDescent="0.25">
      <c r="A45">
        <v>7</v>
      </c>
      <c r="B45">
        <v>54.597727272727276</v>
      </c>
      <c r="C45">
        <v>4.9022727272727238</v>
      </c>
      <c r="D45">
        <v>1.3981284974945429</v>
      </c>
      <c r="F45">
        <v>65</v>
      </c>
      <c r="G45">
        <v>59.5</v>
      </c>
    </row>
    <row r="46" spans="1:7" x14ac:dyDescent="0.25">
      <c r="A46">
        <v>8</v>
      </c>
      <c r="B46">
        <v>66.315606060606058</v>
      </c>
      <c r="C46">
        <v>-1.9156060606060521</v>
      </c>
      <c r="D46">
        <v>-0.54633097183815305</v>
      </c>
      <c r="F46">
        <v>75</v>
      </c>
      <c r="G46">
        <v>64.400000000000006</v>
      </c>
    </row>
    <row r="47" spans="1:7" x14ac:dyDescent="0.25">
      <c r="A47">
        <v>9</v>
      </c>
      <c r="B47">
        <v>79.876666666666665</v>
      </c>
      <c r="C47">
        <v>-5.6766666666666623</v>
      </c>
      <c r="D47">
        <v>-1.6189856988759246</v>
      </c>
      <c r="F47">
        <v>85</v>
      </c>
      <c r="G47">
        <v>74.2</v>
      </c>
    </row>
    <row r="48" spans="1:7" ht="15.75" thickBot="1" x14ac:dyDescent="0.3">
      <c r="A48" s="8">
        <v>10</v>
      </c>
      <c r="B48" s="8">
        <v>95.280909090909105</v>
      </c>
      <c r="C48" s="8">
        <v>4.0190909090908917</v>
      </c>
      <c r="D48" s="8">
        <v>1.1462449860775803</v>
      </c>
      <c r="F48" s="8">
        <v>95</v>
      </c>
      <c r="G48" s="8">
        <v>99.3</v>
      </c>
    </row>
    <row r="49" spans="1:2" x14ac:dyDescent="0.25">
      <c r="A49" s="21" t="s">
        <v>128</v>
      </c>
      <c r="B49" s="21">
        <f>B30+B31*11+(11^2)*B32</f>
        <v>112.52833333333334</v>
      </c>
    </row>
  </sheetData>
  <sortState xmlns:xlrd2="http://schemas.microsoft.com/office/spreadsheetml/2017/richdata2" ref="G39:G48">
    <sortCondition ref="G39"/>
  </sortState>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7615-C944-43CD-AA94-8D5897F05FEC}">
  <dimension ref="A1:I46"/>
  <sheetViews>
    <sheetView zoomScale="93" zoomScaleNormal="93" workbookViewId="0">
      <selection activeCell="E2" sqref="E2"/>
    </sheetView>
  </sheetViews>
  <sheetFormatPr defaultRowHeight="15" x14ac:dyDescent="0.25"/>
  <cols>
    <col min="2" max="2" width="28.5703125" bestFit="1" customWidth="1"/>
    <col min="3" max="3" width="12" customWidth="1"/>
    <col min="4" max="4" width="23.5703125" customWidth="1"/>
    <col min="5" max="5" width="14.5703125" customWidth="1"/>
    <col min="6" max="6" width="12.140625" customWidth="1"/>
  </cols>
  <sheetData>
    <row r="1" spans="1:7" ht="57.75" customHeight="1" x14ac:dyDescent="0.25">
      <c r="A1" t="s">
        <v>2</v>
      </c>
      <c r="B1" s="2" t="s">
        <v>77</v>
      </c>
      <c r="C1" s="2" t="s">
        <v>84</v>
      </c>
      <c r="D1" t="s">
        <v>92</v>
      </c>
      <c r="E1" s="2" t="s">
        <v>91</v>
      </c>
      <c r="F1" s="9" t="s">
        <v>90</v>
      </c>
    </row>
    <row r="2" spans="1:7" x14ac:dyDescent="0.25">
      <c r="A2">
        <v>1</v>
      </c>
      <c r="B2">
        <v>23.1</v>
      </c>
      <c r="C2">
        <f>LN(B2)</f>
        <v>3.1398326175277478</v>
      </c>
      <c r="D2">
        <f>$F$15*$F$16^A2</f>
        <v>19.800886765903783</v>
      </c>
      <c r="E2">
        <f>EXP(F2)</f>
        <v>19.800926533223823</v>
      </c>
      <c r="F2">
        <v>2.9857287312129199</v>
      </c>
    </row>
    <row r="3" spans="1:7" x14ac:dyDescent="0.25">
      <c r="A3">
        <v>2</v>
      </c>
      <c r="B3">
        <v>21.3</v>
      </c>
      <c r="C3">
        <f t="shared" ref="C3:C11" si="0">LN(B3)</f>
        <v>3.0587070727153796</v>
      </c>
      <c r="D3">
        <f t="shared" ref="D3:D12" si="1">$F$15*$F$16^A3</f>
        <v>23.463800558711355</v>
      </c>
      <c r="E3">
        <f t="shared" ref="E3:E10" si="2">EXP(F3)</f>
        <v>23.463850361370511</v>
      </c>
      <c r="F3">
        <v>3.1554609542839702</v>
      </c>
    </row>
    <row r="4" spans="1:7" x14ac:dyDescent="0.25">
      <c r="A4">
        <v>3</v>
      </c>
      <c r="B4">
        <v>27.4</v>
      </c>
      <c r="C4">
        <f t="shared" si="0"/>
        <v>3.3105430133940246</v>
      </c>
      <c r="D4">
        <f t="shared" si="1"/>
        <v>27.804307108457639</v>
      </c>
      <c r="E4">
        <f t="shared" si="2"/>
        <v>27.804369298427247</v>
      </c>
      <c r="F4">
        <v>3.3251931773550112</v>
      </c>
    </row>
    <row r="5" spans="1:7" x14ac:dyDescent="0.25">
      <c r="A5">
        <v>4</v>
      </c>
      <c r="B5">
        <v>34.6</v>
      </c>
      <c r="C5">
        <f t="shared" si="0"/>
        <v>3.5438536820636788</v>
      </c>
      <c r="D5">
        <f t="shared" si="1"/>
        <v>32.947752511236217</v>
      </c>
      <c r="E5">
        <f t="shared" si="2"/>
        <v>32.947829967245454</v>
      </c>
      <c r="F5">
        <v>3.4949254004260557</v>
      </c>
    </row>
    <row r="6" spans="1:7" x14ac:dyDescent="0.25">
      <c r="A6">
        <v>5</v>
      </c>
      <c r="B6">
        <v>33.799999999999997</v>
      </c>
      <c r="C6">
        <f t="shared" si="0"/>
        <v>3.520460802488973</v>
      </c>
      <c r="D6">
        <f t="shared" si="1"/>
        <v>39.042670306697339</v>
      </c>
      <c r="E6">
        <f t="shared" si="2"/>
        <v>39.042766548634582</v>
      </c>
      <c r="F6">
        <v>3.6646576234971002</v>
      </c>
    </row>
    <row r="7" spans="1:7" x14ac:dyDescent="0.25">
      <c r="A7">
        <v>6</v>
      </c>
      <c r="B7">
        <v>43.2</v>
      </c>
      <c r="C7">
        <f t="shared" si="0"/>
        <v>3.7658404952500648</v>
      </c>
      <c r="D7">
        <f t="shared" si="1"/>
        <v>46.265070862045029</v>
      </c>
      <c r="E7">
        <f t="shared" si="2"/>
        <v>46.265190189659648</v>
      </c>
      <c r="F7">
        <v>3.8343898465681443</v>
      </c>
    </row>
    <row r="8" spans="1:7" x14ac:dyDescent="0.25">
      <c r="A8">
        <v>7</v>
      </c>
      <c r="B8">
        <v>59.5</v>
      </c>
      <c r="C8">
        <f t="shared" si="0"/>
        <v>4.0859763125515842</v>
      </c>
      <c r="D8">
        <f t="shared" si="1"/>
        <v>54.823524237861271</v>
      </c>
      <c r="E8">
        <f t="shared" si="2"/>
        <v>54.823671898840857</v>
      </c>
      <c r="F8">
        <v>4.0041220696391893</v>
      </c>
    </row>
    <row r="9" spans="1:7" x14ac:dyDescent="0.25">
      <c r="A9">
        <v>8</v>
      </c>
      <c r="B9">
        <v>64.400000000000006</v>
      </c>
      <c r="C9">
        <f t="shared" si="0"/>
        <v>4.165113633110308</v>
      </c>
      <c r="D9">
        <f t="shared" si="1"/>
        <v>64.965183319866355</v>
      </c>
      <c r="E9">
        <f t="shared" si="2"/>
        <v>64.965365713410918</v>
      </c>
      <c r="F9">
        <v>4.1738542927102333</v>
      </c>
    </row>
    <row r="10" spans="1:7" x14ac:dyDescent="0.25">
      <c r="A10">
        <v>9</v>
      </c>
      <c r="B10">
        <v>74.2</v>
      </c>
      <c r="C10">
        <f t="shared" si="0"/>
        <v>4.3067641501733345</v>
      </c>
      <c r="D10">
        <f t="shared" si="1"/>
        <v>76.982921153929951</v>
      </c>
      <c r="E10">
        <f t="shared" si="2"/>
        <v>76.983146077205035</v>
      </c>
      <c r="F10">
        <v>4.3435865157812774</v>
      </c>
    </row>
    <row r="11" spans="1:7" ht="15.75" thickBot="1" x14ac:dyDescent="0.3">
      <c r="A11">
        <v>10</v>
      </c>
      <c r="B11">
        <v>99.3</v>
      </c>
      <c r="C11">
        <f t="shared" si="0"/>
        <v>4.598145571051127</v>
      </c>
      <c r="D11">
        <f t="shared" si="1"/>
        <v>91.223788597852078</v>
      </c>
      <c r="E11">
        <f>EXP(F11)</f>
        <v>91.22406554421805</v>
      </c>
      <c r="F11" s="8">
        <v>4.5133187388523224</v>
      </c>
    </row>
    <row r="12" spans="1:7" x14ac:dyDescent="0.25">
      <c r="A12" s="21">
        <v>11</v>
      </c>
      <c r="B12" s="21"/>
      <c r="C12" s="21" t="s">
        <v>93</v>
      </c>
      <c r="D12" s="21">
        <f t="shared" si="1"/>
        <v>108.09903653182928</v>
      </c>
    </row>
    <row r="13" spans="1:7" x14ac:dyDescent="0.25">
      <c r="A13" t="s">
        <v>40</v>
      </c>
    </row>
    <row r="14" spans="1:7" ht="15.75" thickBot="1" x14ac:dyDescent="0.3">
      <c r="E14" t="s">
        <v>86</v>
      </c>
    </row>
    <row r="15" spans="1:7" ht="29.25" customHeight="1" x14ac:dyDescent="0.25">
      <c r="A15" s="13" t="s">
        <v>41</v>
      </c>
      <c r="B15" s="13"/>
      <c r="D15" t="s">
        <v>87</v>
      </c>
      <c r="E15" t="s">
        <v>89</v>
      </c>
      <c r="F15" s="40">
        <f>$D$16^B29</f>
        <v>16.709787305559871</v>
      </c>
      <c r="G15" s="41">
        <f>EXP(B29)</f>
        <v>16.709818957063515</v>
      </c>
    </row>
    <row r="16" spans="1:7" x14ac:dyDescent="0.25">
      <c r="A16" t="s">
        <v>42</v>
      </c>
      <c r="B16">
        <v>0.98427736860808746</v>
      </c>
      <c r="D16">
        <v>2.71828</v>
      </c>
      <c r="E16" t="s">
        <v>88</v>
      </c>
      <c r="F16" s="40">
        <f>$D$16^B30</f>
        <v>1.1849873612284345</v>
      </c>
      <c r="G16" s="41">
        <f>EXP(B30)</f>
        <v>1.184987496519446</v>
      </c>
    </row>
    <row r="17" spans="1:9" x14ac:dyDescent="0.25">
      <c r="A17" t="s">
        <v>43</v>
      </c>
      <c r="B17">
        <v>0.96880193835406081</v>
      </c>
    </row>
    <row r="18" spans="1:9" x14ac:dyDescent="0.25">
      <c r="A18" t="s">
        <v>44</v>
      </c>
      <c r="B18">
        <v>0.96490218064831845</v>
      </c>
    </row>
    <row r="19" spans="1:9" x14ac:dyDescent="0.25">
      <c r="A19" t="s">
        <v>19</v>
      </c>
      <c r="B19">
        <v>9.781210077352831E-2</v>
      </c>
    </row>
    <row r="20" spans="1:9" ht="15.75" thickBot="1" x14ac:dyDescent="0.3">
      <c r="A20" s="8" t="s">
        <v>45</v>
      </c>
      <c r="B20" s="8">
        <v>10</v>
      </c>
    </row>
    <row r="22" spans="1:9" ht="15.75" thickBot="1" x14ac:dyDescent="0.3">
      <c r="A22" t="s">
        <v>46</v>
      </c>
    </row>
    <row r="23" spans="1:9" x14ac:dyDescent="0.25">
      <c r="A23" s="9"/>
      <c r="B23" s="9" t="s">
        <v>51</v>
      </c>
      <c r="C23" s="9" t="s">
        <v>52</v>
      </c>
      <c r="D23" s="9" t="s">
        <v>53</v>
      </c>
      <c r="E23" s="9" t="s">
        <v>54</v>
      </c>
      <c r="F23" s="9" t="s">
        <v>55</v>
      </c>
    </row>
    <row r="24" spans="1:9" x14ac:dyDescent="0.25">
      <c r="A24" t="s">
        <v>47</v>
      </c>
      <c r="B24">
        <v>1</v>
      </c>
      <c r="C24">
        <v>2.3767447727626991</v>
      </c>
      <c r="D24">
        <v>2.3767447727626991</v>
      </c>
      <c r="E24">
        <v>248.42618733145864</v>
      </c>
      <c r="F24">
        <v>2.6233811088771115E-7</v>
      </c>
    </row>
    <row r="25" spans="1:9" x14ac:dyDescent="0.25">
      <c r="A25" t="s">
        <v>48</v>
      </c>
      <c r="B25">
        <v>8</v>
      </c>
      <c r="C25">
        <v>7.6537656461846862E-2</v>
      </c>
      <c r="D25">
        <v>9.5672070577308577E-3</v>
      </c>
    </row>
    <row r="26" spans="1:9" ht="15.75" thickBot="1" x14ac:dyDescent="0.3">
      <c r="A26" s="8" t="s">
        <v>49</v>
      </c>
      <c r="B26" s="8">
        <v>9</v>
      </c>
      <c r="C26" s="8">
        <v>2.4532824292245459</v>
      </c>
      <c r="D26" s="8"/>
      <c r="E26" s="8"/>
      <c r="F26" s="8"/>
    </row>
    <row r="27" spans="1:9" ht="15.75" thickBot="1" x14ac:dyDescent="0.3"/>
    <row r="28" spans="1:9" x14ac:dyDescent="0.25">
      <c r="A28" s="9"/>
      <c r="B28" s="9" t="s">
        <v>56</v>
      </c>
      <c r="C28" s="9" t="s">
        <v>19</v>
      </c>
      <c r="D28" s="9" t="s">
        <v>57</v>
      </c>
      <c r="E28" s="9" t="s">
        <v>58</v>
      </c>
      <c r="F28" s="9" t="s">
        <v>59</v>
      </c>
      <c r="G28" s="9" t="s">
        <v>60</v>
      </c>
      <c r="H28" s="9" t="s">
        <v>61</v>
      </c>
      <c r="I28" s="9" t="s">
        <v>62</v>
      </c>
    </row>
    <row r="29" spans="1:9" x14ac:dyDescent="0.25">
      <c r="A29" t="s">
        <v>50</v>
      </c>
      <c r="B29" s="19">
        <v>2.8159965081418781</v>
      </c>
      <c r="C29">
        <v>6.6818385396094901E-2</v>
      </c>
      <c r="D29">
        <v>42.144037025870048</v>
      </c>
      <c r="E29">
        <v>1.107394481352541E-10</v>
      </c>
      <c r="F29">
        <v>2.6619130351108176</v>
      </c>
      <c r="G29">
        <v>2.9700799811729386</v>
      </c>
      <c r="H29">
        <v>2.6619130351108176</v>
      </c>
      <c r="I29">
        <v>2.9700799811729386</v>
      </c>
    </row>
    <row r="30" spans="1:9" ht="15.75" thickBot="1" x14ac:dyDescent="0.3">
      <c r="A30" s="8" t="s">
        <v>2</v>
      </c>
      <c r="B30" s="20">
        <v>0.16973222307104441</v>
      </c>
      <c r="C30" s="8">
        <v>1.0768757874254275E-2</v>
      </c>
      <c r="D30" s="8">
        <v>15.761541400873792</v>
      </c>
      <c r="E30" s="8">
        <v>2.6233811088771163E-7</v>
      </c>
      <c r="F30" s="8">
        <v>0.14489942288200161</v>
      </c>
      <c r="G30" s="8">
        <v>0.19456502326008721</v>
      </c>
      <c r="H30" s="8">
        <v>0.14489942288200161</v>
      </c>
      <c r="I30" s="8">
        <v>0.19456502326008721</v>
      </c>
    </row>
    <row r="34" spans="1:7" x14ac:dyDescent="0.25">
      <c r="A34" t="s">
        <v>63</v>
      </c>
      <c r="F34" t="s">
        <v>82</v>
      </c>
    </row>
    <row r="35" spans="1:7" ht="15.75" thickBot="1" x14ac:dyDescent="0.3"/>
    <row r="36" spans="1:7" x14ac:dyDescent="0.25">
      <c r="A36" s="9" t="s">
        <v>64</v>
      </c>
      <c r="B36" s="9" t="s">
        <v>85</v>
      </c>
      <c r="C36" s="9" t="s">
        <v>66</v>
      </c>
      <c r="D36" s="9" t="s">
        <v>80</v>
      </c>
      <c r="F36" s="9" t="s">
        <v>83</v>
      </c>
      <c r="G36" s="9" t="s">
        <v>84</v>
      </c>
    </row>
    <row r="37" spans="1:7" x14ac:dyDescent="0.25">
      <c r="A37">
        <v>1</v>
      </c>
      <c r="B37">
        <v>2.9857287312129226</v>
      </c>
      <c r="C37">
        <v>0.15410388631482519</v>
      </c>
      <c r="D37">
        <v>1.6710800937511083</v>
      </c>
      <c r="F37">
        <v>5</v>
      </c>
      <c r="G37">
        <v>3.0587070727153796</v>
      </c>
    </row>
    <row r="38" spans="1:7" x14ac:dyDescent="0.25">
      <c r="A38">
        <v>2</v>
      </c>
      <c r="B38">
        <v>3.1554609542839671</v>
      </c>
      <c r="C38">
        <v>-9.6753881568587552E-2</v>
      </c>
      <c r="D38">
        <v>-1.0491849968800206</v>
      </c>
      <c r="F38">
        <v>15</v>
      </c>
      <c r="G38">
        <v>3.1398326175277478</v>
      </c>
    </row>
    <row r="39" spans="1:7" x14ac:dyDescent="0.25">
      <c r="A39">
        <v>3</v>
      </c>
      <c r="B39">
        <v>3.3251931773550112</v>
      </c>
      <c r="C39">
        <v>-1.4650163960986617E-2</v>
      </c>
      <c r="D39">
        <v>-0.15886424379577396</v>
      </c>
      <c r="F39">
        <v>25</v>
      </c>
      <c r="G39">
        <v>3.3105430133940246</v>
      </c>
    </row>
    <row r="40" spans="1:7" x14ac:dyDescent="0.25">
      <c r="A40">
        <v>4</v>
      </c>
      <c r="B40">
        <v>3.4949254004260557</v>
      </c>
      <c r="C40">
        <v>4.8928281637623083E-2</v>
      </c>
      <c r="D40">
        <v>0.53057115833563506</v>
      </c>
      <c r="F40">
        <v>35</v>
      </c>
      <c r="G40">
        <v>3.520460802488973</v>
      </c>
    </row>
    <row r="41" spans="1:7" x14ac:dyDescent="0.25">
      <c r="A41">
        <v>5</v>
      </c>
      <c r="B41">
        <v>3.6646576234971002</v>
      </c>
      <c r="C41">
        <v>-0.14419682100812725</v>
      </c>
      <c r="D41">
        <v>-1.563649320800365</v>
      </c>
      <c r="F41">
        <v>45</v>
      </c>
      <c r="G41">
        <v>3.5438536820636788</v>
      </c>
    </row>
    <row r="42" spans="1:7" x14ac:dyDescent="0.25">
      <c r="A42">
        <v>6</v>
      </c>
      <c r="B42">
        <v>3.8343898465681443</v>
      </c>
      <c r="C42">
        <v>-6.8549351318079488E-2</v>
      </c>
      <c r="D42">
        <v>-0.74333917960493245</v>
      </c>
      <c r="F42">
        <v>55</v>
      </c>
      <c r="G42">
        <v>3.7658404952500648</v>
      </c>
    </row>
    <row r="43" spans="1:7" x14ac:dyDescent="0.25">
      <c r="A43">
        <v>7</v>
      </c>
      <c r="B43">
        <v>4.0041220696391893</v>
      </c>
      <c r="C43">
        <v>8.1854242912394959E-2</v>
      </c>
      <c r="D43">
        <v>0.88761548583224725</v>
      </c>
      <c r="F43">
        <v>65</v>
      </c>
      <c r="G43">
        <v>4.0859763125515842</v>
      </c>
    </row>
    <row r="44" spans="1:7" x14ac:dyDescent="0.25">
      <c r="A44">
        <v>8</v>
      </c>
      <c r="B44">
        <v>4.1738542927102333</v>
      </c>
      <c r="C44">
        <v>-8.7406595999253156E-3</v>
      </c>
      <c r="D44">
        <v>-9.4782439385401498E-2</v>
      </c>
      <c r="F44">
        <v>75</v>
      </c>
      <c r="G44">
        <v>4.165113633110308</v>
      </c>
    </row>
    <row r="45" spans="1:7" x14ac:dyDescent="0.25">
      <c r="A45">
        <v>9</v>
      </c>
      <c r="B45">
        <v>4.3435865157812774</v>
      </c>
      <c r="C45">
        <v>-3.6822365607942942E-2</v>
      </c>
      <c r="D45">
        <v>-0.39929636846763439</v>
      </c>
      <c r="F45">
        <v>85</v>
      </c>
      <c r="G45">
        <v>4.3067641501733345</v>
      </c>
    </row>
    <row r="46" spans="1:7" ht="15.75" thickBot="1" x14ac:dyDescent="0.3">
      <c r="A46" s="8">
        <v>10</v>
      </c>
      <c r="B46" s="8">
        <v>4.5133187388523224</v>
      </c>
      <c r="C46" s="8">
        <v>8.4826832198804603E-2</v>
      </c>
      <c r="D46" s="8">
        <v>0.91984981101512286</v>
      </c>
      <c r="F46" s="8">
        <v>95</v>
      </c>
      <c r="G46" s="8">
        <v>4.598145571051127</v>
      </c>
    </row>
  </sheetData>
  <sortState xmlns:xlrd2="http://schemas.microsoft.com/office/spreadsheetml/2017/richdata2" ref="G37:G46">
    <sortCondition ref="G37"/>
  </sortState>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A323-11D6-45E4-ABAD-3774D67F464F}">
  <dimension ref="A1:C38"/>
  <sheetViews>
    <sheetView workbookViewId="0">
      <selection activeCell="Q17" sqref="Q17"/>
    </sheetView>
  </sheetViews>
  <sheetFormatPr defaultRowHeight="15" x14ac:dyDescent="0.25"/>
  <sheetData>
    <row r="1" spans="1:3" x14ac:dyDescent="0.25">
      <c r="A1" t="s">
        <v>2</v>
      </c>
      <c r="B1" t="s">
        <v>4</v>
      </c>
      <c r="C1" t="s">
        <v>94</v>
      </c>
    </row>
    <row r="2" spans="1:3" x14ac:dyDescent="0.25">
      <c r="A2">
        <v>1</v>
      </c>
      <c r="B2">
        <v>1</v>
      </c>
      <c r="C2">
        <v>125</v>
      </c>
    </row>
    <row r="3" spans="1:3" x14ac:dyDescent="0.25">
      <c r="B3">
        <v>2</v>
      </c>
      <c r="C3">
        <v>153</v>
      </c>
    </row>
    <row r="4" spans="1:3" x14ac:dyDescent="0.25">
      <c r="B4">
        <v>3</v>
      </c>
      <c r="C4">
        <v>106</v>
      </c>
    </row>
    <row r="5" spans="1:3" x14ac:dyDescent="0.25">
      <c r="B5">
        <v>4</v>
      </c>
      <c r="C5">
        <v>88</v>
      </c>
    </row>
    <row r="6" spans="1:3" x14ac:dyDescent="0.25">
      <c r="A6">
        <v>2</v>
      </c>
      <c r="B6">
        <v>1</v>
      </c>
      <c r="C6">
        <v>118</v>
      </c>
    </row>
    <row r="7" spans="1:3" x14ac:dyDescent="0.25">
      <c r="B7">
        <v>2</v>
      </c>
      <c r="C7">
        <v>161</v>
      </c>
    </row>
    <row r="8" spans="1:3" x14ac:dyDescent="0.25">
      <c r="B8">
        <v>3</v>
      </c>
      <c r="C8">
        <v>133</v>
      </c>
    </row>
    <row r="9" spans="1:3" x14ac:dyDescent="0.25">
      <c r="B9">
        <v>4</v>
      </c>
      <c r="C9">
        <v>102</v>
      </c>
    </row>
    <row r="10" spans="1:3" x14ac:dyDescent="0.25">
      <c r="A10">
        <v>3</v>
      </c>
      <c r="B10">
        <v>1</v>
      </c>
      <c r="C10">
        <v>138</v>
      </c>
    </row>
    <row r="11" spans="1:3" x14ac:dyDescent="0.25">
      <c r="B11">
        <v>2</v>
      </c>
      <c r="C11">
        <v>144</v>
      </c>
    </row>
    <row r="12" spans="1:3" x14ac:dyDescent="0.25">
      <c r="B12">
        <v>3</v>
      </c>
      <c r="C12">
        <v>113</v>
      </c>
    </row>
    <row r="13" spans="1:3" x14ac:dyDescent="0.25">
      <c r="B13">
        <v>4</v>
      </c>
      <c r="C13">
        <v>80</v>
      </c>
    </row>
    <row r="14" spans="1:3" x14ac:dyDescent="0.25">
      <c r="A14">
        <v>4</v>
      </c>
      <c r="B14">
        <v>1</v>
      </c>
      <c r="C14">
        <v>109</v>
      </c>
    </row>
    <row r="15" spans="1:3" x14ac:dyDescent="0.25">
      <c r="B15">
        <v>2</v>
      </c>
      <c r="C15">
        <v>137</v>
      </c>
    </row>
    <row r="16" spans="1:3" x14ac:dyDescent="0.25">
      <c r="B16">
        <v>3</v>
      </c>
      <c r="C16">
        <v>125</v>
      </c>
    </row>
    <row r="17" spans="1:3" x14ac:dyDescent="0.25">
      <c r="B17">
        <v>4</v>
      </c>
      <c r="C17">
        <v>109</v>
      </c>
    </row>
    <row r="18" spans="1:3" x14ac:dyDescent="0.25">
      <c r="A18">
        <v>5</v>
      </c>
      <c r="B18">
        <v>1</v>
      </c>
      <c r="C18">
        <v>130</v>
      </c>
    </row>
    <row r="19" spans="1:3" x14ac:dyDescent="0.25">
      <c r="B19">
        <v>2</v>
      </c>
      <c r="C19">
        <v>165</v>
      </c>
    </row>
    <row r="20" spans="1:3" x14ac:dyDescent="0.25">
      <c r="B20">
        <v>3</v>
      </c>
      <c r="C20">
        <v>128</v>
      </c>
    </row>
    <row r="21" spans="1:3" x14ac:dyDescent="0.25">
      <c r="B21">
        <v>4</v>
      </c>
      <c r="C21">
        <v>96</v>
      </c>
    </row>
    <row r="38" spans="2:2" x14ac:dyDescent="0.25">
      <c r="B38">
        <v>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6AF5-19D9-4041-8228-C8EC1279A836}">
  <dimension ref="A1:L74"/>
  <sheetViews>
    <sheetView zoomScale="93" zoomScaleNormal="93" workbookViewId="0">
      <selection activeCell="I17" sqref="I17"/>
    </sheetView>
  </sheetViews>
  <sheetFormatPr defaultRowHeight="15" x14ac:dyDescent="0.25"/>
  <cols>
    <col min="3" max="3" width="11.7109375" customWidth="1"/>
  </cols>
  <sheetData>
    <row r="1" spans="1:6" x14ac:dyDescent="0.25">
      <c r="A1" s="1" t="s">
        <v>2</v>
      </c>
      <c r="B1" s="1" t="s">
        <v>4</v>
      </c>
      <c r="C1" t="s">
        <v>95</v>
      </c>
      <c r="D1" t="s">
        <v>96</v>
      </c>
      <c r="E1" t="s">
        <v>97</v>
      </c>
      <c r="F1" t="s">
        <v>94</v>
      </c>
    </row>
    <row r="2" spans="1:6" x14ac:dyDescent="0.25">
      <c r="A2" s="1">
        <v>1</v>
      </c>
      <c r="B2" s="1">
        <v>1</v>
      </c>
      <c r="C2">
        <f t="shared" ref="C2:C21" si="0">IF(B2=1,1,0)</f>
        <v>1</v>
      </c>
      <c r="D2">
        <f t="shared" ref="D2:D21" si="1">IF(B2=2,1,0)</f>
        <v>0</v>
      </c>
      <c r="E2">
        <f t="shared" ref="E2:E21" si="2">IF(B2=3,1,0)</f>
        <v>0</v>
      </c>
      <c r="F2">
        <v>125</v>
      </c>
    </row>
    <row r="3" spans="1:6" x14ac:dyDescent="0.25">
      <c r="A3" s="1"/>
      <c r="B3" s="1">
        <v>2</v>
      </c>
      <c r="C3">
        <f t="shared" si="0"/>
        <v>0</v>
      </c>
      <c r="D3">
        <f t="shared" si="1"/>
        <v>1</v>
      </c>
      <c r="E3">
        <f t="shared" si="2"/>
        <v>0</v>
      </c>
      <c r="F3">
        <v>153</v>
      </c>
    </row>
    <row r="4" spans="1:6" x14ac:dyDescent="0.25">
      <c r="A4" s="1"/>
      <c r="B4" s="1">
        <v>3</v>
      </c>
      <c r="C4">
        <f t="shared" si="0"/>
        <v>0</v>
      </c>
      <c r="D4">
        <f t="shared" si="1"/>
        <v>0</v>
      </c>
      <c r="E4">
        <f t="shared" si="2"/>
        <v>1</v>
      </c>
      <c r="F4">
        <v>106</v>
      </c>
    </row>
    <row r="5" spans="1:6" x14ac:dyDescent="0.25">
      <c r="A5" s="1"/>
      <c r="B5" s="1">
        <v>4</v>
      </c>
      <c r="C5">
        <f t="shared" si="0"/>
        <v>0</v>
      </c>
      <c r="D5">
        <f t="shared" si="1"/>
        <v>0</v>
      </c>
      <c r="E5">
        <f t="shared" si="2"/>
        <v>0</v>
      </c>
      <c r="F5">
        <v>88</v>
      </c>
    </row>
    <row r="6" spans="1:6" x14ac:dyDescent="0.25">
      <c r="A6" s="1">
        <v>2</v>
      </c>
      <c r="B6" s="1">
        <v>1</v>
      </c>
      <c r="C6">
        <f t="shared" si="0"/>
        <v>1</v>
      </c>
      <c r="D6">
        <f t="shared" si="1"/>
        <v>0</v>
      </c>
      <c r="E6">
        <f t="shared" si="2"/>
        <v>0</v>
      </c>
      <c r="F6">
        <v>118</v>
      </c>
    </row>
    <row r="7" spans="1:6" x14ac:dyDescent="0.25">
      <c r="A7" s="1"/>
      <c r="B7" s="1">
        <v>2</v>
      </c>
      <c r="C7">
        <f t="shared" si="0"/>
        <v>0</v>
      </c>
      <c r="D7">
        <f t="shared" si="1"/>
        <v>1</v>
      </c>
      <c r="E7">
        <f t="shared" si="2"/>
        <v>0</v>
      </c>
      <c r="F7">
        <v>161</v>
      </c>
    </row>
    <row r="8" spans="1:6" x14ac:dyDescent="0.25">
      <c r="A8" s="1"/>
      <c r="B8" s="1">
        <v>3</v>
      </c>
      <c r="C8">
        <f t="shared" si="0"/>
        <v>0</v>
      </c>
      <c r="D8">
        <f t="shared" si="1"/>
        <v>0</v>
      </c>
      <c r="E8">
        <f t="shared" si="2"/>
        <v>1</v>
      </c>
      <c r="F8">
        <v>133</v>
      </c>
    </row>
    <row r="9" spans="1:6" x14ac:dyDescent="0.25">
      <c r="A9" s="1"/>
      <c r="B9" s="1">
        <v>4</v>
      </c>
      <c r="C9">
        <f t="shared" si="0"/>
        <v>0</v>
      </c>
      <c r="D9">
        <f t="shared" si="1"/>
        <v>0</v>
      </c>
      <c r="E9">
        <f t="shared" si="2"/>
        <v>0</v>
      </c>
      <c r="F9">
        <v>102</v>
      </c>
    </row>
    <row r="10" spans="1:6" x14ac:dyDescent="0.25">
      <c r="A10" s="1">
        <v>3</v>
      </c>
      <c r="B10" s="1">
        <v>1</v>
      </c>
      <c r="C10">
        <f t="shared" si="0"/>
        <v>1</v>
      </c>
      <c r="D10">
        <f t="shared" si="1"/>
        <v>0</v>
      </c>
      <c r="E10">
        <f t="shared" si="2"/>
        <v>0</v>
      </c>
      <c r="F10">
        <v>138</v>
      </c>
    </row>
    <row r="11" spans="1:6" x14ac:dyDescent="0.25">
      <c r="A11" s="1"/>
      <c r="B11" s="1">
        <v>2</v>
      </c>
      <c r="C11">
        <f t="shared" si="0"/>
        <v>0</v>
      </c>
      <c r="D11">
        <f t="shared" si="1"/>
        <v>1</v>
      </c>
      <c r="E11">
        <f t="shared" si="2"/>
        <v>0</v>
      </c>
      <c r="F11">
        <v>144</v>
      </c>
    </row>
    <row r="12" spans="1:6" x14ac:dyDescent="0.25">
      <c r="A12" s="1"/>
      <c r="B12" s="1">
        <v>3</v>
      </c>
      <c r="C12">
        <f t="shared" si="0"/>
        <v>0</v>
      </c>
      <c r="D12">
        <f t="shared" si="1"/>
        <v>0</v>
      </c>
      <c r="E12">
        <f t="shared" si="2"/>
        <v>1</v>
      </c>
      <c r="F12">
        <v>113</v>
      </c>
    </row>
    <row r="13" spans="1:6" x14ac:dyDescent="0.25">
      <c r="A13" s="1"/>
      <c r="B13" s="1">
        <v>4</v>
      </c>
      <c r="C13">
        <f t="shared" si="0"/>
        <v>0</v>
      </c>
      <c r="D13">
        <f t="shared" si="1"/>
        <v>0</v>
      </c>
      <c r="E13">
        <f t="shared" si="2"/>
        <v>0</v>
      </c>
      <c r="F13">
        <v>80</v>
      </c>
    </row>
    <row r="14" spans="1:6" x14ac:dyDescent="0.25">
      <c r="A14" s="1">
        <v>4</v>
      </c>
      <c r="B14" s="1">
        <v>1</v>
      </c>
      <c r="C14">
        <f t="shared" si="0"/>
        <v>1</v>
      </c>
      <c r="D14">
        <f t="shared" si="1"/>
        <v>0</v>
      </c>
      <c r="E14">
        <f t="shared" si="2"/>
        <v>0</v>
      </c>
      <c r="F14">
        <v>109</v>
      </c>
    </row>
    <row r="15" spans="1:6" x14ac:dyDescent="0.25">
      <c r="A15" s="1"/>
      <c r="B15" s="1">
        <v>2</v>
      </c>
      <c r="C15">
        <f t="shared" si="0"/>
        <v>0</v>
      </c>
      <c r="D15">
        <f t="shared" si="1"/>
        <v>1</v>
      </c>
      <c r="E15">
        <f t="shared" si="2"/>
        <v>0</v>
      </c>
      <c r="F15">
        <v>137</v>
      </c>
    </row>
    <row r="16" spans="1:6" x14ac:dyDescent="0.25">
      <c r="A16" s="1"/>
      <c r="B16" s="1">
        <v>3</v>
      </c>
      <c r="C16">
        <f t="shared" si="0"/>
        <v>0</v>
      </c>
      <c r="D16">
        <f t="shared" si="1"/>
        <v>0</v>
      </c>
      <c r="E16">
        <f t="shared" si="2"/>
        <v>1</v>
      </c>
      <c r="F16">
        <v>125</v>
      </c>
    </row>
    <row r="17" spans="1:12" x14ac:dyDescent="0.25">
      <c r="A17" s="1"/>
      <c r="B17" s="1">
        <v>4</v>
      </c>
      <c r="C17">
        <f t="shared" si="0"/>
        <v>0</v>
      </c>
      <c r="D17">
        <f t="shared" si="1"/>
        <v>0</v>
      </c>
      <c r="E17">
        <f t="shared" si="2"/>
        <v>0</v>
      </c>
      <c r="F17">
        <v>109</v>
      </c>
    </row>
    <row r="18" spans="1:12" x14ac:dyDescent="0.25">
      <c r="A18" s="1">
        <v>5</v>
      </c>
      <c r="B18" s="1">
        <v>1</v>
      </c>
      <c r="C18">
        <f t="shared" si="0"/>
        <v>1</v>
      </c>
      <c r="D18">
        <f t="shared" si="1"/>
        <v>0</v>
      </c>
      <c r="E18">
        <f t="shared" si="2"/>
        <v>0</v>
      </c>
      <c r="F18">
        <v>130</v>
      </c>
    </row>
    <row r="19" spans="1:12" x14ac:dyDescent="0.25">
      <c r="A19" s="1"/>
      <c r="B19" s="1">
        <v>2</v>
      </c>
      <c r="C19">
        <f t="shared" si="0"/>
        <v>0</v>
      </c>
      <c r="D19">
        <f t="shared" si="1"/>
        <v>1</v>
      </c>
      <c r="E19">
        <f t="shared" si="2"/>
        <v>0</v>
      </c>
      <c r="F19">
        <v>165</v>
      </c>
    </row>
    <row r="20" spans="1:12" x14ac:dyDescent="0.25">
      <c r="A20" s="1"/>
      <c r="B20" s="1">
        <v>3</v>
      </c>
      <c r="C20">
        <f t="shared" si="0"/>
        <v>0</v>
      </c>
      <c r="D20">
        <f t="shared" si="1"/>
        <v>0</v>
      </c>
      <c r="E20">
        <f t="shared" si="2"/>
        <v>1</v>
      </c>
      <c r="F20">
        <v>128</v>
      </c>
    </row>
    <row r="21" spans="1:12" x14ac:dyDescent="0.25">
      <c r="A21" s="1"/>
      <c r="B21" s="1">
        <v>4</v>
      </c>
      <c r="C21">
        <f t="shared" si="0"/>
        <v>0</v>
      </c>
      <c r="D21">
        <f t="shared" si="1"/>
        <v>0</v>
      </c>
      <c r="E21">
        <f t="shared" si="2"/>
        <v>0</v>
      </c>
      <c r="F21">
        <v>96</v>
      </c>
    </row>
    <row r="22" spans="1:12" x14ac:dyDescent="0.25">
      <c r="L22" t="s">
        <v>78</v>
      </c>
    </row>
    <row r="24" spans="1:12" x14ac:dyDescent="0.25">
      <c r="C24" t="s">
        <v>40</v>
      </c>
    </row>
    <row r="25" spans="1:12" ht="15.75" thickBot="1" x14ac:dyDescent="0.3"/>
    <row r="26" spans="1:12" x14ac:dyDescent="0.25">
      <c r="C26" s="13" t="s">
        <v>41</v>
      </c>
      <c r="D26" s="13"/>
    </row>
    <row r="27" spans="1:12" x14ac:dyDescent="0.25">
      <c r="C27" t="s">
        <v>42</v>
      </c>
      <c r="D27">
        <v>0.89379134480340616</v>
      </c>
    </row>
    <row r="28" spans="1:12" x14ac:dyDescent="0.25">
      <c r="C28" t="s">
        <v>43</v>
      </c>
      <c r="D28">
        <v>0.79886296804548129</v>
      </c>
    </row>
    <row r="29" spans="1:12" x14ac:dyDescent="0.25">
      <c r="C29" t="s">
        <v>44</v>
      </c>
      <c r="D29">
        <v>0.76114977455400901</v>
      </c>
    </row>
    <row r="30" spans="1:12" x14ac:dyDescent="0.25">
      <c r="C30" t="s">
        <v>19</v>
      </c>
      <c r="D30">
        <v>11.324751652906123</v>
      </c>
    </row>
    <row r="31" spans="1:12" ht="15.75" thickBot="1" x14ac:dyDescent="0.3">
      <c r="C31" s="8" t="s">
        <v>45</v>
      </c>
      <c r="D31" s="8">
        <v>20</v>
      </c>
    </row>
    <row r="33" spans="3:11" ht="15.75" thickBot="1" x14ac:dyDescent="0.3">
      <c r="C33" t="s">
        <v>46</v>
      </c>
    </row>
    <row r="34" spans="3:11" x14ac:dyDescent="0.25">
      <c r="C34" s="9"/>
      <c r="D34" s="9" t="s">
        <v>51</v>
      </c>
      <c r="E34" s="9" t="s">
        <v>52</v>
      </c>
      <c r="F34" s="9" t="s">
        <v>53</v>
      </c>
      <c r="G34" s="9" t="s">
        <v>54</v>
      </c>
      <c r="H34" s="9" t="s">
        <v>55</v>
      </c>
    </row>
    <row r="35" spans="3:11" x14ac:dyDescent="0.25">
      <c r="C35" t="s">
        <v>47</v>
      </c>
      <c r="D35">
        <v>3</v>
      </c>
      <c r="E35">
        <v>8150</v>
      </c>
      <c r="F35">
        <v>2716.6666666666665</v>
      </c>
      <c r="G35">
        <v>21.182586094866799</v>
      </c>
      <c r="H35">
        <v>8.1036320948030689E-6</v>
      </c>
    </row>
    <row r="36" spans="3:11" x14ac:dyDescent="0.25">
      <c r="C36" t="s">
        <v>48</v>
      </c>
      <c r="D36">
        <v>16</v>
      </c>
      <c r="E36">
        <v>2051.9999999999995</v>
      </c>
      <c r="F36">
        <v>128.24999999999997</v>
      </c>
    </row>
    <row r="37" spans="3:11" ht="15.75" thickBot="1" x14ac:dyDescent="0.3">
      <c r="C37" s="8" t="s">
        <v>49</v>
      </c>
      <c r="D37" s="8">
        <v>19</v>
      </c>
      <c r="E37" s="8">
        <v>10202</v>
      </c>
      <c r="F37" s="8"/>
      <c r="G37" s="8"/>
      <c r="H37" s="8"/>
    </row>
    <row r="38" spans="3:11" ht="15.75" thickBot="1" x14ac:dyDescent="0.3"/>
    <row r="39" spans="3:11" x14ac:dyDescent="0.25">
      <c r="C39" s="9"/>
      <c r="D39" s="9" t="s">
        <v>56</v>
      </c>
      <c r="E39" s="9" t="s">
        <v>19</v>
      </c>
      <c r="F39" s="9" t="s">
        <v>57</v>
      </c>
      <c r="G39" s="9" t="s">
        <v>58</v>
      </c>
      <c r="H39" s="9" t="s">
        <v>59</v>
      </c>
      <c r="I39" s="9" t="s">
        <v>60</v>
      </c>
      <c r="J39" s="9" t="s">
        <v>61</v>
      </c>
      <c r="K39" s="9" t="s">
        <v>62</v>
      </c>
    </row>
    <row r="40" spans="3:11" x14ac:dyDescent="0.25">
      <c r="C40" t="s">
        <v>50</v>
      </c>
      <c r="D40">
        <v>95</v>
      </c>
      <c r="E40">
        <v>5.0645829048402389</v>
      </c>
      <c r="F40">
        <v>18.757714462371261</v>
      </c>
      <c r="G40">
        <v>2.5659035610699055E-12</v>
      </c>
      <c r="H40">
        <v>84.263563861683807</v>
      </c>
      <c r="I40">
        <v>105.73643613831619</v>
      </c>
      <c r="J40">
        <v>84.263563861683807</v>
      </c>
      <c r="K40">
        <v>105.73643613831619</v>
      </c>
    </row>
    <row r="41" spans="3:11" x14ac:dyDescent="0.25">
      <c r="C41" t="s">
        <v>95</v>
      </c>
      <c r="D41">
        <v>29.000000000000004</v>
      </c>
      <c r="E41">
        <v>7.1624018317879923</v>
      </c>
      <c r="F41">
        <v>4.0489211134863909</v>
      </c>
      <c r="G41">
        <v>9.3121064014886732E-4</v>
      </c>
      <c r="H41">
        <v>13.816386401640615</v>
      </c>
      <c r="I41">
        <v>44.183613598359393</v>
      </c>
      <c r="J41">
        <v>13.816386401640615</v>
      </c>
      <c r="K41">
        <v>44.183613598359393</v>
      </c>
    </row>
    <row r="42" spans="3:11" x14ac:dyDescent="0.25">
      <c r="C42" t="s">
        <v>96</v>
      </c>
      <c r="D42">
        <v>56.999999999999979</v>
      </c>
      <c r="E42">
        <v>7.1624018317879923</v>
      </c>
      <c r="F42">
        <v>7.9582242575422129</v>
      </c>
      <c r="G42">
        <v>5.9348216402977417E-7</v>
      </c>
      <c r="H42">
        <v>41.816386401640592</v>
      </c>
      <c r="I42">
        <v>72.183613598359372</v>
      </c>
      <c r="J42">
        <v>41.816386401640592</v>
      </c>
      <c r="K42">
        <v>72.183613598359372</v>
      </c>
    </row>
    <row r="43" spans="3:11" ht="15.75" thickBot="1" x14ac:dyDescent="0.3">
      <c r="C43" s="8" t="s">
        <v>97</v>
      </c>
      <c r="D43" s="8">
        <v>26.000000000000004</v>
      </c>
      <c r="E43" s="8">
        <v>7.1624018317879914</v>
      </c>
      <c r="F43" s="8">
        <v>3.6300672051946958</v>
      </c>
      <c r="G43" s="8">
        <v>2.2515555386072618E-3</v>
      </c>
      <c r="H43" s="8">
        <v>10.816386401640617</v>
      </c>
      <c r="I43" s="8">
        <v>41.183613598359386</v>
      </c>
      <c r="J43" s="8">
        <v>10.816386401640617</v>
      </c>
      <c r="K43" s="8">
        <v>41.183613598359386</v>
      </c>
    </row>
    <row r="47" spans="3:11" x14ac:dyDescent="0.25">
      <c r="C47" t="s">
        <v>63</v>
      </c>
      <c r="H47" t="s">
        <v>82</v>
      </c>
    </row>
    <row r="48" spans="3:11" ht="15.75" thickBot="1" x14ac:dyDescent="0.3"/>
    <row r="49" spans="3:9" x14ac:dyDescent="0.25">
      <c r="C49" s="9" t="s">
        <v>64</v>
      </c>
      <c r="D49" s="9" t="s">
        <v>98</v>
      </c>
      <c r="E49" s="9" t="s">
        <v>66</v>
      </c>
      <c r="F49" s="9" t="s">
        <v>80</v>
      </c>
      <c r="H49" s="9" t="s">
        <v>83</v>
      </c>
      <c r="I49" s="9" t="s">
        <v>94</v>
      </c>
    </row>
    <row r="50" spans="3:9" x14ac:dyDescent="0.25">
      <c r="C50">
        <v>1</v>
      </c>
      <c r="D50">
        <v>124</v>
      </c>
      <c r="E50">
        <v>1</v>
      </c>
      <c r="F50">
        <v>9.6225044864937631E-2</v>
      </c>
      <c r="H50">
        <v>2.5</v>
      </c>
      <c r="I50">
        <v>80</v>
      </c>
    </row>
    <row r="51" spans="3:9" x14ac:dyDescent="0.25">
      <c r="C51">
        <v>2</v>
      </c>
      <c r="D51">
        <v>151.99999999999997</v>
      </c>
      <c r="E51">
        <v>1.0000000000000284</v>
      </c>
      <c r="F51">
        <v>9.6225044864940365E-2</v>
      </c>
      <c r="H51">
        <v>7.5</v>
      </c>
      <c r="I51">
        <v>88</v>
      </c>
    </row>
    <row r="52" spans="3:9" x14ac:dyDescent="0.25">
      <c r="C52">
        <v>3</v>
      </c>
      <c r="D52">
        <v>121</v>
      </c>
      <c r="E52">
        <v>-15</v>
      </c>
      <c r="F52">
        <v>-1.4433756729740643</v>
      </c>
      <c r="H52">
        <v>12.5</v>
      </c>
      <c r="I52">
        <v>96</v>
      </c>
    </row>
    <row r="53" spans="3:9" x14ac:dyDescent="0.25">
      <c r="C53">
        <v>4</v>
      </c>
      <c r="D53">
        <v>95</v>
      </c>
      <c r="E53">
        <v>-7</v>
      </c>
      <c r="F53">
        <v>-0.67357531405456339</v>
      </c>
      <c r="H53">
        <v>17.5</v>
      </c>
      <c r="I53">
        <v>102</v>
      </c>
    </row>
    <row r="54" spans="3:9" x14ac:dyDescent="0.25">
      <c r="C54">
        <v>5</v>
      </c>
      <c r="D54">
        <v>124</v>
      </c>
      <c r="E54">
        <v>-6</v>
      </c>
      <c r="F54">
        <v>-0.57735026918962573</v>
      </c>
      <c r="H54">
        <v>22.5</v>
      </c>
      <c r="I54">
        <v>106</v>
      </c>
    </row>
    <row r="55" spans="3:9" x14ac:dyDescent="0.25">
      <c r="C55">
        <v>6</v>
      </c>
      <c r="D55">
        <v>151.99999999999997</v>
      </c>
      <c r="E55">
        <v>9.0000000000000284</v>
      </c>
      <c r="F55">
        <v>0.86602540378444137</v>
      </c>
      <c r="H55">
        <v>27.5</v>
      </c>
      <c r="I55">
        <v>109</v>
      </c>
    </row>
    <row r="56" spans="3:9" x14ac:dyDescent="0.25">
      <c r="C56">
        <v>7</v>
      </c>
      <c r="D56">
        <v>121</v>
      </c>
      <c r="E56">
        <v>12</v>
      </c>
      <c r="F56">
        <v>1.1547005383792515</v>
      </c>
      <c r="H56">
        <v>32.5</v>
      </c>
      <c r="I56">
        <v>109</v>
      </c>
    </row>
    <row r="57" spans="3:9" x14ac:dyDescent="0.25">
      <c r="C57">
        <v>8</v>
      </c>
      <c r="D57">
        <v>95</v>
      </c>
      <c r="E57">
        <v>7</v>
      </c>
      <c r="F57">
        <v>0.67357531405456339</v>
      </c>
      <c r="H57">
        <v>37.5</v>
      </c>
      <c r="I57">
        <v>113</v>
      </c>
    </row>
    <row r="58" spans="3:9" x14ac:dyDescent="0.25">
      <c r="C58">
        <v>9</v>
      </c>
      <c r="D58">
        <v>124</v>
      </c>
      <c r="E58">
        <v>14</v>
      </c>
      <c r="F58">
        <v>1.3471506281091268</v>
      </c>
      <c r="H58">
        <v>42.5</v>
      </c>
      <c r="I58">
        <v>118</v>
      </c>
    </row>
    <row r="59" spans="3:9" x14ac:dyDescent="0.25">
      <c r="C59">
        <v>10</v>
      </c>
      <c r="D59">
        <v>151.99999999999997</v>
      </c>
      <c r="E59">
        <v>-7.9999999999999716</v>
      </c>
      <c r="F59">
        <v>-0.76980035891949827</v>
      </c>
      <c r="H59">
        <v>47.5</v>
      </c>
      <c r="I59">
        <v>125</v>
      </c>
    </row>
    <row r="60" spans="3:9" x14ac:dyDescent="0.25">
      <c r="C60">
        <v>11</v>
      </c>
      <c r="D60">
        <v>121</v>
      </c>
      <c r="E60">
        <v>-8</v>
      </c>
      <c r="F60">
        <v>-0.76980035891950105</v>
      </c>
      <c r="H60">
        <v>52.5</v>
      </c>
      <c r="I60">
        <v>125</v>
      </c>
    </row>
    <row r="61" spans="3:9" x14ac:dyDescent="0.25">
      <c r="C61">
        <v>12</v>
      </c>
      <c r="D61">
        <v>95</v>
      </c>
      <c r="E61">
        <v>-15</v>
      </c>
      <c r="F61">
        <v>-1.4433756729740643</v>
      </c>
      <c r="H61">
        <v>57.5</v>
      </c>
      <c r="I61">
        <v>128</v>
      </c>
    </row>
    <row r="62" spans="3:9" x14ac:dyDescent="0.25">
      <c r="C62">
        <v>13</v>
      </c>
      <c r="D62">
        <v>124</v>
      </c>
      <c r="E62">
        <v>-15</v>
      </c>
      <c r="F62">
        <v>-1.4433756729740643</v>
      </c>
      <c r="H62">
        <v>62.5</v>
      </c>
      <c r="I62">
        <v>130</v>
      </c>
    </row>
    <row r="63" spans="3:9" x14ac:dyDescent="0.25">
      <c r="C63">
        <v>14</v>
      </c>
      <c r="D63">
        <v>151.99999999999997</v>
      </c>
      <c r="E63">
        <v>-14.999999999999972</v>
      </c>
      <c r="F63">
        <v>-1.4433756729740617</v>
      </c>
      <c r="H63">
        <v>67.5</v>
      </c>
      <c r="I63">
        <v>133</v>
      </c>
    </row>
    <row r="64" spans="3:9" x14ac:dyDescent="0.25">
      <c r="C64">
        <v>15</v>
      </c>
      <c r="D64">
        <v>121</v>
      </c>
      <c r="E64">
        <v>4</v>
      </c>
      <c r="F64">
        <v>0.38490017945975052</v>
      </c>
      <c r="H64">
        <v>72.5</v>
      </c>
      <c r="I64">
        <v>137</v>
      </c>
    </row>
    <row r="65" spans="2:9" x14ac:dyDescent="0.25">
      <c r="C65">
        <v>16</v>
      </c>
      <c r="D65">
        <v>95</v>
      </c>
      <c r="E65">
        <v>14</v>
      </c>
      <c r="F65">
        <v>1.3471506281091268</v>
      </c>
      <c r="H65">
        <v>77.5</v>
      </c>
      <c r="I65">
        <v>138</v>
      </c>
    </row>
    <row r="66" spans="2:9" x14ac:dyDescent="0.25">
      <c r="C66">
        <v>17</v>
      </c>
      <c r="D66">
        <v>124</v>
      </c>
      <c r="E66">
        <v>6</v>
      </c>
      <c r="F66">
        <v>0.57735026918962573</v>
      </c>
      <c r="H66">
        <v>82.5</v>
      </c>
      <c r="I66">
        <v>144</v>
      </c>
    </row>
    <row r="67" spans="2:9" x14ac:dyDescent="0.25">
      <c r="C67">
        <v>18</v>
      </c>
      <c r="D67">
        <v>151.99999999999997</v>
      </c>
      <c r="E67">
        <v>13.000000000000028</v>
      </c>
      <c r="F67">
        <v>1.2509255832441919</v>
      </c>
      <c r="H67">
        <v>87.5</v>
      </c>
      <c r="I67">
        <v>153</v>
      </c>
    </row>
    <row r="68" spans="2:9" x14ac:dyDescent="0.25">
      <c r="C68">
        <v>19</v>
      </c>
      <c r="D68">
        <v>121</v>
      </c>
      <c r="E68">
        <v>7</v>
      </c>
      <c r="F68">
        <v>0.67357531405456339</v>
      </c>
      <c r="H68">
        <v>92.5</v>
      </c>
      <c r="I68">
        <v>161</v>
      </c>
    </row>
    <row r="69" spans="2:9" ht="15.75" thickBot="1" x14ac:dyDescent="0.3">
      <c r="C69" s="8">
        <v>20</v>
      </c>
      <c r="D69" s="8">
        <v>95</v>
      </c>
      <c r="E69" s="8">
        <v>1</v>
      </c>
      <c r="F69" s="8">
        <v>9.6225044864937631E-2</v>
      </c>
      <c r="H69" s="8">
        <v>97.5</v>
      </c>
      <c r="I69" s="8">
        <v>165</v>
      </c>
    </row>
    <row r="70" spans="2:9" ht="31.5" customHeight="1" x14ac:dyDescent="0.25">
      <c r="B70" s="23" t="s">
        <v>76</v>
      </c>
      <c r="C70" s="23">
        <v>20.25</v>
      </c>
      <c r="D70" s="23">
        <v>95.25</v>
      </c>
    </row>
    <row r="71" spans="2:9" ht="30" x14ac:dyDescent="0.25">
      <c r="B71" s="22" t="s">
        <v>67</v>
      </c>
      <c r="C71" s="21">
        <v>21</v>
      </c>
      <c r="D71" s="21">
        <f>D40+D41</f>
        <v>124</v>
      </c>
    </row>
    <row r="72" spans="2:9" x14ac:dyDescent="0.25">
      <c r="B72" s="21"/>
      <c r="C72" s="21">
        <v>22</v>
      </c>
      <c r="D72" s="21">
        <f>D40+D42</f>
        <v>151.99999999999997</v>
      </c>
    </row>
    <row r="73" spans="2:9" x14ac:dyDescent="0.25">
      <c r="C73" s="21">
        <v>23</v>
      </c>
      <c r="D73" s="21">
        <f>D40+D43</f>
        <v>121</v>
      </c>
    </row>
    <row r="74" spans="2:9" x14ac:dyDescent="0.25">
      <c r="C74" s="21">
        <v>24</v>
      </c>
      <c r="D74" s="21">
        <f>D40</f>
        <v>95</v>
      </c>
    </row>
  </sheetData>
  <sortState xmlns:xlrd2="http://schemas.microsoft.com/office/spreadsheetml/2017/richdata2" ref="I50:I69">
    <sortCondition ref="I50"/>
  </sortState>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9162-4B5D-4331-82F8-70669DCB5811}">
  <dimension ref="A1:AM17"/>
  <sheetViews>
    <sheetView workbookViewId="0">
      <selection activeCell="C22" sqref="C22"/>
    </sheetView>
  </sheetViews>
  <sheetFormatPr defaultRowHeight="15" x14ac:dyDescent="0.25"/>
  <cols>
    <col min="1" max="1" width="8.28515625" bestFit="1" customWidth="1"/>
    <col min="2" max="2" width="13.28515625" customWidth="1"/>
    <col min="3" max="3" width="35.28515625" customWidth="1"/>
  </cols>
  <sheetData>
    <row r="1" spans="1:39" x14ac:dyDescent="0.25">
      <c r="A1" t="s">
        <v>2</v>
      </c>
      <c r="B1" t="s">
        <v>4</v>
      </c>
      <c r="C1" t="s">
        <v>5</v>
      </c>
      <c r="D1" s="1">
        <v>1</v>
      </c>
      <c r="E1" s="1">
        <v>1</v>
      </c>
      <c r="F1" s="1">
        <v>4.8</v>
      </c>
      <c r="G1" s="1">
        <v>2</v>
      </c>
      <c r="H1" s="1">
        <v>4.0999999999999996</v>
      </c>
      <c r="I1" s="1">
        <v>3</v>
      </c>
      <c r="J1" s="1">
        <v>6</v>
      </c>
      <c r="K1" s="1">
        <v>4</v>
      </c>
      <c r="L1" s="1">
        <v>6.5</v>
      </c>
      <c r="M1" s="1">
        <v>2</v>
      </c>
      <c r="N1" s="1">
        <v>1</v>
      </c>
      <c r="O1" s="1">
        <v>5.8</v>
      </c>
      <c r="P1" s="1">
        <v>2</v>
      </c>
      <c r="Q1" s="1">
        <v>5.2</v>
      </c>
      <c r="R1" s="1">
        <v>3</v>
      </c>
      <c r="S1" s="1">
        <v>6.8</v>
      </c>
      <c r="T1" s="1">
        <v>4</v>
      </c>
      <c r="U1" s="1">
        <v>7.4</v>
      </c>
      <c r="V1" s="1">
        <v>3</v>
      </c>
      <c r="W1" s="1">
        <v>1</v>
      </c>
      <c r="X1" s="1">
        <v>6</v>
      </c>
      <c r="Y1" s="1">
        <v>2</v>
      </c>
      <c r="Z1" s="1">
        <v>5.6</v>
      </c>
      <c r="AA1" s="1">
        <v>3</v>
      </c>
      <c r="AB1" s="1">
        <v>7.5</v>
      </c>
      <c r="AC1" s="1">
        <v>4</v>
      </c>
      <c r="AD1" s="1">
        <v>7.8</v>
      </c>
      <c r="AE1" s="1">
        <v>4</v>
      </c>
      <c r="AF1" s="1">
        <v>1</v>
      </c>
      <c r="AG1" s="1">
        <v>6.3</v>
      </c>
      <c r="AH1" s="1">
        <v>2</v>
      </c>
      <c r="AI1" s="1">
        <v>5.9</v>
      </c>
      <c r="AJ1" s="1">
        <v>3</v>
      </c>
      <c r="AK1" s="1">
        <v>8</v>
      </c>
      <c r="AL1" s="1">
        <v>4</v>
      </c>
      <c r="AM1" s="1">
        <v>8.4</v>
      </c>
    </row>
    <row r="2" spans="1:39" x14ac:dyDescent="0.25">
      <c r="A2" cm="1">
        <f t="array" ref="A2">INDEX($1:$1,ROW(A1),D2)</f>
        <v>1</v>
      </c>
      <c r="B2" cm="1">
        <f t="array" ref="B2">INDEX($1:$1,ROW($A$1),E2)</f>
        <v>1</v>
      </c>
      <c r="C2" cm="1">
        <f t="array" ref="C2">INDEX($1:$1,ROW($A$1),F2)</f>
        <v>4.8</v>
      </c>
      <c r="D2" s="1">
        <v>4</v>
      </c>
      <c r="E2" s="1">
        <v>5</v>
      </c>
      <c r="F2" s="1">
        <v>6</v>
      </c>
      <c r="G2" s="1">
        <v>7</v>
      </c>
      <c r="H2" s="1">
        <v>8</v>
      </c>
      <c r="I2" s="1">
        <v>9</v>
      </c>
      <c r="J2" s="1">
        <v>10</v>
      </c>
      <c r="K2" s="1">
        <v>11</v>
      </c>
      <c r="L2" s="1">
        <v>12</v>
      </c>
      <c r="M2" s="1">
        <v>13</v>
      </c>
      <c r="N2" s="1">
        <v>14</v>
      </c>
      <c r="O2" s="1">
        <v>15</v>
      </c>
      <c r="P2" s="1">
        <v>16</v>
      </c>
      <c r="Q2" s="1">
        <v>17</v>
      </c>
      <c r="R2" s="1">
        <v>18</v>
      </c>
      <c r="S2" s="1">
        <v>19</v>
      </c>
      <c r="T2" s="1">
        <v>20</v>
      </c>
      <c r="U2" s="1">
        <v>21</v>
      </c>
      <c r="V2" s="1">
        <v>22</v>
      </c>
      <c r="W2" s="1">
        <v>23</v>
      </c>
      <c r="X2" s="1">
        <v>24</v>
      </c>
      <c r="Y2" s="1">
        <v>25</v>
      </c>
      <c r="Z2" s="1">
        <v>26</v>
      </c>
      <c r="AA2" s="1">
        <v>27</v>
      </c>
      <c r="AB2" s="1">
        <v>28</v>
      </c>
      <c r="AC2" s="1">
        <v>29</v>
      </c>
      <c r="AD2" s="1">
        <v>30</v>
      </c>
      <c r="AE2" s="1">
        <v>31</v>
      </c>
      <c r="AF2" s="1">
        <v>32</v>
      </c>
      <c r="AG2" s="1">
        <v>33</v>
      </c>
      <c r="AH2" s="1">
        <v>34</v>
      </c>
      <c r="AI2" s="1">
        <v>35</v>
      </c>
      <c r="AJ2" s="1">
        <v>36</v>
      </c>
      <c r="AK2" s="1">
        <v>37</v>
      </c>
      <c r="AL2" s="1">
        <v>38</v>
      </c>
      <c r="AM2" s="1">
        <v>39</v>
      </c>
    </row>
    <row r="3" spans="1:39" x14ac:dyDescent="0.25">
      <c r="B3" cm="1">
        <f t="array" ref="B3">INDEX($1:$1,ROW($A$1),E3)</f>
        <v>2</v>
      </c>
      <c r="C3" cm="1">
        <f t="array" ref="C3">INDEX($1:$1,ROW($A$1),F3)</f>
        <v>4.0999999999999996</v>
      </c>
      <c r="D3" s="1">
        <f>D2+9</f>
        <v>13</v>
      </c>
      <c r="E3" s="1">
        <f t="shared" ref="E3:E17" si="0">IF(B2=4,E2+3,E2+2)</f>
        <v>7</v>
      </c>
      <c r="F3" s="1">
        <f>F2+2</f>
        <v>8</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x14ac:dyDescent="0.25">
      <c r="B4" cm="1">
        <f t="array" ref="B4">INDEX($1:$1,ROW($A$1),E4)</f>
        <v>3</v>
      </c>
      <c r="C4" cm="1">
        <f t="array" ref="C4">INDEX($1:$1,ROW($A$1),F4)</f>
        <v>6</v>
      </c>
      <c r="D4" s="1">
        <f>D3+9</f>
        <v>22</v>
      </c>
      <c r="E4" s="1">
        <f t="shared" si="0"/>
        <v>9</v>
      </c>
      <c r="F4" s="1">
        <f>F3+2</f>
        <v>10</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39" x14ac:dyDescent="0.25">
      <c r="B5" cm="1">
        <f t="array" ref="B5">INDEX($1:$1,ROW($A$1),E5)</f>
        <v>4</v>
      </c>
      <c r="C5" cm="1">
        <f t="array" ref="C5">INDEX($1:$1,ROW($A$1),F5)</f>
        <v>6.5</v>
      </c>
      <c r="D5" s="1">
        <f>D4+9</f>
        <v>31</v>
      </c>
      <c r="E5" s="1">
        <f t="shared" si="0"/>
        <v>11</v>
      </c>
      <c r="F5" s="1">
        <f>IF(B4=4,F4+3,F4+2)</f>
        <v>12</v>
      </c>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spans="1:39" x14ac:dyDescent="0.25">
      <c r="A6" cm="1">
        <f t="array" ref="A6">INDEX($1:$1,ROW($A$1),D3)</f>
        <v>2</v>
      </c>
      <c r="B6" cm="1">
        <f t="array" ref="B6">INDEX($1:$1,ROW($A$1),E6)</f>
        <v>1</v>
      </c>
      <c r="C6" cm="1">
        <f t="array" ref="C6">INDEX($1:$1,ROW($A$1),F6)</f>
        <v>5.8</v>
      </c>
      <c r="D6" s="1"/>
      <c r="E6" s="1">
        <f t="shared" si="0"/>
        <v>14</v>
      </c>
      <c r="F6" s="1">
        <f t="shared" ref="F6:F17" si="1">IF(B5=4,F5+3,F5+2)</f>
        <v>15</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x14ac:dyDescent="0.25">
      <c r="B7" cm="1">
        <f t="array" ref="B7">INDEX($1:$1,ROW($A$1),E7)</f>
        <v>2</v>
      </c>
      <c r="C7" cm="1">
        <f t="array" ref="C7">INDEX($1:$1,ROW($A$1),F7)</f>
        <v>5.2</v>
      </c>
      <c r="D7" s="1"/>
      <c r="E7" s="1">
        <f t="shared" si="0"/>
        <v>16</v>
      </c>
      <c r="F7" s="1">
        <f t="shared" si="1"/>
        <v>17</v>
      </c>
      <c r="G7" s="1"/>
      <c r="H7" s="1"/>
      <c r="I7" s="1" t="s">
        <v>3</v>
      </c>
      <c r="J7" s="1">
        <v>36</v>
      </c>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spans="1:39" x14ac:dyDescent="0.25">
      <c r="B8" cm="1">
        <f t="array" ref="B8">INDEX($1:$1,ROW($A$1),E8)</f>
        <v>3</v>
      </c>
      <c r="C8" cm="1">
        <f t="array" ref="C8">INDEX($1:$1,ROW($A$1),F8)</f>
        <v>6.8</v>
      </c>
      <c r="D8" s="1"/>
      <c r="E8" s="1">
        <f t="shared" si="0"/>
        <v>18</v>
      </c>
      <c r="F8" s="1">
        <f t="shared" si="1"/>
        <v>19</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spans="1:39" x14ac:dyDescent="0.25">
      <c r="B9" cm="1">
        <f t="array" ref="B9">INDEX($1:$1,ROW($A$1),E9)</f>
        <v>4</v>
      </c>
      <c r="C9" cm="1">
        <f t="array" ref="C9">INDEX($1:$1,ROW($A$1),F9)</f>
        <v>7.4</v>
      </c>
      <c r="D9" s="1"/>
      <c r="E9" s="1">
        <f t="shared" si="0"/>
        <v>20</v>
      </c>
      <c r="F9" s="1">
        <f t="shared" si="1"/>
        <v>21</v>
      </c>
      <c r="G9" s="1"/>
      <c r="H9" s="1"/>
      <c r="I9" s="1"/>
      <c r="J9" s="1">
        <v>12</v>
      </c>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spans="1:39" x14ac:dyDescent="0.25">
      <c r="A10" cm="1">
        <f t="array" ref="A10">INDEX($1:$1,ROW($A$1),D4)</f>
        <v>3</v>
      </c>
      <c r="B10" cm="1">
        <f t="array" ref="B10">INDEX($1:$1,ROW($A$1),E10)</f>
        <v>1</v>
      </c>
      <c r="C10" cm="1">
        <f t="array" ref="C10">INDEX($1:$1,ROW($A$1),F10)</f>
        <v>6</v>
      </c>
      <c r="D10" s="1"/>
      <c r="E10" s="1">
        <f t="shared" si="0"/>
        <v>23</v>
      </c>
      <c r="F10" s="1">
        <f t="shared" si="1"/>
        <v>24</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spans="1:39" x14ac:dyDescent="0.25">
      <c r="B11" cm="1">
        <f t="array" ref="B11">INDEX($1:$1,ROW($A$1),E11)</f>
        <v>2</v>
      </c>
      <c r="C11" cm="1">
        <f t="array" ref="C11">INDEX($1:$1,ROW($A$1),F11)</f>
        <v>5.6</v>
      </c>
      <c r="D11" s="1"/>
      <c r="E11" s="1">
        <f t="shared" si="0"/>
        <v>25</v>
      </c>
      <c r="F11" s="1">
        <f t="shared" si="1"/>
        <v>26</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spans="1:39" x14ac:dyDescent="0.25">
      <c r="B12" cm="1">
        <f t="array" ref="B12">INDEX($1:$1,ROW($A$1),E12)</f>
        <v>3</v>
      </c>
      <c r="C12" cm="1">
        <f t="array" ref="C12">INDEX($1:$1,ROW($A$1),F12)</f>
        <v>7.5</v>
      </c>
      <c r="D12" s="1"/>
      <c r="E12" s="1">
        <f t="shared" si="0"/>
        <v>27</v>
      </c>
      <c r="F12" s="1">
        <f t="shared" si="1"/>
        <v>28</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spans="1:39" x14ac:dyDescent="0.25">
      <c r="B13" cm="1">
        <f t="array" ref="B13">INDEX($1:$1,ROW($A$1),E13)</f>
        <v>4</v>
      </c>
      <c r="C13" cm="1">
        <f t="array" ref="C13">INDEX($1:$1,ROW($A$1),F13)</f>
        <v>7.8</v>
      </c>
      <c r="D13" s="1"/>
      <c r="E13" s="1">
        <f t="shared" si="0"/>
        <v>29</v>
      </c>
      <c r="F13" s="1">
        <f t="shared" si="1"/>
        <v>30</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spans="1:39" x14ac:dyDescent="0.25">
      <c r="A14" cm="1">
        <f t="array" ref="A14">INDEX($1:$1,ROW($A$1),D5)</f>
        <v>4</v>
      </c>
      <c r="B14" cm="1">
        <f t="array" ref="B14">INDEX($1:$1,ROW($A$1),E14)</f>
        <v>1</v>
      </c>
      <c r="C14" cm="1">
        <f t="array" ref="C14">INDEX($1:$1,ROW($A$1),F14)</f>
        <v>6.3</v>
      </c>
      <c r="D14" s="1"/>
      <c r="E14" s="1">
        <f t="shared" si="0"/>
        <v>32</v>
      </c>
      <c r="F14" s="1">
        <f t="shared" si="1"/>
        <v>33</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spans="1:39" x14ac:dyDescent="0.25">
      <c r="B15" cm="1">
        <f t="array" ref="B15">INDEX($1:$1,ROW($A$1),E15)</f>
        <v>2</v>
      </c>
      <c r="C15" cm="1">
        <f t="array" ref="C15">INDEX($1:$1,ROW($A$1),F15)</f>
        <v>5.9</v>
      </c>
      <c r="D15" s="1"/>
      <c r="E15" s="1">
        <f t="shared" si="0"/>
        <v>34</v>
      </c>
      <c r="F15" s="1">
        <f t="shared" si="1"/>
        <v>35</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spans="1:39" x14ac:dyDescent="0.25">
      <c r="B16" cm="1">
        <f t="array" ref="B16">INDEX($1:$1,ROW($A$1),E16)</f>
        <v>3</v>
      </c>
      <c r="C16" cm="1">
        <f t="array" ref="C16">INDEX($1:$1,ROW($A$1),F16)</f>
        <v>8</v>
      </c>
      <c r="D16" s="1"/>
      <c r="E16" s="1">
        <f t="shared" si="0"/>
        <v>36</v>
      </c>
      <c r="F16" s="1">
        <f t="shared" si="1"/>
        <v>37</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spans="2:39" x14ac:dyDescent="0.25">
      <c r="B17" cm="1">
        <f t="array" ref="B17">INDEX($1:$1,ROW($A$1),E17)</f>
        <v>4</v>
      </c>
      <c r="C17" cm="1">
        <f t="array" ref="C17">INDEX($1:$1,ROW($A$1),F17)</f>
        <v>8.4</v>
      </c>
      <c r="D17" s="1"/>
      <c r="E17" s="1">
        <f t="shared" si="0"/>
        <v>38</v>
      </c>
      <c r="F17" s="1">
        <f t="shared" si="1"/>
        <v>39</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670D-6248-4173-87BD-6E9757D4E2B0}">
  <dimension ref="A1:D17"/>
  <sheetViews>
    <sheetView zoomScale="103" zoomScaleNormal="93" workbookViewId="0">
      <selection activeCell="R16" sqref="R16"/>
    </sheetView>
  </sheetViews>
  <sheetFormatPr defaultRowHeight="15" x14ac:dyDescent="0.25"/>
  <cols>
    <col min="2" max="2" width="15" customWidth="1"/>
    <col min="3" max="3" width="11.140625" customWidth="1"/>
    <col min="5" max="5" width="13.7109375" customWidth="1"/>
  </cols>
  <sheetData>
    <row r="1" spans="1:4" x14ac:dyDescent="0.25">
      <c r="A1" t="s">
        <v>2</v>
      </c>
      <c r="B1" t="s">
        <v>4</v>
      </c>
      <c r="C1" t="s">
        <v>5</v>
      </c>
      <c r="D1" t="s">
        <v>6</v>
      </c>
    </row>
    <row r="2" spans="1:4" x14ac:dyDescent="0.25">
      <c r="A2">
        <v>1</v>
      </c>
      <c r="B2">
        <v>1</v>
      </c>
      <c r="C2">
        <v>4.8</v>
      </c>
      <c r="D2">
        <v>1</v>
      </c>
    </row>
    <row r="3" spans="1:4" x14ac:dyDescent="0.25">
      <c r="A3">
        <v>1</v>
      </c>
      <c r="B3">
        <v>2</v>
      </c>
      <c r="C3">
        <v>4.0999999999999996</v>
      </c>
      <c r="D3">
        <v>2</v>
      </c>
    </row>
    <row r="4" spans="1:4" x14ac:dyDescent="0.25">
      <c r="A4">
        <v>1</v>
      </c>
      <c r="B4">
        <v>3</v>
      </c>
      <c r="C4">
        <v>6</v>
      </c>
      <c r="D4">
        <v>3</v>
      </c>
    </row>
    <row r="5" spans="1:4" x14ac:dyDescent="0.25">
      <c r="A5">
        <v>1</v>
      </c>
      <c r="B5">
        <v>4</v>
      </c>
      <c r="C5">
        <v>6.5</v>
      </c>
      <c r="D5">
        <v>4</v>
      </c>
    </row>
    <row r="6" spans="1:4" x14ac:dyDescent="0.25">
      <c r="A6">
        <v>2</v>
      </c>
      <c r="B6">
        <v>1</v>
      </c>
      <c r="C6">
        <v>5.8</v>
      </c>
      <c r="D6">
        <v>5</v>
      </c>
    </row>
    <row r="7" spans="1:4" x14ac:dyDescent="0.25">
      <c r="A7">
        <v>2</v>
      </c>
      <c r="B7">
        <v>2</v>
      </c>
      <c r="C7">
        <v>5.2</v>
      </c>
      <c r="D7">
        <v>6</v>
      </c>
    </row>
    <row r="8" spans="1:4" x14ac:dyDescent="0.25">
      <c r="A8">
        <v>2</v>
      </c>
      <c r="B8">
        <v>3</v>
      </c>
      <c r="C8">
        <v>6.8</v>
      </c>
      <c r="D8">
        <v>7</v>
      </c>
    </row>
    <row r="9" spans="1:4" x14ac:dyDescent="0.25">
      <c r="A9">
        <v>2</v>
      </c>
      <c r="B9">
        <v>4</v>
      </c>
      <c r="C9">
        <v>7.4</v>
      </c>
      <c r="D9">
        <v>8</v>
      </c>
    </row>
    <row r="10" spans="1:4" x14ac:dyDescent="0.25">
      <c r="A10">
        <v>3</v>
      </c>
      <c r="B10">
        <v>1</v>
      </c>
      <c r="C10">
        <v>6</v>
      </c>
      <c r="D10">
        <v>9</v>
      </c>
    </row>
    <row r="11" spans="1:4" x14ac:dyDescent="0.25">
      <c r="A11">
        <v>3</v>
      </c>
      <c r="B11">
        <v>2</v>
      </c>
      <c r="C11">
        <v>5.6</v>
      </c>
      <c r="D11">
        <v>10</v>
      </c>
    </row>
    <row r="12" spans="1:4" x14ac:dyDescent="0.25">
      <c r="A12">
        <v>3</v>
      </c>
      <c r="B12">
        <v>3</v>
      </c>
      <c r="C12">
        <v>7.5</v>
      </c>
      <c r="D12">
        <v>11</v>
      </c>
    </row>
    <row r="13" spans="1:4" x14ac:dyDescent="0.25">
      <c r="A13">
        <v>3</v>
      </c>
      <c r="B13">
        <v>4</v>
      </c>
      <c r="C13">
        <v>7.8</v>
      </c>
      <c r="D13">
        <v>12</v>
      </c>
    </row>
    <row r="14" spans="1:4" x14ac:dyDescent="0.25">
      <c r="A14">
        <v>4</v>
      </c>
      <c r="B14">
        <v>1</v>
      </c>
      <c r="C14">
        <v>6.3</v>
      </c>
      <c r="D14">
        <v>13</v>
      </c>
    </row>
    <row r="15" spans="1:4" x14ac:dyDescent="0.25">
      <c r="A15">
        <v>4</v>
      </c>
      <c r="B15">
        <v>2</v>
      </c>
      <c r="C15">
        <v>5.9</v>
      </c>
      <c r="D15">
        <v>14</v>
      </c>
    </row>
    <row r="16" spans="1:4" x14ac:dyDescent="0.25">
      <c r="A16">
        <v>4</v>
      </c>
      <c r="B16">
        <v>3</v>
      </c>
      <c r="C16">
        <v>8</v>
      </c>
      <c r="D16">
        <v>15</v>
      </c>
    </row>
    <row r="17" spans="1:4" x14ac:dyDescent="0.25">
      <c r="A17">
        <v>4</v>
      </c>
      <c r="B17">
        <v>4</v>
      </c>
      <c r="C17">
        <v>8.4</v>
      </c>
      <c r="D17">
        <v>16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5B9A-0F1F-411B-A0BB-9BA299242247}">
  <dimension ref="A1:C17"/>
  <sheetViews>
    <sheetView workbookViewId="0">
      <selection activeCell="C21" sqref="C21"/>
    </sheetView>
  </sheetViews>
  <sheetFormatPr defaultRowHeight="15" x14ac:dyDescent="0.25"/>
  <cols>
    <col min="2" max="2" width="15.5703125" customWidth="1"/>
  </cols>
  <sheetData>
    <row r="1" spans="1:3" x14ac:dyDescent="0.25">
      <c r="A1" t="s">
        <v>2</v>
      </c>
      <c r="B1" t="s">
        <v>4</v>
      </c>
      <c r="C1" t="s">
        <v>101</v>
      </c>
    </row>
    <row r="2" spans="1:3" x14ac:dyDescent="0.25">
      <c r="A2">
        <v>1</v>
      </c>
      <c r="B2">
        <v>1</v>
      </c>
      <c r="C2">
        <v>4.8</v>
      </c>
    </row>
    <row r="3" spans="1:3" x14ac:dyDescent="0.25">
      <c r="B3">
        <v>2</v>
      </c>
      <c r="C3">
        <v>4.0999999999999996</v>
      </c>
    </row>
    <row r="4" spans="1:3" x14ac:dyDescent="0.25">
      <c r="B4">
        <v>3</v>
      </c>
      <c r="C4">
        <v>6</v>
      </c>
    </row>
    <row r="5" spans="1:3" x14ac:dyDescent="0.25">
      <c r="B5">
        <v>4</v>
      </c>
      <c r="C5">
        <v>6.5</v>
      </c>
    </row>
    <row r="6" spans="1:3" x14ac:dyDescent="0.25">
      <c r="A6">
        <v>2</v>
      </c>
      <c r="B6">
        <v>1</v>
      </c>
      <c r="C6">
        <v>5.8</v>
      </c>
    </row>
    <row r="7" spans="1:3" x14ac:dyDescent="0.25">
      <c r="B7">
        <v>2</v>
      </c>
      <c r="C7">
        <v>5.2</v>
      </c>
    </row>
    <row r="8" spans="1:3" x14ac:dyDescent="0.25">
      <c r="B8">
        <v>3</v>
      </c>
      <c r="C8">
        <v>6.8</v>
      </c>
    </row>
    <row r="9" spans="1:3" x14ac:dyDescent="0.25">
      <c r="B9">
        <v>4</v>
      </c>
      <c r="C9">
        <v>7.4</v>
      </c>
    </row>
    <row r="10" spans="1:3" x14ac:dyDescent="0.25">
      <c r="A10">
        <v>3</v>
      </c>
      <c r="B10">
        <v>1</v>
      </c>
      <c r="C10">
        <v>6</v>
      </c>
    </row>
    <row r="11" spans="1:3" x14ac:dyDescent="0.25">
      <c r="B11">
        <v>2</v>
      </c>
      <c r="C11">
        <v>5.6</v>
      </c>
    </row>
    <row r="12" spans="1:3" x14ac:dyDescent="0.25">
      <c r="B12">
        <v>3</v>
      </c>
      <c r="C12">
        <v>7.5</v>
      </c>
    </row>
    <row r="13" spans="1:3" x14ac:dyDescent="0.25">
      <c r="B13">
        <v>4</v>
      </c>
      <c r="C13">
        <v>7.8</v>
      </c>
    </row>
    <row r="14" spans="1:3" x14ac:dyDescent="0.25">
      <c r="A14">
        <v>4</v>
      </c>
      <c r="B14">
        <v>1</v>
      </c>
      <c r="C14">
        <v>6.3</v>
      </c>
    </row>
    <row r="15" spans="1:3" x14ac:dyDescent="0.25">
      <c r="B15">
        <v>2</v>
      </c>
      <c r="C15">
        <v>5.9</v>
      </c>
    </row>
    <row r="16" spans="1:3" x14ac:dyDescent="0.25">
      <c r="B16">
        <v>3</v>
      </c>
      <c r="C16">
        <v>8</v>
      </c>
    </row>
    <row r="17" spans="2:3" x14ac:dyDescent="0.25">
      <c r="B17">
        <v>4</v>
      </c>
      <c r="C17">
        <v>8.4</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A29F-D532-4950-8791-7EDB47868E02}">
  <dimension ref="A1:K65"/>
  <sheetViews>
    <sheetView zoomScale="84" zoomScaleNormal="84" workbookViewId="0">
      <selection activeCell="K24" sqref="K24"/>
    </sheetView>
  </sheetViews>
  <sheetFormatPr defaultRowHeight="15" x14ac:dyDescent="0.25"/>
  <cols>
    <col min="2" max="2" width="15" bestFit="1" customWidth="1"/>
    <col min="7" max="7" width="11.7109375" customWidth="1"/>
  </cols>
  <sheetData>
    <row r="1" spans="1:7" x14ac:dyDescent="0.25">
      <c r="A1" s="1" t="s">
        <v>2</v>
      </c>
      <c r="B1" s="1" t="s">
        <v>99</v>
      </c>
      <c r="C1" t="s">
        <v>95</v>
      </c>
      <c r="D1" t="s">
        <v>96</v>
      </c>
      <c r="E1" t="s">
        <v>97</v>
      </c>
      <c r="F1" s="15" t="s">
        <v>100</v>
      </c>
      <c r="G1" t="s">
        <v>101</v>
      </c>
    </row>
    <row r="2" spans="1:7" x14ac:dyDescent="0.25">
      <c r="A2" s="1">
        <v>1</v>
      </c>
      <c r="B2" s="1">
        <v>1</v>
      </c>
      <c r="C2">
        <v>1</v>
      </c>
      <c r="D2">
        <v>0</v>
      </c>
      <c r="E2">
        <v>0</v>
      </c>
      <c r="F2">
        <v>1</v>
      </c>
      <c r="G2">
        <v>4.8</v>
      </c>
    </row>
    <row r="3" spans="1:7" x14ac:dyDescent="0.25">
      <c r="A3" s="1"/>
      <c r="B3" s="1">
        <v>2</v>
      </c>
      <c r="C3">
        <v>0</v>
      </c>
      <c r="D3">
        <v>1</v>
      </c>
      <c r="E3">
        <v>0</v>
      </c>
      <c r="F3">
        <v>2</v>
      </c>
      <c r="G3">
        <v>4.0999999999999996</v>
      </c>
    </row>
    <row r="4" spans="1:7" x14ac:dyDescent="0.25">
      <c r="A4" s="1"/>
      <c r="B4" s="1">
        <v>3</v>
      </c>
      <c r="C4">
        <v>0</v>
      </c>
      <c r="D4">
        <v>0</v>
      </c>
      <c r="E4">
        <v>1</v>
      </c>
      <c r="F4">
        <v>3</v>
      </c>
      <c r="G4">
        <v>6</v>
      </c>
    </row>
    <row r="5" spans="1:7" x14ac:dyDescent="0.25">
      <c r="A5" s="1"/>
      <c r="B5" s="1">
        <v>4</v>
      </c>
      <c r="C5">
        <v>0</v>
      </c>
      <c r="D5">
        <v>0</v>
      </c>
      <c r="E5">
        <v>0</v>
      </c>
      <c r="F5">
        <v>4</v>
      </c>
      <c r="G5">
        <v>6.5</v>
      </c>
    </row>
    <row r="6" spans="1:7" x14ac:dyDescent="0.25">
      <c r="A6" s="1">
        <v>2</v>
      </c>
      <c r="B6" s="1">
        <v>1</v>
      </c>
      <c r="C6">
        <v>1</v>
      </c>
      <c r="D6">
        <v>0</v>
      </c>
      <c r="E6">
        <v>0</v>
      </c>
      <c r="F6">
        <v>5</v>
      </c>
      <c r="G6">
        <v>5.8</v>
      </c>
    </row>
    <row r="7" spans="1:7" x14ac:dyDescent="0.25">
      <c r="A7" s="1"/>
      <c r="B7" s="1">
        <v>2</v>
      </c>
      <c r="C7">
        <v>0</v>
      </c>
      <c r="D7">
        <v>1</v>
      </c>
      <c r="E7">
        <v>0</v>
      </c>
      <c r="F7">
        <v>6</v>
      </c>
      <c r="G7">
        <v>5.2</v>
      </c>
    </row>
    <row r="8" spans="1:7" x14ac:dyDescent="0.25">
      <c r="A8" s="1"/>
      <c r="B8" s="1">
        <v>3</v>
      </c>
      <c r="C8">
        <v>0</v>
      </c>
      <c r="D8">
        <v>0</v>
      </c>
      <c r="E8">
        <v>1</v>
      </c>
      <c r="F8">
        <v>7</v>
      </c>
      <c r="G8">
        <v>6.8</v>
      </c>
    </row>
    <row r="9" spans="1:7" x14ac:dyDescent="0.25">
      <c r="A9" s="1"/>
      <c r="B9" s="1">
        <v>4</v>
      </c>
      <c r="C9">
        <v>0</v>
      </c>
      <c r="D9">
        <v>0</v>
      </c>
      <c r="E9">
        <v>0</v>
      </c>
      <c r="F9">
        <v>8</v>
      </c>
      <c r="G9">
        <v>7.4</v>
      </c>
    </row>
    <row r="10" spans="1:7" x14ac:dyDescent="0.25">
      <c r="A10" s="1">
        <v>3</v>
      </c>
      <c r="B10" s="1">
        <v>1</v>
      </c>
      <c r="C10">
        <v>1</v>
      </c>
      <c r="D10">
        <v>0</v>
      </c>
      <c r="E10">
        <v>0</v>
      </c>
      <c r="F10">
        <v>9</v>
      </c>
      <c r="G10">
        <v>6</v>
      </c>
    </row>
    <row r="11" spans="1:7" x14ac:dyDescent="0.25">
      <c r="A11" s="1"/>
      <c r="B11" s="1">
        <v>2</v>
      </c>
      <c r="C11">
        <v>0</v>
      </c>
      <c r="D11">
        <v>1</v>
      </c>
      <c r="E11">
        <v>0</v>
      </c>
      <c r="F11">
        <v>10</v>
      </c>
      <c r="G11">
        <v>5.6</v>
      </c>
    </row>
    <row r="12" spans="1:7" x14ac:dyDescent="0.25">
      <c r="A12" s="1"/>
      <c r="B12" s="1">
        <v>3</v>
      </c>
      <c r="C12">
        <v>0</v>
      </c>
      <c r="D12">
        <v>0</v>
      </c>
      <c r="E12">
        <v>1</v>
      </c>
      <c r="F12">
        <v>11</v>
      </c>
      <c r="G12">
        <v>7.5</v>
      </c>
    </row>
    <row r="13" spans="1:7" x14ac:dyDescent="0.25">
      <c r="A13" s="1"/>
      <c r="B13" s="1">
        <v>4</v>
      </c>
      <c r="C13">
        <v>0</v>
      </c>
      <c r="D13">
        <v>0</v>
      </c>
      <c r="E13">
        <v>0</v>
      </c>
      <c r="F13">
        <v>12</v>
      </c>
      <c r="G13">
        <v>7.8</v>
      </c>
    </row>
    <row r="14" spans="1:7" x14ac:dyDescent="0.25">
      <c r="A14" s="1">
        <v>4</v>
      </c>
      <c r="B14" s="1">
        <v>1</v>
      </c>
      <c r="C14">
        <v>1</v>
      </c>
      <c r="D14">
        <v>0</v>
      </c>
      <c r="E14">
        <v>0</v>
      </c>
      <c r="F14">
        <v>13</v>
      </c>
      <c r="G14">
        <v>6.3</v>
      </c>
    </row>
    <row r="15" spans="1:7" x14ac:dyDescent="0.25">
      <c r="A15" s="1"/>
      <c r="B15" s="1">
        <v>2</v>
      </c>
      <c r="C15">
        <v>0</v>
      </c>
      <c r="D15">
        <v>1</v>
      </c>
      <c r="E15">
        <v>0</v>
      </c>
      <c r="F15">
        <v>14</v>
      </c>
      <c r="G15">
        <v>5.9</v>
      </c>
    </row>
    <row r="16" spans="1:7" x14ac:dyDescent="0.25">
      <c r="A16" s="1"/>
      <c r="B16" s="1">
        <v>3</v>
      </c>
      <c r="C16">
        <v>0</v>
      </c>
      <c r="D16">
        <v>0</v>
      </c>
      <c r="E16">
        <v>1</v>
      </c>
      <c r="F16">
        <v>15</v>
      </c>
      <c r="G16">
        <v>8</v>
      </c>
    </row>
    <row r="17" spans="1:7" x14ac:dyDescent="0.25">
      <c r="A17" s="1"/>
      <c r="B17" s="1">
        <v>4</v>
      </c>
      <c r="C17">
        <v>0</v>
      </c>
      <c r="D17">
        <v>0</v>
      </c>
      <c r="E17">
        <v>0</v>
      </c>
      <c r="F17">
        <v>16</v>
      </c>
      <c r="G17">
        <v>8.4</v>
      </c>
    </row>
    <row r="18" spans="1:7" x14ac:dyDescent="0.25">
      <c r="E18" s="23" t="s">
        <v>76</v>
      </c>
      <c r="F18" s="23">
        <v>16.100000000000001</v>
      </c>
      <c r="G18" s="23">
        <v>8.5</v>
      </c>
    </row>
    <row r="19" spans="1:7" x14ac:dyDescent="0.25">
      <c r="B19" s="24">
        <v>1</v>
      </c>
      <c r="C19" s="24"/>
      <c r="D19" s="24"/>
      <c r="E19" s="24"/>
      <c r="F19" s="24">
        <v>17</v>
      </c>
      <c r="G19" s="24">
        <f>D39+D40+D43*F19</f>
        <v>7.1812500000000004</v>
      </c>
    </row>
    <row r="20" spans="1:7" x14ac:dyDescent="0.25">
      <c r="B20" s="24">
        <v>2</v>
      </c>
      <c r="C20" s="24"/>
      <c r="D20" s="24"/>
      <c r="E20" s="24" t="s">
        <v>93</v>
      </c>
      <c r="F20" s="24">
        <v>18</v>
      </c>
      <c r="G20" s="24">
        <f>D39+D41+D43*F20</f>
        <v>6.65625</v>
      </c>
    </row>
    <row r="21" spans="1:7" x14ac:dyDescent="0.25">
      <c r="B21" s="24">
        <v>3</v>
      </c>
      <c r="C21" s="24"/>
      <c r="D21" s="24"/>
      <c r="E21" s="24"/>
      <c r="F21" s="24">
        <v>19</v>
      </c>
      <c r="G21" s="24">
        <f>D39+D42+D43*F21</f>
        <v>8.53125</v>
      </c>
    </row>
    <row r="22" spans="1:7" x14ac:dyDescent="0.25">
      <c r="B22" s="24">
        <v>4</v>
      </c>
      <c r="C22" s="24"/>
      <c r="D22" s="24"/>
      <c r="E22" s="24"/>
      <c r="F22" s="24">
        <v>20</v>
      </c>
      <c r="G22" s="24">
        <f>D39+D43*F22</f>
        <v>8.9812499999999993</v>
      </c>
    </row>
    <row r="23" spans="1:7" x14ac:dyDescent="0.25">
      <c r="C23" t="s">
        <v>40</v>
      </c>
    </row>
    <row r="24" spans="1:7" ht="15.75" thickBot="1" x14ac:dyDescent="0.3"/>
    <row r="25" spans="1:7" x14ac:dyDescent="0.25">
      <c r="C25" s="13" t="s">
        <v>41</v>
      </c>
      <c r="D25" s="13"/>
    </row>
    <row r="26" spans="1:7" x14ac:dyDescent="0.25">
      <c r="C26" t="s">
        <v>42</v>
      </c>
      <c r="D26">
        <v>0.98806593983773217</v>
      </c>
    </row>
    <row r="27" spans="1:7" x14ac:dyDescent="0.25">
      <c r="C27" t="s">
        <v>43</v>
      </c>
      <c r="D27">
        <v>0.976274301467421</v>
      </c>
    </row>
    <row r="28" spans="1:7" x14ac:dyDescent="0.25">
      <c r="C28" t="s">
        <v>44</v>
      </c>
      <c r="D28">
        <v>0.9676467747283013</v>
      </c>
    </row>
    <row r="29" spans="1:7" x14ac:dyDescent="0.25">
      <c r="C29" t="s">
        <v>19</v>
      </c>
      <c r="D29">
        <v>0.21666375289416046</v>
      </c>
    </row>
    <row r="30" spans="1:7" ht="15.75" thickBot="1" x14ac:dyDescent="0.3">
      <c r="C30" s="8" t="s">
        <v>45</v>
      </c>
      <c r="D30" s="8">
        <v>16</v>
      </c>
    </row>
    <row r="32" spans="1:7" ht="15.75" thickBot="1" x14ac:dyDescent="0.3">
      <c r="C32" t="s">
        <v>46</v>
      </c>
    </row>
    <row r="33" spans="3:11" x14ac:dyDescent="0.25">
      <c r="C33" s="9"/>
      <c r="D33" s="9" t="s">
        <v>51</v>
      </c>
      <c r="E33" s="9" t="s">
        <v>52</v>
      </c>
      <c r="F33" s="9" t="s">
        <v>53</v>
      </c>
      <c r="G33" s="9" t="s">
        <v>54</v>
      </c>
      <c r="H33" s="9" t="s">
        <v>55</v>
      </c>
    </row>
    <row r="34" spans="3:11" x14ac:dyDescent="0.25">
      <c r="C34" t="s">
        <v>47</v>
      </c>
      <c r="D34">
        <v>4</v>
      </c>
      <c r="E34">
        <v>21.248000000000005</v>
      </c>
      <c r="F34">
        <v>5.3120000000000012</v>
      </c>
      <c r="G34">
        <v>113.15807310578552</v>
      </c>
      <c r="H34">
        <v>7.3758228114373063E-9</v>
      </c>
    </row>
    <row r="35" spans="3:11" x14ac:dyDescent="0.25">
      <c r="C35" t="s">
        <v>48</v>
      </c>
      <c r="D35">
        <v>11</v>
      </c>
      <c r="E35">
        <v>0.51637500000000014</v>
      </c>
      <c r="F35">
        <v>4.6943181818181828E-2</v>
      </c>
    </row>
    <row r="36" spans="3:11" ht="15.75" thickBot="1" x14ac:dyDescent="0.3">
      <c r="C36" s="8" t="s">
        <v>49</v>
      </c>
      <c r="D36" s="8">
        <v>15</v>
      </c>
      <c r="E36" s="8">
        <v>21.764375000000005</v>
      </c>
      <c r="F36" s="8"/>
      <c r="G36" s="8"/>
      <c r="H36" s="8"/>
    </row>
    <row r="37" spans="3:11" ht="15.75" thickBot="1" x14ac:dyDescent="0.3"/>
    <row r="38" spans="3:11" x14ac:dyDescent="0.25">
      <c r="C38" s="9"/>
      <c r="D38" s="9" t="s">
        <v>56</v>
      </c>
      <c r="E38" s="9" t="s">
        <v>19</v>
      </c>
      <c r="F38" s="9" t="s">
        <v>57</v>
      </c>
      <c r="G38" s="9" t="s">
        <v>58</v>
      </c>
      <c r="H38" s="9" t="s">
        <v>59</v>
      </c>
      <c r="I38" s="9" t="s">
        <v>60</v>
      </c>
      <c r="J38" s="9" t="s">
        <v>61</v>
      </c>
      <c r="K38" s="9" t="s">
        <v>62</v>
      </c>
    </row>
    <row r="39" spans="3:11" x14ac:dyDescent="0.25">
      <c r="C39" t="s">
        <v>50</v>
      </c>
      <c r="D39" s="4">
        <v>6.0687499999999996</v>
      </c>
      <c r="E39">
        <v>0.16249781467062036</v>
      </c>
      <c r="F39">
        <v>37.346656090737149</v>
      </c>
      <c r="G39">
        <v>6.1228864709676179E-13</v>
      </c>
      <c r="H39">
        <v>5.7110947213626426</v>
      </c>
      <c r="I39">
        <v>6.4264052786373567</v>
      </c>
      <c r="J39">
        <v>5.7110947213626426</v>
      </c>
      <c r="K39">
        <v>6.4264052786373567</v>
      </c>
    </row>
    <row r="40" spans="3:11" x14ac:dyDescent="0.25">
      <c r="C40" t="s">
        <v>95</v>
      </c>
      <c r="D40" s="4">
        <v>-1.3631250000000006</v>
      </c>
      <c r="E40">
        <v>0.15745433591275687</v>
      </c>
      <c r="F40">
        <v>-8.6572719137775156</v>
      </c>
      <c r="G40">
        <v>3.0597521796559057E-6</v>
      </c>
      <c r="H40">
        <v>-1.7096796567360624</v>
      </c>
      <c r="I40">
        <v>-1.0165703432639388</v>
      </c>
      <c r="J40">
        <v>-1.7096796567360624</v>
      </c>
      <c r="K40">
        <v>-1.0165703432639388</v>
      </c>
    </row>
    <row r="41" spans="3:11" x14ac:dyDescent="0.25">
      <c r="C41" t="s">
        <v>96</v>
      </c>
      <c r="D41" s="4">
        <v>-2.0337500000000004</v>
      </c>
      <c r="E41">
        <v>0.15510764224182569</v>
      </c>
      <c r="F41">
        <v>-13.111861998580414</v>
      </c>
      <c r="G41">
        <v>4.6553197673283587E-8</v>
      </c>
      <c r="H41">
        <v>-2.3751396187910618</v>
      </c>
      <c r="I41">
        <v>-1.6923603812089392</v>
      </c>
      <c r="J41">
        <v>-2.3751396187910618</v>
      </c>
      <c r="K41">
        <v>-1.6923603812089392</v>
      </c>
    </row>
    <row r="42" spans="3:11" x14ac:dyDescent="0.25">
      <c r="C42" t="s">
        <v>97</v>
      </c>
      <c r="D42" s="25">
        <v>-0.30437499999999967</v>
      </c>
      <c r="E42">
        <v>0.15368242694684622</v>
      </c>
      <c r="F42">
        <v>-1.98054524545785</v>
      </c>
      <c r="G42">
        <v>7.3201042930689394E-2</v>
      </c>
      <c r="H42">
        <v>-0.64262774107687548</v>
      </c>
      <c r="I42">
        <v>3.3877741076876189E-2</v>
      </c>
      <c r="J42">
        <v>-0.64262774107687548</v>
      </c>
      <c r="K42">
        <v>3.3877741076876189E-2</v>
      </c>
    </row>
    <row r="43" spans="3:11" ht="15.75" thickBot="1" x14ac:dyDescent="0.3">
      <c r="C43" s="8" t="s">
        <v>100</v>
      </c>
      <c r="D43" s="17">
        <v>0.14562500000000003</v>
      </c>
      <c r="E43" s="8">
        <v>1.2111871993288989E-2</v>
      </c>
      <c r="F43" s="8">
        <v>12.023327201665333</v>
      </c>
      <c r="G43" s="8">
        <v>1.1402899242797899E-7</v>
      </c>
      <c r="H43" s="8">
        <v>0.11896694948184144</v>
      </c>
      <c r="I43" s="8">
        <v>0.17228305051815862</v>
      </c>
      <c r="J43" s="8">
        <v>0.11896694948184144</v>
      </c>
      <c r="K43" s="8">
        <v>0.17228305051815862</v>
      </c>
    </row>
    <row r="47" spans="3:11" x14ac:dyDescent="0.25">
      <c r="C47" t="s">
        <v>63</v>
      </c>
      <c r="H47" t="s">
        <v>82</v>
      </c>
    </row>
    <row r="48" spans="3:11" ht="15.75" thickBot="1" x14ac:dyDescent="0.3"/>
    <row r="49" spans="3:9" x14ac:dyDescent="0.25">
      <c r="C49" s="9" t="s">
        <v>64</v>
      </c>
      <c r="D49" s="9" t="s">
        <v>98</v>
      </c>
      <c r="E49" s="9" t="s">
        <v>66</v>
      </c>
      <c r="F49" s="9" t="s">
        <v>80</v>
      </c>
      <c r="H49" s="9" t="s">
        <v>83</v>
      </c>
      <c r="I49" s="9" t="s">
        <v>94</v>
      </c>
    </row>
    <row r="50" spans="3:9" x14ac:dyDescent="0.25">
      <c r="C50">
        <v>1</v>
      </c>
      <c r="D50">
        <v>4.8512499999999994</v>
      </c>
      <c r="E50">
        <v>-5.1249999999999574E-2</v>
      </c>
      <c r="F50">
        <v>-0.27622112851359915</v>
      </c>
      <c r="H50">
        <v>3.125</v>
      </c>
      <c r="I50">
        <v>4.0999999999999996</v>
      </c>
    </row>
    <row r="51" spans="3:9" x14ac:dyDescent="0.25">
      <c r="C51">
        <v>2</v>
      </c>
      <c r="D51">
        <v>4.326249999999999</v>
      </c>
      <c r="E51">
        <v>-0.2262499999999994</v>
      </c>
      <c r="F51">
        <v>-1.2194152258771154</v>
      </c>
      <c r="H51">
        <v>9.375</v>
      </c>
      <c r="I51">
        <v>4.8</v>
      </c>
    </row>
    <row r="52" spans="3:9" x14ac:dyDescent="0.25">
      <c r="C52">
        <v>3</v>
      </c>
      <c r="D52">
        <v>6.2012499999999999</v>
      </c>
      <c r="E52">
        <v>-0.20124999999999993</v>
      </c>
      <c r="F52">
        <v>-1.0846732119680442</v>
      </c>
      <c r="H52">
        <v>15.625</v>
      </c>
      <c r="I52">
        <v>5.2</v>
      </c>
    </row>
    <row r="53" spans="3:9" x14ac:dyDescent="0.25">
      <c r="C53">
        <v>4</v>
      </c>
      <c r="D53">
        <v>6.6512500000000001</v>
      </c>
      <c r="E53">
        <v>-0.15125000000000011</v>
      </c>
      <c r="F53">
        <v>-0.81518918414989749</v>
      </c>
      <c r="H53">
        <v>21.875</v>
      </c>
      <c r="I53">
        <v>5.6</v>
      </c>
    </row>
    <row r="54" spans="3:9" x14ac:dyDescent="0.25">
      <c r="C54">
        <v>5</v>
      </c>
      <c r="D54">
        <v>5.4337499999999999</v>
      </c>
      <c r="E54">
        <v>0.36624999999999996</v>
      </c>
      <c r="F54">
        <v>1.973970503767932</v>
      </c>
      <c r="H54">
        <v>28.125</v>
      </c>
      <c r="I54">
        <v>5.8</v>
      </c>
    </row>
    <row r="55" spans="3:9" x14ac:dyDescent="0.25">
      <c r="C55">
        <v>6</v>
      </c>
      <c r="D55">
        <v>4.9087499999999995</v>
      </c>
      <c r="E55">
        <v>0.29125000000000068</v>
      </c>
      <c r="F55">
        <v>1.5697444620407144</v>
      </c>
      <c r="H55">
        <v>34.375</v>
      </c>
      <c r="I55">
        <v>5.9</v>
      </c>
    </row>
    <row r="56" spans="3:9" x14ac:dyDescent="0.25">
      <c r="C56">
        <v>7</v>
      </c>
      <c r="D56">
        <v>6.7837500000000004</v>
      </c>
      <c r="E56">
        <v>1.6249999999999432E-2</v>
      </c>
      <c r="F56">
        <v>8.7582309040894951E-2</v>
      </c>
      <c r="H56">
        <v>40.625</v>
      </c>
      <c r="I56">
        <v>6</v>
      </c>
    </row>
    <row r="57" spans="3:9" x14ac:dyDescent="0.25">
      <c r="C57">
        <v>8</v>
      </c>
      <c r="D57">
        <v>7.2337499999999997</v>
      </c>
      <c r="E57">
        <v>0.16625000000000068</v>
      </c>
      <c r="F57">
        <v>0.89603439249534489</v>
      </c>
      <c r="H57">
        <v>46.875</v>
      </c>
      <c r="I57">
        <v>6</v>
      </c>
    </row>
    <row r="58" spans="3:9" x14ac:dyDescent="0.25">
      <c r="C58">
        <v>9</v>
      </c>
      <c r="D58">
        <v>6.0162499999999994</v>
      </c>
      <c r="E58">
        <v>-1.6249999999999432E-2</v>
      </c>
      <c r="F58">
        <v>-8.7582309040894951E-2</v>
      </c>
      <c r="H58">
        <v>53.125</v>
      </c>
      <c r="I58">
        <v>6.3</v>
      </c>
    </row>
    <row r="59" spans="3:9" x14ac:dyDescent="0.25">
      <c r="C59">
        <v>10</v>
      </c>
      <c r="D59">
        <v>5.4912499999999991</v>
      </c>
      <c r="E59">
        <v>0.10875000000000057</v>
      </c>
      <c r="F59">
        <v>0.58612776050447446</v>
      </c>
      <c r="H59">
        <v>59.375</v>
      </c>
      <c r="I59">
        <v>6.5</v>
      </c>
    </row>
    <row r="60" spans="3:9" x14ac:dyDescent="0.25">
      <c r="C60">
        <v>11</v>
      </c>
      <c r="D60">
        <v>7.3662500000000009</v>
      </c>
      <c r="E60">
        <v>0.13374999999999915</v>
      </c>
      <c r="F60">
        <v>0.72086977441354061</v>
      </c>
      <c r="H60">
        <v>65.625</v>
      </c>
      <c r="I60">
        <v>6.8</v>
      </c>
    </row>
    <row r="61" spans="3:9" x14ac:dyDescent="0.25">
      <c r="C61">
        <v>12</v>
      </c>
      <c r="D61">
        <v>7.8162500000000001</v>
      </c>
      <c r="E61">
        <v>-1.625000000000032E-2</v>
      </c>
      <c r="F61">
        <v>-8.7582309040899739E-2</v>
      </c>
      <c r="H61">
        <v>71.875</v>
      </c>
      <c r="I61">
        <v>7.4</v>
      </c>
    </row>
    <row r="62" spans="3:9" x14ac:dyDescent="0.25">
      <c r="C62">
        <v>13</v>
      </c>
      <c r="D62">
        <v>6.5987499999999999</v>
      </c>
      <c r="E62">
        <v>-0.29875000000000007</v>
      </c>
      <c r="F62">
        <v>-1.6101670662134331</v>
      </c>
      <c r="H62">
        <v>78.125</v>
      </c>
      <c r="I62">
        <v>7.5</v>
      </c>
    </row>
    <row r="63" spans="3:9" x14ac:dyDescent="0.25">
      <c r="C63">
        <v>14</v>
      </c>
      <c r="D63">
        <v>6.0737499999999995</v>
      </c>
      <c r="E63">
        <v>-0.17374999999999918</v>
      </c>
      <c r="F63">
        <v>-0.93645699666805904</v>
      </c>
      <c r="H63">
        <v>84.375</v>
      </c>
      <c r="I63">
        <v>7.8</v>
      </c>
    </row>
    <row r="64" spans="3:9" x14ac:dyDescent="0.25">
      <c r="C64">
        <v>15</v>
      </c>
      <c r="D64">
        <v>7.9487500000000004</v>
      </c>
      <c r="E64">
        <v>5.1249999999999574E-2</v>
      </c>
      <c r="F64">
        <v>0.27622112851359915</v>
      </c>
      <c r="H64">
        <v>90.625</v>
      </c>
      <c r="I64">
        <v>8</v>
      </c>
    </row>
    <row r="65" spans="3:9" ht="15.75" thickBot="1" x14ac:dyDescent="0.3">
      <c r="C65" s="8">
        <v>16</v>
      </c>
      <c r="D65" s="8">
        <v>8.3987499999999997</v>
      </c>
      <c r="E65" s="8">
        <v>1.2500000000006395E-3</v>
      </c>
      <c r="F65" s="8">
        <v>6.73710069545714E-3</v>
      </c>
      <c r="H65" s="8">
        <v>96.875</v>
      </c>
      <c r="I65" s="8">
        <v>8.4</v>
      </c>
    </row>
  </sheetData>
  <sortState xmlns:xlrd2="http://schemas.microsoft.com/office/spreadsheetml/2017/richdata2" ref="I50:I65">
    <sortCondition ref="I50"/>
  </sortState>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9B46-E3DA-4CF9-9C66-8245B2F4F2C1}">
  <dimension ref="A1:H23"/>
  <sheetViews>
    <sheetView topLeftCell="A19" workbookViewId="0">
      <selection activeCell="F1" sqref="F1"/>
    </sheetView>
  </sheetViews>
  <sheetFormatPr defaultRowHeight="15" x14ac:dyDescent="0.25"/>
  <cols>
    <col min="3" max="3" width="13.28515625" customWidth="1"/>
    <col min="4" max="4" width="16" customWidth="1"/>
    <col min="5" max="5" width="12.5703125" customWidth="1"/>
    <col min="6" max="6" width="15.28515625" bestFit="1" customWidth="1"/>
    <col min="7" max="7" width="12.5703125" bestFit="1" customWidth="1"/>
  </cols>
  <sheetData>
    <row r="1" spans="1:7" ht="48.75" customHeight="1" x14ac:dyDescent="0.25">
      <c r="A1" t="s">
        <v>2</v>
      </c>
      <c r="B1" t="s">
        <v>4</v>
      </c>
      <c r="C1" t="s">
        <v>101</v>
      </c>
      <c r="D1" s="2" t="s">
        <v>102</v>
      </c>
      <c r="E1" s="2" t="s">
        <v>129</v>
      </c>
      <c r="F1" s="2" t="s">
        <v>130</v>
      </c>
      <c r="G1" t="s">
        <v>6</v>
      </c>
    </row>
    <row r="2" spans="1:7" x14ac:dyDescent="0.25">
      <c r="A2">
        <v>1</v>
      </c>
      <c r="B2">
        <v>1</v>
      </c>
      <c r="C2">
        <v>4.8</v>
      </c>
      <c r="D2" t="e">
        <v>#N/A</v>
      </c>
      <c r="G2">
        <v>1</v>
      </c>
    </row>
    <row r="3" spans="1:7" x14ac:dyDescent="0.25">
      <c r="B3">
        <v>2</v>
      </c>
      <c r="C3">
        <v>4.0999999999999996</v>
      </c>
      <c r="D3" s="26" t="e">
        <v>#N/A</v>
      </c>
      <c r="G3">
        <v>2</v>
      </c>
    </row>
    <row r="4" spans="1:7" x14ac:dyDescent="0.25">
      <c r="B4">
        <v>3</v>
      </c>
      <c r="C4">
        <v>6</v>
      </c>
      <c r="D4" s="26" t="e">
        <v>#N/A</v>
      </c>
      <c r="E4" s="25">
        <f t="shared" ref="E4:E9" si="0">(D5+D6)/2</f>
        <v>5.4749999999999996</v>
      </c>
      <c r="F4" s="25">
        <f>C4/E4</f>
        <v>1.0958904109589043</v>
      </c>
      <c r="G4">
        <v>3</v>
      </c>
    </row>
    <row r="5" spans="1:7" x14ac:dyDescent="0.25">
      <c r="B5">
        <v>4</v>
      </c>
      <c r="C5">
        <v>6.5</v>
      </c>
      <c r="D5" s="27">
        <f>AVERAGE(C2:C5)</f>
        <v>5.35</v>
      </c>
      <c r="E5" s="25">
        <f t="shared" si="0"/>
        <v>5.7375000000000007</v>
      </c>
      <c r="F5" s="25">
        <f t="shared" ref="F5:F15" si="1">C5/E5</f>
        <v>1.1328976034858387</v>
      </c>
      <c r="G5">
        <v>4</v>
      </c>
    </row>
    <row r="6" spans="1:7" x14ac:dyDescent="0.25">
      <c r="A6">
        <v>2</v>
      </c>
      <c r="B6">
        <v>1</v>
      </c>
      <c r="C6">
        <v>5.8</v>
      </c>
      <c r="D6" s="27">
        <f t="shared" ref="D6:D17" si="2">AVERAGE(C3:C6)</f>
        <v>5.6000000000000005</v>
      </c>
      <c r="E6" s="25">
        <f t="shared" si="0"/>
        <v>5.9749999999999996</v>
      </c>
      <c r="F6" s="25">
        <f>C6/E6</f>
        <v>0.97071129707112969</v>
      </c>
      <c r="G6">
        <v>5</v>
      </c>
    </row>
    <row r="7" spans="1:7" x14ac:dyDescent="0.25">
      <c r="B7">
        <v>2</v>
      </c>
      <c r="C7">
        <v>5.2</v>
      </c>
      <c r="D7" s="27">
        <f t="shared" si="2"/>
        <v>5.875</v>
      </c>
      <c r="E7" s="25">
        <f t="shared" si="0"/>
        <v>6.1875</v>
      </c>
      <c r="F7" s="25">
        <f t="shared" si="1"/>
        <v>0.84040404040404049</v>
      </c>
      <c r="G7">
        <v>6</v>
      </c>
    </row>
    <row r="8" spans="1:7" x14ac:dyDescent="0.25">
      <c r="B8">
        <v>3</v>
      </c>
      <c r="C8">
        <v>6.8</v>
      </c>
      <c r="D8" s="27">
        <f t="shared" si="2"/>
        <v>6.0750000000000002</v>
      </c>
      <c r="E8" s="25">
        <f t="shared" si="0"/>
        <v>6.3250000000000002</v>
      </c>
      <c r="F8" s="25">
        <f>C8/E8</f>
        <v>1.075098814229249</v>
      </c>
      <c r="G8">
        <v>7</v>
      </c>
    </row>
    <row r="9" spans="1:7" x14ac:dyDescent="0.25">
      <c r="B9">
        <v>4</v>
      </c>
      <c r="C9">
        <v>7.4</v>
      </c>
      <c r="D9" s="27">
        <f t="shared" si="2"/>
        <v>6.3000000000000007</v>
      </c>
      <c r="E9" s="25">
        <f t="shared" si="0"/>
        <v>6.3999999999999995</v>
      </c>
      <c r="F9" s="25">
        <f t="shared" si="1"/>
        <v>1.1562500000000002</v>
      </c>
      <c r="G9">
        <v>8</v>
      </c>
    </row>
    <row r="10" spans="1:7" x14ac:dyDescent="0.25">
      <c r="A10">
        <v>3</v>
      </c>
      <c r="B10">
        <v>1</v>
      </c>
      <c r="C10">
        <v>6</v>
      </c>
      <c r="D10" s="27">
        <f t="shared" si="2"/>
        <v>6.35</v>
      </c>
      <c r="E10" s="25">
        <f t="shared" ref="E10:E15" si="3">(D11+D12)/2</f>
        <v>6.5374999999999996</v>
      </c>
      <c r="F10" s="25">
        <f t="shared" si="1"/>
        <v>0.91778202676864251</v>
      </c>
      <c r="G10">
        <v>9</v>
      </c>
    </row>
    <row r="11" spans="1:7" x14ac:dyDescent="0.25">
      <c r="B11">
        <v>2</v>
      </c>
      <c r="C11">
        <v>5.6</v>
      </c>
      <c r="D11" s="27">
        <f t="shared" si="2"/>
        <v>6.4499999999999993</v>
      </c>
      <c r="E11" s="25">
        <f t="shared" si="3"/>
        <v>6.6750000000000007</v>
      </c>
      <c r="F11" s="25">
        <f t="shared" si="1"/>
        <v>0.83895131086142305</v>
      </c>
      <c r="G11">
        <v>10</v>
      </c>
    </row>
    <row r="12" spans="1:7" x14ac:dyDescent="0.25">
      <c r="B12">
        <v>3</v>
      </c>
      <c r="C12">
        <v>7.5</v>
      </c>
      <c r="D12" s="27">
        <f t="shared" si="2"/>
        <v>6.625</v>
      </c>
      <c r="E12" s="25">
        <f t="shared" si="3"/>
        <v>6.7625000000000002</v>
      </c>
      <c r="F12" s="25">
        <f t="shared" si="1"/>
        <v>1.1090573012939002</v>
      </c>
      <c r="G12">
        <v>11</v>
      </c>
    </row>
    <row r="13" spans="1:7" x14ac:dyDescent="0.25">
      <c r="B13">
        <v>4</v>
      </c>
      <c r="C13">
        <v>7.8</v>
      </c>
      <c r="D13" s="27">
        <f t="shared" si="2"/>
        <v>6.7250000000000005</v>
      </c>
      <c r="E13" s="25">
        <f t="shared" si="3"/>
        <v>6.8375000000000004</v>
      </c>
      <c r="F13" s="25">
        <f t="shared" si="1"/>
        <v>1.1407678244972577</v>
      </c>
      <c r="G13">
        <v>12</v>
      </c>
    </row>
    <row r="14" spans="1:7" x14ac:dyDescent="0.25">
      <c r="A14">
        <v>4</v>
      </c>
      <c r="B14">
        <v>1</v>
      </c>
      <c r="C14">
        <v>6.3</v>
      </c>
      <c r="D14" s="27">
        <f t="shared" si="2"/>
        <v>6.8</v>
      </c>
      <c r="E14" s="25">
        <f t="shared" si="3"/>
        <v>6.9375</v>
      </c>
      <c r="F14" s="25">
        <f t="shared" si="1"/>
        <v>0.90810810810810805</v>
      </c>
      <c r="G14">
        <v>13</v>
      </c>
    </row>
    <row r="15" spans="1:7" x14ac:dyDescent="0.25">
      <c r="B15">
        <v>2</v>
      </c>
      <c r="C15">
        <v>5.9</v>
      </c>
      <c r="D15" s="27">
        <f t="shared" si="2"/>
        <v>6.875</v>
      </c>
      <c r="E15" s="25">
        <f t="shared" si="3"/>
        <v>7.0750000000000002</v>
      </c>
      <c r="F15" s="25">
        <f t="shared" si="1"/>
        <v>0.83392226148409898</v>
      </c>
      <c r="G15">
        <v>14</v>
      </c>
    </row>
    <row r="16" spans="1:7" x14ac:dyDescent="0.25">
      <c r="B16">
        <v>3</v>
      </c>
      <c r="C16">
        <v>8</v>
      </c>
      <c r="D16" s="27">
        <f t="shared" si="2"/>
        <v>7</v>
      </c>
      <c r="G16">
        <v>15</v>
      </c>
    </row>
    <row r="17" spans="2:8" x14ac:dyDescent="0.25">
      <c r="B17">
        <v>4</v>
      </c>
      <c r="C17">
        <v>8.4</v>
      </c>
      <c r="D17" s="27">
        <f t="shared" si="2"/>
        <v>7.15</v>
      </c>
      <c r="G17">
        <v>16</v>
      </c>
    </row>
    <row r="19" spans="2:8" ht="45" x14ac:dyDescent="0.25">
      <c r="D19" t="s">
        <v>4</v>
      </c>
      <c r="E19" s="2" t="s">
        <v>103</v>
      </c>
      <c r="F19" s="2" t="s">
        <v>103</v>
      </c>
      <c r="G19" s="2" t="s">
        <v>103</v>
      </c>
      <c r="H19" t="s">
        <v>104</v>
      </c>
    </row>
    <row r="20" spans="2:8" x14ac:dyDescent="0.25">
      <c r="D20">
        <v>1</v>
      </c>
      <c r="E20" s="25">
        <f>F6</f>
        <v>0.97071129707112969</v>
      </c>
      <c r="F20" s="25">
        <f>F10</f>
        <v>0.91778202676864251</v>
      </c>
      <c r="G20" s="25">
        <f>F14</f>
        <v>0.90810810810810805</v>
      </c>
      <c r="H20" s="4">
        <f>AVERAGE(E20:G20)</f>
        <v>0.93220047731596012</v>
      </c>
    </row>
    <row r="21" spans="2:8" x14ac:dyDescent="0.25">
      <c r="D21">
        <v>2</v>
      </c>
      <c r="E21" s="25">
        <f>F7</f>
        <v>0.84040404040404049</v>
      </c>
      <c r="F21" s="25">
        <f>F11</f>
        <v>0.83895131086142305</v>
      </c>
      <c r="G21" s="25">
        <f>F15</f>
        <v>0.83392226148409898</v>
      </c>
      <c r="H21" s="4">
        <f>AVERAGE(E21:G21)</f>
        <v>0.83775920424985417</v>
      </c>
    </row>
    <row r="22" spans="2:8" x14ac:dyDescent="0.25">
      <c r="D22">
        <v>3</v>
      </c>
      <c r="E22" s="25">
        <f>F4</f>
        <v>1.0958904109589043</v>
      </c>
      <c r="F22" s="25">
        <f>F8</f>
        <v>1.075098814229249</v>
      </c>
      <c r="G22" s="25">
        <f>F12</f>
        <v>1.1090573012939002</v>
      </c>
      <c r="H22" s="4">
        <f>AVERAGE(E22:G22)</f>
        <v>1.0933488421606843</v>
      </c>
    </row>
    <row r="23" spans="2:8" x14ac:dyDescent="0.25">
      <c r="D23">
        <v>4</v>
      </c>
      <c r="E23" s="25">
        <f>F5</f>
        <v>1.1328976034858387</v>
      </c>
      <c r="F23" s="25">
        <f>F9</f>
        <v>1.1562500000000002</v>
      </c>
      <c r="G23" s="25">
        <f>F13</f>
        <v>1.1407678244972577</v>
      </c>
      <c r="H23" s="4">
        <f>AVERAGE(E23:G23)</f>
        <v>1.1433051426610321</v>
      </c>
    </row>
  </sheetData>
  <pageMargins left="0.7" right="0.7" top="0.75" bottom="0.75" header="0.3" footer="0.3"/>
  <ignoredErrors>
    <ignoredError sqref="D6:D17" formulaRange="1"/>
  </ignoredErrors>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D010-40C2-4BB4-A850-22FA38F625A1}">
  <dimension ref="A1:Q59"/>
  <sheetViews>
    <sheetView topLeftCell="D8" zoomScale="93" zoomScaleNormal="93" workbookViewId="0">
      <selection activeCell="H20" sqref="H20"/>
    </sheetView>
  </sheetViews>
  <sheetFormatPr defaultRowHeight="15" x14ac:dyDescent="0.25"/>
  <cols>
    <col min="2" max="2" width="11.85546875" customWidth="1"/>
    <col min="3" max="3" width="12.140625" customWidth="1"/>
    <col min="4" max="4" width="12.5703125" customWidth="1"/>
    <col min="5" max="5" width="15.28515625" customWidth="1"/>
    <col min="6" max="6" width="20.5703125" customWidth="1"/>
    <col min="7" max="7" width="22.42578125" customWidth="1"/>
    <col min="8" max="9" width="17.7109375" customWidth="1"/>
    <col min="10" max="10" width="29.28515625" customWidth="1"/>
  </cols>
  <sheetData>
    <row r="1" spans="1:8" ht="45" customHeight="1" x14ac:dyDescent="0.25">
      <c r="A1" s="43" t="s">
        <v>100</v>
      </c>
      <c r="B1" s="44" t="s">
        <v>2</v>
      </c>
      <c r="C1" s="44" t="s">
        <v>4</v>
      </c>
      <c r="D1" s="45" t="s">
        <v>101</v>
      </c>
      <c r="E1" s="2" t="s">
        <v>104</v>
      </c>
      <c r="F1" s="2" t="s">
        <v>132</v>
      </c>
      <c r="G1" s="31" t="s">
        <v>133</v>
      </c>
      <c r="H1" s="2" t="s">
        <v>111</v>
      </c>
    </row>
    <row r="2" spans="1:8" x14ac:dyDescent="0.25">
      <c r="A2" s="46">
        <v>1</v>
      </c>
      <c r="B2" s="47">
        <v>1</v>
      </c>
      <c r="C2" s="47">
        <v>1</v>
      </c>
      <c r="D2" s="48">
        <v>4.8</v>
      </c>
      <c r="E2" s="25">
        <v>0.93220047731596001</v>
      </c>
      <c r="F2">
        <f>D2/E2</f>
        <v>5.1491069966198779</v>
      </c>
      <c r="G2" s="25">
        <v>5.2467488107686799</v>
      </c>
      <c r="H2">
        <f>E2*G2</f>
        <v>4.8910217457555092</v>
      </c>
    </row>
    <row r="3" spans="1:8" x14ac:dyDescent="0.25">
      <c r="A3" s="46">
        <v>2</v>
      </c>
      <c r="B3" s="47"/>
      <c r="C3" s="47">
        <v>2</v>
      </c>
      <c r="D3" s="48">
        <v>4.0999999999999996</v>
      </c>
      <c r="E3" s="25">
        <v>0.83775920424985417</v>
      </c>
      <c r="F3">
        <f>D3/E3</f>
        <v>4.8940077043632355</v>
      </c>
      <c r="G3" s="25">
        <v>5.3938875266288564</v>
      </c>
      <c r="H3">
        <f t="shared" ref="H3:H17" si="0">E3*G3</f>
        <v>4.5187789221218049</v>
      </c>
    </row>
    <row r="4" spans="1:8" x14ac:dyDescent="0.25">
      <c r="A4" s="46">
        <v>3</v>
      </c>
      <c r="B4" s="47"/>
      <c r="C4" s="47">
        <v>3</v>
      </c>
      <c r="D4" s="48">
        <v>6</v>
      </c>
      <c r="E4" s="25">
        <v>1.0933488421606801</v>
      </c>
      <c r="F4">
        <f>D4/E4</f>
        <v>5.4877270351727612</v>
      </c>
      <c r="G4" s="25">
        <v>5.5410262424890329</v>
      </c>
      <c r="H4">
        <f t="shared" si="0"/>
        <v>6.0582746266073277</v>
      </c>
    </row>
    <row r="5" spans="1:8" x14ac:dyDescent="0.25">
      <c r="A5" s="46">
        <v>4</v>
      </c>
      <c r="B5" s="47"/>
      <c r="C5" s="47">
        <v>4</v>
      </c>
      <c r="D5" s="48">
        <v>6.5</v>
      </c>
      <c r="E5" s="25">
        <v>1.1433051426610321</v>
      </c>
      <c r="F5">
        <f t="shared" ref="F5:F16" si="1">D5/E5</f>
        <v>5.6852713745967334</v>
      </c>
      <c r="G5" s="25">
        <v>5.6881649583492093</v>
      </c>
      <c r="H5">
        <f t="shared" si="0"/>
        <v>6.5033082491849266</v>
      </c>
    </row>
    <row r="6" spans="1:8" x14ac:dyDescent="0.25">
      <c r="A6" s="46">
        <v>5</v>
      </c>
      <c r="B6" s="47">
        <v>2</v>
      </c>
      <c r="C6" s="47">
        <v>1</v>
      </c>
      <c r="D6" s="48">
        <v>5.8</v>
      </c>
      <c r="E6" s="25">
        <v>0.93220047731596012</v>
      </c>
      <c r="F6">
        <f t="shared" si="1"/>
        <v>6.2218376209156858</v>
      </c>
      <c r="G6" s="25">
        <v>5.8353036742093867</v>
      </c>
      <c r="H6">
        <f t="shared" si="0"/>
        <v>5.4396728703815658</v>
      </c>
    </row>
    <row r="7" spans="1:8" x14ac:dyDescent="0.25">
      <c r="A7" s="46">
        <v>6</v>
      </c>
      <c r="B7" s="47"/>
      <c r="C7" s="47">
        <v>2</v>
      </c>
      <c r="D7" s="48">
        <v>5.2</v>
      </c>
      <c r="E7" s="25">
        <v>0.83775920424985417</v>
      </c>
      <c r="F7">
        <f t="shared" si="1"/>
        <v>6.2070341616314213</v>
      </c>
      <c r="G7" s="25">
        <v>5.9824423900695631</v>
      </c>
      <c r="H7">
        <f t="shared" si="0"/>
        <v>5.0118461761752728</v>
      </c>
    </row>
    <row r="8" spans="1:8" x14ac:dyDescent="0.25">
      <c r="A8" s="46">
        <v>7</v>
      </c>
      <c r="B8" s="47"/>
      <c r="C8" s="47">
        <v>3</v>
      </c>
      <c r="D8" s="48">
        <v>6.8</v>
      </c>
      <c r="E8" s="25">
        <v>1.0933488421606843</v>
      </c>
      <c r="F8">
        <f t="shared" si="1"/>
        <v>6.2194239731957719</v>
      </c>
      <c r="G8" s="25">
        <v>6.1295811059297396</v>
      </c>
      <c r="H8">
        <f t="shared" si="0"/>
        <v>6.7017704050982871</v>
      </c>
    </row>
    <row r="9" spans="1:8" x14ac:dyDescent="0.25">
      <c r="A9" s="46">
        <v>8</v>
      </c>
      <c r="B9" s="47"/>
      <c r="C9" s="47">
        <v>4</v>
      </c>
      <c r="D9" s="48">
        <v>7.4</v>
      </c>
      <c r="E9" s="25">
        <v>1.1433051426610321</v>
      </c>
      <c r="F9">
        <f t="shared" si="1"/>
        <v>6.4724627956947423</v>
      </c>
      <c r="G9" s="25">
        <v>6.2767198217899161</v>
      </c>
      <c r="H9">
        <f t="shared" si="0"/>
        <v>7.176206051294848</v>
      </c>
    </row>
    <row r="10" spans="1:8" x14ac:dyDescent="0.25">
      <c r="A10" s="46">
        <v>9</v>
      </c>
      <c r="B10" s="47">
        <v>3</v>
      </c>
      <c r="C10" s="47">
        <v>1</v>
      </c>
      <c r="D10" s="48">
        <v>6</v>
      </c>
      <c r="E10" s="25">
        <v>0.93220047731596012</v>
      </c>
      <c r="F10">
        <f t="shared" si="1"/>
        <v>6.4363837457748474</v>
      </c>
      <c r="G10" s="25">
        <v>6.4238585376500925</v>
      </c>
      <c r="H10">
        <f t="shared" si="0"/>
        <v>5.9883239950076215</v>
      </c>
    </row>
    <row r="11" spans="1:8" x14ac:dyDescent="0.25">
      <c r="A11" s="46">
        <v>10</v>
      </c>
      <c r="B11" s="47"/>
      <c r="C11" s="47">
        <v>2</v>
      </c>
      <c r="D11" s="48">
        <v>5.6</v>
      </c>
      <c r="E11" s="25">
        <v>0.83775920424985417</v>
      </c>
      <c r="F11">
        <f t="shared" si="1"/>
        <v>6.6844983279107604</v>
      </c>
      <c r="G11" s="25">
        <v>6.570997253510269</v>
      </c>
      <c r="H11">
        <f t="shared" si="0"/>
        <v>5.5049134302287399</v>
      </c>
    </row>
    <row r="12" spans="1:8" x14ac:dyDescent="0.25">
      <c r="A12" s="46">
        <v>11</v>
      </c>
      <c r="B12" s="47"/>
      <c r="C12" s="47">
        <v>3</v>
      </c>
      <c r="D12" s="48">
        <v>7.5</v>
      </c>
      <c r="E12" s="25">
        <v>1.0933488421606843</v>
      </c>
      <c r="F12">
        <f t="shared" si="1"/>
        <v>6.8596587939659246</v>
      </c>
      <c r="G12" s="25">
        <v>6.7181359693704454</v>
      </c>
      <c r="H12">
        <f t="shared" si="0"/>
        <v>7.3452661835892226</v>
      </c>
    </row>
    <row r="13" spans="1:8" x14ac:dyDescent="0.25">
      <c r="A13" s="46">
        <v>12</v>
      </c>
      <c r="B13" s="47"/>
      <c r="C13" s="47">
        <v>4</v>
      </c>
      <c r="D13" s="48">
        <v>7.8</v>
      </c>
      <c r="E13" s="25">
        <v>1.1433051426610321</v>
      </c>
      <c r="F13">
        <f t="shared" si="1"/>
        <v>6.8223256495160793</v>
      </c>
      <c r="G13" s="25">
        <v>6.8652746852306219</v>
      </c>
      <c r="H13">
        <f t="shared" si="0"/>
        <v>7.8491038534047686</v>
      </c>
    </row>
    <row r="14" spans="1:8" x14ac:dyDescent="0.25">
      <c r="A14" s="46">
        <v>13</v>
      </c>
      <c r="B14" s="47">
        <v>4</v>
      </c>
      <c r="C14" s="47">
        <v>1</v>
      </c>
      <c r="D14" s="48">
        <v>6.3</v>
      </c>
      <c r="E14" s="25">
        <v>0.93220047731596012</v>
      </c>
      <c r="F14">
        <f t="shared" si="1"/>
        <v>6.7582029330635898</v>
      </c>
      <c r="G14" s="25">
        <v>7.0124134010907984</v>
      </c>
      <c r="H14">
        <f t="shared" si="0"/>
        <v>6.5369751196336772</v>
      </c>
    </row>
    <row r="15" spans="1:8" x14ac:dyDescent="0.25">
      <c r="A15" s="46">
        <v>14</v>
      </c>
      <c r="B15" s="47"/>
      <c r="C15" s="47">
        <v>2</v>
      </c>
      <c r="D15" s="48">
        <v>5.9</v>
      </c>
      <c r="E15" s="25">
        <v>0.83775920424985417</v>
      </c>
      <c r="F15">
        <f t="shared" si="1"/>
        <v>7.0425964526202662</v>
      </c>
      <c r="G15" s="25">
        <v>7.1595521169509748</v>
      </c>
      <c r="H15">
        <f t="shared" si="0"/>
        <v>5.9979806842822079</v>
      </c>
    </row>
    <row r="16" spans="1:8" x14ac:dyDescent="0.25">
      <c r="A16" s="46">
        <v>15</v>
      </c>
      <c r="B16" s="47"/>
      <c r="C16" s="47">
        <v>3</v>
      </c>
      <c r="D16" s="48">
        <v>8</v>
      </c>
      <c r="E16" s="25">
        <v>1.0933488421606843</v>
      </c>
      <c r="F16">
        <f t="shared" si="1"/>
        <v>7.3169693802303195</v>
      </c>
      <c r="G16" s="25">
        <v>7.3066908328111513</v>
      </c>
      <c r="H16">
        <f t="shared" si="0"/>
        <v>7.988761962080158</v>
      </c>
    </row>
    <row r="17" spans="1:14" ht="15.75" thickBot="1" x14ac:dyDescent="0.3">
      <c r="A17" s="49">
        <v>16</v>
      </c>
      <c r="B17" s="50"/>
      <c r="C17" s="50">
        <v>4</v>
      </c>
      <c r="D17" s="51">
        <v>8.4</v>
      </c>
      <c r="E17" s="42">
        <v>1.1433051426610321</v>
      </c>
      <c r="F17">
        <f>D17/E17</f>
        <v>7.3471199302480859</v>
      </c>
      <c r="G17" s="17">
        <v>7.4538295486713277</v>
      </c>
      <c r="H17">
        <f t="shared" si="0"/>
        <v>8.5220016555146891</v>
      </c>
    </row>
    <row r="18" spans="1:14" x14ac:dyDescent="0.25">
      <c r="A18" s="23">
        <v>16.100000000000001</v>
      </c>
      <c r="B18" s="23" t="s">
        <v>108</v>
      </c>
      <c r="C18" s="23" t="s">
        <v>109</v>
      </c>
      <c r="D18" s="23"/>
      <c r="E18" s="23"/>
      <c r="G18" s="23">
        <v>7.45</v>
      </c>
    </row>
    <row r="19" spans="1:14" ht="30.75" customHeight="1" x14ac:dyDescent="0.25">
      <c r="A19" s="28">
        <v>17</v>
      </c>
      <c r="B19" s="30" t="s">
        <v>107</v>
      </c>
      <c r="C19" s="28"/>
      <c r="D19" s="28"/>
      <c r="E19" s="25">
        <v>0.93220047731596001</v>
      </c>
      <c r="G19" s="52">
        <f>$J$36+$J$37*A19</f>
        <v>7.6009682645315042</v>
      </c>
      <c r="H19" s="29">
        <f>G19*E19</f>
        <v>7.085626244259732</v>
      </c>
    </row>
    <row r="20" spans="1:14" x14ac:dyDescent="0.25">
      <c r="A20" s="28">
        <v>18</v>
      </c>
      <c r="B20" s="28"/>
      <c r="C20" s="28"/>
      <c r="D20" s="28"/>
      <c r="E20" s="25">
        <v>0.83775920424985417</v>
      </c>
      <c r="G20" s="29">
        <f>$J$36+$J$37*A20</f>
        <v>7.7481069803916807</v>
      </c>
      <c r="H20" s="29">
        <f>G20*E20</f>
        <v>6.4910479383356749</v>
      </c>
      <c r="I20" t="s">
        <v>40</v>
      </c>
    </row>
    <row r="21" spans="1:14" ht="15.75" thickBot="1" x14ac:dyDescent="0.3">
      <c r="A21" s="28">
        <v>19</v>
      </c>
      <c r="B21" s="28"/>
      <c r="C21" s="28"/>
      <c r="D21" s="28"/>
      <c r="E21" s="25">
        <v>1.0933488421606843</v>
      </c>
      <c r="G21" s="29">
        <f>$J$36+$J$37*A21</f>
        <v>7.895245696251858</v>
      </c>
      <c r="H21" s="29">
        <f>G21*E21</f>
        <v>8.6322577405710952</v>
      </c>
    </row>
    <row r="22" spans="1:14" x14ac:dyDescent="0.25">
      <c r="A22" s="28">
        <v>20</v>
      </c>
      <c r="B22" s="28"/>
      <c r="C22" s="28"/>
      <c r="D22" s="28"/>
      <c r="E22" s="25">
        <v>1.1433051426610321</v>
      </c>
      <c r="G22" s="29">
        <f>$J$36+$J$37*A22</f>
        <v>8.0423844121120354</v>
      </c>
      <c r="H22" s="29">
        <f>G22*E22</f>
        <v>9.1948994576246115</v>
      </c>
      <c r="I22" s="13" t="s">
        <v>41</v>
      </c>
      <c r="J22" s="13"/>
    </row>
    <row r="23" spans="1:14" x14ac:dyDescent="0.25">
      <c r="I23" t="s">
        <v>42</v>
      </c>
      <c r="J23">
        <v>0.95957861566189495</v>
      </c>
    </row>
    <row r="24" spans="1:14" x14ac:dyDescent="0.25">
      <c r="I24" t="s">
        <v>43</v>
      </c>
      <c r="J24">
        <v>0.92079111963559879</v>
      </c>
    </row>
    <row r="25" spans="1:14" x14ac:dyDescent="0.25">
      <c r="I25" t="s">
        <v>44</v>
      </c>
      <c r="J25">
        <v>0.91513334246671296</v>
      </c>
    </row>
    <row r="26" spans="1:14" x14ac:dyDescent="0.25">
      <c r="I26" t="s">
        <v>19</v>
      </c>
      <c r="J26">
        <v>0.21267124735157453</v>
      </c>
    </row>
    <row r="27" spans="1:14" ht="15.75" thickBot="1" x14ac:dyDescent="0.3">
      <c r="B27" t="s">
        <v>4</v>
      </c>
      <c r="C27" t="s">
        <v>103</v>
      </c>
      <c r="F27" t="s">
        <v>104</v>
      </c>
      <c r="I27" s="8" t="s">
        <v>45</v>
      </c>
      <c r="J27" s="8">
        <v>16</v>
      </c>
    </row>
    <row r="28" spans="1:14" x14ac:dyDescent="0.25">
      <c r="B28">
        <v>1</v>
      </c>
      <c r="C28">
        <v>0.97071129707112969</v>
      </c>
      <c r="D28">
        <v>0.91778202676864251</v>
      </c>
      <c r="E28">
        <v>0.90810810810810805</v>
      </c>
      <c r="F28" s="25">
        <v>0.93220047731596012</v>
      </c>
    </row>
    <row r="29" spans="1:14" ht="15.75" thickBot="1" x14ac:dyDescent="0.3">
      <c r="B29">
        <v>2</v>
      </c>
      <c r="C29">
        <v>0.84040404040404049</v>
      </c>
      <c r="D29">
        <v>0.83895131086142305</v>
      </c>
      <c r="E29">
        <v>0.83392226148409898</v>
      </c>
      <c r="F29" s="25">
        <v>0.83775920424985417</v>
      </c>
      <c r="I29" t="s">
        <v>46</v>
      </c>
    </row>
    <row r="30" spans="1:14" x14ac:dyDescent="0.25">
      <c r="B30">
        <v>3</v>
      </c>
      <c r="C30">
        <v>1.0958904109589043</v>
      </c>
      <c r="D30">
        <v>1.075098814229249</v>
      </c>
      <c r="E30">
        <v>1.1090573012939002</v>
      </c>
      <c r="F30" s="25">
        <v>1.0933488421606801</v>
      </c>
      <c r="I30" s="9"/>
      <c r="J30" s="9" t="s">
        <v>51</v>
      </c>
      <c r="K30" s="9" t="s">
        <v>52</v>
      </c>
      <c r="L30" s="9" t="s">
        <v>53</v>
      </c>
      <c r="M30" s="9" t="s">
        <v>54</v>
      </c>
      <c r="N30" s="9" t="s">
        <v>55</v>
      </c>
    </row>
    <row r="31" spans="1:14" x14ac:dyDescent="0.25">
      <c r="B31">
        <v>4</v>
      </c>
      <c r="C31">
        <v>1.1328976034858387</v>
      </c>
      <c r="D31">
        <v>1.1562500000000002</v>
      </c>
      <c r="E31">
        <v>1.1407678244972577</v>
      </c>
      <c r="F31" s="25">
        <v>1.1433051426610321</v>
      </c>
      <c r="I31" t="s">
        <v>47</v>
      </c>
      <c r="J31">
        <v>1</v>
      </c>
      <c r="K31">
        <v>7.3609325796938014</v>
      </c>
      <c r="L31">
        <v>7.3609325796938014</v>
      </c>
      <c r="M31">
        <v>162.74785877029026</v>
      </c>
      <c r="N31">
        <v>4.2477172966675832E-9</v>
      </c>
    </row>
    <row r="32" spans="1:14" x14ac:dyDescent="0.25">
      <c r="I32" t="s">
        <v>48</v>
      </c>
      <c r="J32">
        <v>14</v>
      </c>
      <c r="K32">
        <v>0.63320683230104424</v>
      </c>
      <c r="L32">
        <v>4.5229059450074591E-2</v>
      </c>
    </row>
    <row r="33" spans="5:17" ht="45.75" thickBot="1" x14ac:dyDescent="0.3">
      <c r="E33" s="2" t="s">
        <v>131</v>
      </c>
      <c r="F33" s="4">
        <f>AVERAGE(F28:F31)</f>
        <v>1.0016534165968816</v>
      </c>
      <c r="I33" s="8" t="s">
        <v>49</v>
      </c>
      <c r="J33" s="8">
        <v>15</v>
      </c>
      <c r="K33" s="8">
        <v>7.9941394119948459</v>
      </c>
      <c r="L33" s="8"/>
      <c r="M33" s="8"/>
      <c r="N33" s="8"/>
    </row>
    <row r="34" spans="5:17" ht="15.75" thickBot="1" x14ac:dyDescent="0.3"/>
    <row r="35" spans="5:17" x14ac:dyDescent="0.25">
      <c r="I35" s="9"/>
      <c r="J35" s="9" t="s">
        <v>56</v>
      </c>
      <c r="K35" s="9" t="s">
        <v>19</v>
      </c>
      <c r="L35" s="9" t="s">
        <v>57</v>
      </c>
      <c r="M35" s="9" t="s">
        <v>58</v>
      </c>
      <c r="N35" s="9" t="s">
        <v>59</v>
      </c>
      <c r="O35" s="9" t="s">
        <v>60</v>
      </c>
      <c r="P35" s="9" t="s">
        <v>61</v>
      </c>
      <c r="Q35" s="9" t="s">
        <v>62</v>
      </c>
    </row>
    <row r="36" spans="5:17" x14ac:dyDescent="0.25">
      <c r="I36" t="s">
        <v>50</v>
      </c>
      <c r="J36" s="4">
        <v>5.0996100949085035</v>
      </c>
      <c r="K36">
        <v>0.11152574298685712</v>
      </c>
      <c r="L36">
        <v>45.72585627615566</v>
      </c>
      <c r="M36">
        <v>1.2098663553872412E-16</v>
      </c>
      <c r="N36">
        <v>4.8604111659901497</v>
      </c>
      <c r="O36">
        <v>5.3388090238268573</v>
      </c>
      <c r="P36">
        <v>4.8604111659901497</v>
      </c>
      <c r="Q36">
        <v>5.3388090238268573</v>
      </c>
    </row>
    <row r="37" spans="5:17" ht="15.75" thickBot="1" x14ac:dyDescent="0.3">
      <c r="I37" s="8" t="s">
        <v>110</v>
      </c>
      <c r="J37" s="17">
        <v>0.14713871586017654</v>
      </c>
      <c r="K37" s="8">
        <v>1.1533717763210431E-2</v>
      </c>
      <c r="L37" s="8">
        <v>12.75726690048814</v>
      </c>
      <c r="M37" s="8">
        <v>4.2477172966675832E-9</v>
      </c>
      <c r="N37" s="8">
        <v>0.12240135153944171</v>
      </c>
      <c r="O37" s="8">
        <v>0.17187608018091138</v>
      </c>
      <c r="P37" s="8">
        <v>0.12240135153944171</v>
      </c>
      <c r="Q37" s="8">
        <v>0.17187608018091138</v>
      </c>
    </row>
    <row r="41" spans="5:17" x14ac:dyDescent="0.25">
      <c r="I41" t="s">
        <v>63</v>
      </c>
      <c r="N41" t="s">
        <v>82</v>
      </c>
    </row>
    <row r="42" spans="5:17" ht="15.75" thickBot="1" x14ac:dyDescent="0.3"/>
    <row r="43" spans="5:17" x14ac:dyDescent="0.25">
      <c r="I43" s="9" t="s">
        <v>64</v>
      </c>
      <c r="J43" s="9" t="s">
        <v>106</v>
      </c>
      <c r="K43" s="9" t="s">
        <v>66</v>
      </c>
      <c r="L43" s="9" t="s">
        <v>80</v>
      </c>
      <c r="N43" s="9" t="s">
        <v>83</v>
      </c>
      <c r="O43" s="9" t="s">
        <v>105</v>
      </c>
    </row>
    <row r="44" spans="5:17" x14ac:dyDescent="0.25">
      <c r="I44">
        <v>1</v>
      </c>
      <c r="J44">
        <v>5.2467488107686799</v>
      </c>
      <c r="K44">
        <v>-9.764181414880202E-2</v>
      </c>
      <c r="L44">
        <v>-0.4752352793446139</v>
      </c>
      <c r="N44">
        <v>3.125</v>
      </c>
      <c r="O44">
        <v>4.8940077043632355</v>
      </c>
    </row>
    <row r="45" spans="5:17" x14ac:dyDescent="0.25">
      <c r="I45">
        <v>2</v>
      </c>
      <c r="J45">
        <v>5.3938875266288564</v>
      </c>
      <c r="K45">
        <v>-0.49987982226562089</v>
      </c>
      <c r="L45">
        <v>-2.4329794468085777</v>
      </c>
      <c r="N45">
        <v>9.375</v>
      </c>
      <c r="O45">
        <v>5.1491069966198779</v>
      </c>
    </row>
    <row r="46" spans="5:17" x14ac:dyDescent="0.25">
      <c r="I46">
        <v>3</v>
      </c>
      <c r="J46">
        <v>5.5410262424890329</v>
      </c>
      <c r="K46">
        <v>-5.3299207316293007E-2</v>
      </c>
      <c r="L46">
        <v>-0.25941410346190058</v>
      </c>
      <c r="N46">
        <v>15.625</v>
      </c>
      <c r="O46">
        <v>5.4877270351727399</v>
      </c>
    </row>
    <row r="47" spans="5:17" x14ac:dyDescent="0.25">
      <c r="I47">
        <v>4</v>
      </c>
      <c r="J47">
        <v>5.6881649583492093</v>
      </c>
      <c r="K47">
        <v>-2.8935837524759478E-3</v>
      </c>
      <c r="L47">
        <v>-1.4083444627721665E-2</v>
      </c>
      <c r="N47">
        <v>21.875</v>
      </c>
      <c r="O47">
        <v>5.6852713745967334</v>
      </c>
    </row>
    <row r="48" spans="5:17" x14ac:dyDescent="0.25">
      <c r="I48">
        <v>5</v>
      </c>
      <c r="J48">
        <v>5.8353036742093867</v>
      </c>
      <c r="K48">
        <v>0.38653394670629915</v>
      </c>
      <c r="L48">
        <v>1.881310478922497</v>
      </c>
      <c r="N48">
        <v>28.125</v>
      </c>
      <c r="O48">
        <v>6.2070341616314213</v>
      </c>
    </row>
    <row r="49" spans="9:15" x14ac:dyDescent="0.25">
      <c r="I49">
        <v>6</v>
      </c>
      <c r="J49">
        <v>5.9824423900695631</v>
      </c>
      <c r="K49">
        <v>0.22459177156185817</v>
      </c>
      <c r="L49">
        <v>1.0931170649292048</v>
      </c>
      <c r="N49">
        <v>34.375</v>
      </c>
      <c r="O49">
        <v>6.2194239731957719</v>
      </c>
    </row>
    <row r="50" spans="9:15" x14ac:dyDescent="0.25">
      <c r="I50">
        <v>7</v>
      </c>
      <c r="J50">
        <v>6.1295811059297396</v>
      </c>
      <c r="K50">
        <v>8.98428672660323E-2</v>
      </c>
      <c r="L50">
        <v>0.43727680087166609</v>
      </c>
      <c r="N50">
        <v>40.625</v>
      </c>
      <c r="O50">
        <v>6.2218376209156858</v>
      </c>
    </row>
    <row r="51" spans="9:15" x14ac:dyDescent="0.25">
      <c r="I51">
        <v>8</v>
      </c>
      <c r="J51">
        <v>6.2767198217899161</v>
      </c>
      <c r="K51">
        <v>0.1957429739048262</v>
      </c>
      <c r="L51">
        <v>0.95270625289326283</v>
      </c>
      <c r="N51">
        <v>46.875</v>
      </c>
      <c r="O51">
        <v>6.4363837457748474</v>
      </c>
    </row>
    <row r="52" spans="9:15" x14ac:dyDescent="0.25">
      <c r="I52">
        <v>9</v>
      </c>
      <c r="J52">
        <v>6.4238585376500925</v>
      </c>
      <c r="K52">
        <v>1.2525208124754883E-2</v>
      </c>
      <c r="L52">
        <v>6.0961800371161431E-2</v>
      </c>
      <c r="N52">
        <v>53.125</v>
      </c>
      <c r="O52">
        <v>6.4724627956947423</v>
      </c>
    </row>
    <row r="53" spans="9:15" x14ac:dyDescent="0.25">
      <c r="I53">
        <v>10</v>
      </c>
      <c r="J53">
        <v>6.570997253510269</v>
      </c>
      <c r="K53">
        <v>0.1135010744004914</v>
      </c>
      <c r="L53">
        <v>0.55242434062551804</v>
      </c>
      <c r="N53">
        <v>59.375</v>
      </c>
      <c r="O53">
        <v>6.6844983279107604</v>
      </c>
    </row>
    <row r="54" spans="9:15" x14ac:dyDescent="0.25">
      <c r="I54">
        <v>11</v>
      </c>
      <c r="J54">
        <v>6.7181359693704454</v>
      </c>
      <c r="K54">
        <v>0.14152282459547916</v>
      </c>
      <c r="L54">
        <v>0.68880980619404553</v>
      </c>
      <c r="N54">
        <v>65.625</v>
      </c>
      <c r="O54">
        <v>6.7582029330635898</v>
      </c>
    </row>
    <row r="55" spans="9:15" x14ac:dyDescent="0.25">
      <c r="I55">
        <v>12</v>
      </c>
      <c r="J55">
        <v>6.8652746852306219</v>
      </c>
      <c r="K55">
        <v>-4.2949035714542561E-2</v>
      </c>
      <c r="L55">
        <v>-0.20903848585071436</v>
      </c>
      <c r="N55">
        <v>71.875</v>
      </c>
      <c r="O55">
        <v>6.8223256495160793</v>
      </c>
    </row>
    <row r="56" spans="9:15" x14ac:dyDescent="0.25">
      <c r="I56">
        <v>13</v>
      </c>
      <c r="J56">
        <v>7.0124134010907984</v>
      </c>
      <c r="K56">
        <v>-0.25421046802720859</v>
      </c>
      <c r="L56">
        <v>-1.2372750735778677</v>
      </c>
      <c r="N56">
        <v>78.125</v>
      </c>
      <c r="O56">
        <v>6.8596587939659246</v>
      </c>
    </row>
    <row r="57" spans="9:15" x14ac:dyDescent="0.25">
      <c r="I57">
        <v>14</v>
      </c>
      <c r="J57">
        <v>7.1595521169509748</v>
      </c>
      <c r="K57">
        <v>-0.11695566433070859</v>
      </c>
      <c r="L57">
        <v>-0.56923827454122666</v>
      </c>
      <c r="N57">
        <v>84.375</v>
      </c>
      <c r="O57">
        <v>7.0425964526202662</v>
      </c>
    </row>
    <row r="58" spans="9:15" x14ac:dyDescent="0.25">
      <c r="I58">
        <v>15</v>
      </c>
      <c r="J58">
        <v>7.3066908328111513</v>
      </c>
      <c r="K58">
        <v>1.0278547419168227E-2</v>
      </c>
      <c r="L58">
        <v>5.002701349404623E-2</v>
      </c>
      <c r="N58">
        <v>90.625</v>
      </c>
      <c r="O58">
        <v>7.3169693802303195</v>
      </c>
    </row>
    <row r="59" spans="9:15" ht="15.75" thickBot="1" x14ac:dyDescent="0.3">
      <c r="I59" s="8">
        <v>16</v>
      </c>
      <c r="J59" s="8">
        <v>7.4538295486713277</v>
      </c>
      <c r="K59" s="8">
        <v>-0.10670961842324189</v>
      </c>
      <c r="L59" s="8">
        <v>-0.51936945008870172</v>
      </c>
      <c r="N59" s="8">
        <v>96.875</v>
      </c>
      <c r="O59" s="8">
        <v>7.3471199302480859</v>
      </c>
    </row>
  </sheetData>
  <sortState xmlns:xlrd2="http://schemas.microsoft.com/office/spreadsheetml/2017/richdata2" ref="O44:O59">
    <sortCondition ref="O44"/>
  </sortState>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39DFA-CDAE-48C8-A6AB-801CBD79B559}">
  <dimension ref="A1:V11"/>
  <sheetViews>
    <sheetView workbookViewId="0">
      <selection activeCell="F21" sqref="F21"/>
    </sheetView>
  </sheetViews>
  <sheetFormatPr defaultRowHeight="15" x14ac:dyDescent="0.25"/>
  <cols>
    <col min="2" max="2" width="11.7109375" customWidth="1"/>
  </cols>
  <sheetData>
    <row r="1" spans="1:22" x14ac:dyDescent="0.25">
      <c r="A1" t="s">
        <v>2</v>
      </c>
      <c r="B1" t="s">
        <v>5</v>
      </c>
      <c r="C1">
        <v>1</v>
      </c>
      <c r="D1">
        <v>21.6</v>
      </c>
      <c r="E1">
        <v>2</v>
      </c>
      <c r="F1">
        <v>22.9</v>
      </c>
      <c r="G1">
        <v>3</v>
      </c>
      <c r="H1">
        <v>25.5</v>
      </c>
      <c r="I1">
        <v>4</v>
      </c>
      <c r="J1">
        <v>21.9</v>
      </c>
      <c r="K1">
        <v>5</v>
      </c>
      <c r="L1">
        <v>23.9</v>
      </c>
      <c r="M1">
        <v>6</v>
      </c>
      <c r="N1">
        <v>27.5</v>
      </c>
      <c r="O1">
        <v>7</v>
      </c>
      <c r="P1">
        <v>31.5</v>
      </c>
      <c r="Q1">
        <v>8</v>
      </c>
      <c r="R1">
        <v>29.7</v>
      </c>
      <c r="S1">
        <v>9</v>
      </c>
      <c r="T1">
        <v>28.6</v>
      </c>
      <c r="U1">
        <v>10</v>
      </c>
      <c r="V1">
        <v>31.4</v>
      </c>
    </row>
    <row r="2" spans="1:22" x14ac:dyDescent="0.25">
      <c r="A2" cm="1">
        <f t="array" ref="A2">INDEX($1:$1,ROW($A$1),C2)</f>
        <v>1</v>
      </c>
      <c r="B2" cm="1">
        <f t="array" ref="B2">INDEX($1:$1,ROW($A$1),D2)</f>
        <v>21.6</v>
      </c>
      <c r="C2">
        <v>3</v>
      </c>
      <c r="D2">
        <v>4</v>
      </c>
      <c r="E2">
        <v>5</v>
      </c>
      <c r="F2">
        <v>6</v>
      </c>
      <c r="G2">
        <v>7</v>
      </c>
      <c r="H2">
        <v>8</v>
      </c>
      <c r="I2">
        <v>9</v>
      </c>
      <c r="J2">
        <v>10</v>
      </c>
      <c r="K2">
        <v>11</v>
      </c>
      <c r="L2">
        <v>12</v>
      </c>
      <c r="M2">
        <v>13</v>
      </c>
      <c r="N2">
        <v>14</v>
      </c>
      <c r="O2">
        <v>15</v>
      </c>
      <c r="P2">
        <v>16</v>
      </c>
      <c r="Q2">
        <v>17</v>
      </c>
      <c r="R2">
        <v>18</v>
      </c>
      <c r="S2">
        <v>19</v>
      </c>
      <c r="T2">
        <v>20</v>
      </c>
      <c r="U2">
        <v>21</v>
      </c>
      <c r="V2">
        <v>22</v>
      </c>
    </row>
    <row r="3" spans="1:22" x14ac:dyDescent="0.25">
      <c r="A3" cm="1">
        <f t="array" ref="A3">INDEX($1:$1,ROW($A$1),C3)</f>
        <v>2</v>
      </c>
      <c r="B3" cm="1">
        <f t="array" ref="B3">INDEX($1:$1,ROW($A$1),D3)</f>
        <v>22.9</v>
      </c>
      <c r="C3">
        <f>C2+2</f>
        <v>5</v>
      </c>
      <c r="D3">
        <f>D2+2</f>
        <v>6</v>
      </c>
    </row>
    <row r="4" spans="1:22" x14ac:dyDescent="0.25">
      <c r="A4" cm="1">
        <f t="array" ref="A4">INDEX($1:$1,ROW($A$1),C4)</f>
        <v>3</v>
      </c>
      <c r="B4" cm="1">
        <f t="array" ref="B4">INDEX($1:$1,ROW($A$1),D4)</f>
        <v>25.5</v>
      </c>
      <c r="C4">
        <f t="shared" ref="C4:C11" si="0">C3+2</f>
        <v>7</v>
      </c>
      <c r="D4">
        <f t="shared" ref="D4:D11" si="1">D3+2</f>
        <v>8</v>
      </c>
    </row>
    <row r="5" spans="1:22" x14ac:dyDescent="0.25">
      <c r="A5" cm="1">
        <f t="array" ref="A5">INDEX($1:$1,ROW($A$1),C5)</f>
        <v>4</v>
      </c>
      <c r="B5" cm="1">
        <f t="array" ref="B5">INDEX($1:$1,ROW($A$1),D5)</f>
        <v>21.9</v>
      </c>
      <c r="C5">
        <f t="shared" si="0"/>
        <v>9</v>
      </c>
      <c r="D5">
        <f t="shared" si="1"/>
        <v>10</v>
      </c>
    </row>
    <row r="6" spans="1:22" x14ac:dyDescent="0.25">
      <c r="A6" cm="1">
        <f t="array" ref="A6">INDEX($1:$1,ROW($A$1),C6)</f>
        <v>5</v>
      </c>
      <c r="B6" cm="1">
        <f t="array" ref="B6">INDEX($1:$1,ROW($A$1),D6)</f>
        <v>23.9</v>
      </c>
      <c r="C6">
        <f t="shared" si="0"/>
        <v>11</v>
      </c>
      <c r="D6">
        <f t="shared" si="1"/>
        <v>12</v>
      </c>
    </row>
    <row r="7" spans="1:22" x14ac:dyDescent="0.25">
      <c r="A7" cm="1">
        <f t="array" ref="A7">INDEX($1:$1,ROW($A$1),C7)</f>
        <v>6</v>
      </c>
      <c r="B7" cm="1">
        <f t="array" ref="B7">INDEX($1:$1,ROW($A$1),D7)</f>
        <v>27.5</v>
      </c>
      <c r="C7">
        <f t="shared" si="0"/>
        <v>13</v>
      </c>
      <c r="D7">
        <f t="shared" si="1"/>
        <v>14</v>
      </c>
    </row>
    <row r="8" spans="1:22" x14ac:dyDescent="0.25">
      <c r="A8" cm="1">
        <f t="array" ref="A8">INDEX($1:$1,ROW($A$1),C8)</f>
        <v>7</v>
      </c>
      <c r="B8" cm="1">
        <f t="array" ref="B8">INDEX($1:$1,ROW($A$1),D8)</f>
        <v>31.5</v>
      </c>
      <c r="C8">
        <f t="shared" si="0"/>
        <v>15</v>
      </c>
      <c r="D8">
        <f t="shared" si="1"/>
        <v>16</v>
      </c>
    </row>
    <row r="9" spans="1:22" x14ac:dyDescent="0.25">
      <c r="A9" cm="1">
        <f t="array" ref="A9">INDEX($1:$1,ROW($A$1),C9)</f>
        <v>8</v>
      </c>
      <c r="B9" cm="1">
        <f t="array" ref="B9">INDEX($1:$1,ROW($A$1),D9)</f>
        <v>29.7</v>
      </c>
      <c r="C9">
        <f t="shared" si="0"/>
        <v>17</v>
      </c>
      <c r="D9">
        <f t="shared" si="1"/>
        <v>18</v>
      </c>
    </row>
    <row r="10" spans="1:22" x14ac:dyDescent="0.25">
      <c r="A10" cm="1">
        <f t="array" ref="A10">INDEX($1:$1,ROW($A$1),C10)</f>
        <v>9</v>
      </c>
      <c r="B10" cm="1">
        <f t="array" ref="B10">INDEX($1:$1,ROW($A$1),D10)</f>
        <v>28.6</v>
      </c>
      <c r="C10">
        <f t="shared" si="0"/>
        <v>19</v>
      </c>
      <c r="D10">
        <f t="shared" si="1"/>
        <v>20</v>
      </c>
    </row>
    <row r="11" spans="1:22" x14ac:dyDescent="0.25">
      <c r="A11" cm="1">
        <f t="array" ref="A11">INDEX($1:$1,ROW($A$1),C11)</f>
        <v>10</v>
      </c>
      <c r="B11" cm="1">
        <f t="array" ref="B11">INDEX($1:$1,ROW($A$1),D11)</f>
        <v>31.4</v>
      </c>
      <c r="C11">
        <f t="shared" si="0"/>
        <v>21</v>
      </c>
      <c r="D11">
        <f t="shared" si="1"/>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B716B0-EB39-4B90-B8BC-6825A94F3E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Importing Tranformation</vt:lpstr>
      <vt:lpstr>Horizontal Pattern 18.1</vt:lpstr>
      <vt:lpstr>Naive Forecast 18.7</vt:lpstr>
      <vt:lpstr>Average of past values</vt:lpstr>
      <vt:lpstr>Moving Averages</vt:lpstr>
      <vt:lpstr>Weighted moving averages</vt:lpstr>
      <vt:lpstr>Exponential Smoothing</vt:lpstr>
      <vt:lpstr>Exponential with excel</vt:lpstr>
      <vt:lpstr>18.2</vt:lpstr>
      <vt:lpstr>18.4 Trend</vt:lpstr>
      <vt:lpstr>manual linear trend calculation</vt:lpstr>
      <vt:lpstr>Linear Trend with forecast</vt:lpstr>
      <vt:lpstr>Holts linear exponential</vt:lpstr>
      <vt:lpstr>Nonlinear Trend not adressed</vt:lpstr>
      <vt:lpstr>Nonlinear Trend Adressed</vt:lpstr>
      <vt:lpstr>Another way to adress nonlinear</vt:lpstr>
      <vt:lpstr>18.17 Seasonality not adressed</vt:lpstr>
      <vt:lpstr>Seasonality Adressed</vt:lpstr>
      <vt:lpstr>Trend and seasonal import</vt:lpstr>
      <vt:lpstr>trend and seasonal plot</vt:lpstr>
      <vt:lpstr>18.19 Seasonality and Trend</vt:lpstr>
      <vt:lpstr>Seasonality and Trend Adressed</vt:lpstr>
      <vt:lpstr>Decomposition seasonal indexes</vt:lpstr>
      <vt:lpstr>Decomposition Deseasonalized </vt:lpstr>
      <vt:lpstr>table 18.12 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Emmanuel Alvarez</dc:creator>
  <cp:lastModifiedBy>Cristian Alvarez</cp:lastModifiedBy>
  <dcterms:created xsi:type="dcterms:W3CDTF">2023-09-26T20:41:56Z</dcterms:created>
  <dcterms:modified xsi:type="dcterms:W3CDTF">2025-10-28T03:29:54Z</dcterms:modified>
</cp:coreProperties>
</file>