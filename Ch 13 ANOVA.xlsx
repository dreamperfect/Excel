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692\Documents\194 a fall 2021\(5) R files\"/>
    </mc:Choice>
  </mc:AlternateContent>
  <xr:revisionPtr revIDLastSave="0" documentId="13_ncr:1_{6FE77391-E6CF-4685-BF8B-6E67551075F0}" xr6:coauthVersionLast="47" xr6:coauthVersionMax="47" xr10:uidLastSave="{00000000-0000-0000-0000-000000000000}"/>
  <bookViews>
    <workbookView xWindow="-120" yWindow="-120" windowWidth="20730" windowHeight="11040" firstSheet="1" activeTab="2" xr2:uid="{DF801E5C-599A-4029-AA70-C2F5A791D757}"/>
  </bookViews>
  <sheets>
    <sheet name="Completely Random Design ANOVA" sheetId="1" r:id="rId1"/>
    <sheet name="fishers lsd (pop comparison)" sheetId="2" r:id="rId2"/>
    <sheet name="Ch 16.5 experimental design " sheetId="6" r:id="rId3"/>
    <sheet name="13.4 random block design" sheetId="3" r:id="rId4"/>
    <sheet name="random block excel version" sheetId="5" r:id="rId5"/>
    <sheet name="13.5 factorial experiment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1" l="1"/>
  <c r="L9" i="2"/>
  <c r="L5" i="2" l="1"/>
  <c r="B12" i="2"/>
  <c r="B14" i="2" s="1"/>
  <c r="J9" i="2"/>
  <c r="L12" i="3"/>
  <c r="K12" i="3"/>
  <c r="J14" i="3"/>
  <c r="J13" i="3"/>
  <c r="J12" i="3"/>
  <c r="I15" i="3"/>
  <c r="I14" i="3"/>
  <c r="I13" i="3"/>
  <c r="I12" i="3"/>
  <c r="H14" i="3"/>
  <c r="H13" i="3"/>
  <c r="K3" i="3"/>
  <c r="K4" i="3"/>
  <c r="K5" i="3"/>
  <c r="K6" i="3"/>
  <c r="K7" i="3"/>
  <c r="K2" i="3"/>
  <c r="E3" i="3"/>
  <c r="E4" i="3"/>
  <c r="E5" i="3"/>
  <c r="E6" i="3"/>
  <c r="E7" i="3"/>
  <c r="E2" i="3"/>
  <c r="H12" i="3"/>
  <c r="B12" i="3"/>
  <c r="I2" i="3" s="1"/>
  <c r="I3" i="3"/>
  <c r="I4" i="3"/>
  <c r="I5" i="3"/>
  <c r="I6" i="3"/>
  <c r="I7" i="3"/>
  <c r="C10" i="3"/>
  <c r="D10" i="3"/>
  <c r="B10" i="3"/>
  <c r="A7" i="2"/>
  <c r="B17" i="1"/>
  <c r="B18" i="1"/>
  <c r="B15" i="1"/>
  <c r="B12" i="1"/>
  <c r="C12" i="1"/>
  <c r="A12" i="1"/>
  <c r="B14" i="1"/>
  <c r="B13" i="1"/>
  <c r="H3" i="3" l="1"/>
  <c r="H4" i="3"/>
  <c r="H5" i="3"/>
  <c r="H6" i="3"/>
  <c r="G2" i="3"/>
  <c r="H7" i="3"/>
  <c r="H2" i="3"/>
  <c r="G3" i="3"/>
  <c r="G4" i="3"/>
  <c r="G5" i="3"/>
  <c r="G6" i="3"/>
  <c r="G7" i="3"/>
  <c r="H15" i="3" l="1"/>
  <c r="B10" i="1"/>
  <c r="C10" i="1"/>
  <c r="A10" i="1"/>
</calcChain>
</file>

<file path=xl/sharedStrings.xml><?xml version="1.0" encoding="utf-8"?>
<sst xmlns="http://schemas.openxmlformats.org/spreadsheetml/2006/main" count="189" uniqueCount="99">
  <si>
    <t>Method A</t>
  </si>
  <si>
    <t>Method B</t>
  </si>
  <si>
    <t>Method C</t>
  </si>
  <si>
    <r>
      <t>x</t>
    </r>
    <r>
      <rPr>
        <sz val="11"/>
        <color theme="1"/>
        <rFont val="Calibri"/>
        <family val="2"/>
      </rPr>
      <t>̅</t>
    </r>
    <r>
      <rPr>
        <sz val="11"/>
        <color theme="1"/>
        <rFont val="Aptos Narrow"/>
        <family val="2"/>
        <scheme val="minor"/>
      </rPr>
      <t xml:space="preserve"> of A</t>
    </r>
  </si>
  <si>
    <t>x̅  of B</t>
  </si>
  <si>
    <t>x̅  of C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</si>
  <si>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</si>
  <si>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</si>
  <si>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</si>
  <si>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</si>
  <si>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</si>
  <si>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</si>
  <si>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</si>
  <si>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</si>
  <si>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</si>
  <si>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</si>
  <si>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</si>
  <si>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</si>
  <si>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</si>
  <si>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</si>
  <si>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</si>
  <si>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</si>
  <si>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</si>
  <si>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</si>
  <si>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overall sample mean</t>
  </si>
  <si>
    <t>sample variance</t>
  </si>
  <si>
    <t>sample variance A</t>
  </si>
  <si>
    <t>sample var. B</t>
  </si>
  <si>
    <t>Sample Var. C</t>
  </si>
  <si>
    <t>between treatments estimate of pop. Variance (or MSTR)</t>
  </si>
  <si>
    <t>within treatments estimate of pop variance (MSE)</t>
  </si>
  <si>
    <t>SSE</t>
  </si>
  <si>
    <t>SSTR</t>
  </si>
  <si>
    <t>x̅ of A</t>
  </si>
  <si>
    <t>test statistic t</t>
  </si>
  <si>
    <t>sample a size n</t>
  </si>
  <si>
    <t>sample B size n</t>
  </si>
  <si>
    <t>MSE</t>
  </si>
  <si>
    <t>"D.F" (nt-k)</t>
  </si>
  <si>
    <t>p value</t>
  </si>
  <si>
    <t>a</t>
  </si>
  <si>
    <t>Reject Ho if</t>
  </si>
  <si>
    <t>&gt;=</t>
  </si>
  <si>
    <t>LSD</t>
  </si>
  <si>
    <t>ta/2</t>
  </si>
  <si>
    <t xml:space="preserve">abs(x̅ of A - x̅  of B) </t>
  </si>
  <si>
    <t>Controller</t>
  </si>
  <si>
    <t>System A</t>
  </si>
  <si>
    <t>System B</t>
  </si>
  <si>
    <t>System C</t>
  </si>
  <si>
    <t>Anova: Two-Factor Without Replication</t>
  </si>
  <si>
    <t>Rows</t>
  </si>
  <si>
    <t>Columns</t>
  </si>
  <si>
    <t>Error</t>
  </si>
  <si>
    <t>Anova: Two-Factor With Replication</t>
  </si>
  <si>
    <t>Sample</t>
  </si>
  <si>
    <t>Interaction</t>
  </si>
  <si>
    <t>Within</t>
  </si>
  <si>
    <t>Sum of Squares</t>
  </si>
  <si>
    <t>D.F.</t>
  </si>
  <si>
    <t>Mean Square</t>
  </si>
  <si>
    <t>p-value</t>
  </si>
  <si>
    <t>Treatments</t>
  </si>
  <si>
    <t>Blocks</t>
  </si>
  <si>
    <t>(xij-overall sample mean)^2</t>
  </si>
  <si>
    <t>x̅i</t>
  </si>
  <si>
    <r>
      <t>(</t>
    </r>
    <r>
      <rPr>
        <b/>
        <sz val="11"/>
        <color theme="1"/>
        <rFont val="Aptos Narrow"/>
        <family val="2"/>
        <scheme val="minor"/>
      </rPr>
      <t>x̅i</t>
    </r>
    <r>
      <rPr>
        <sz val="11"/>
        <color theme="1"/>
        <rFont val="Aptos Narrow"/>
        <family val="2"/>
        <scheme val="minor"/>
      </rPr>
      <t>-overall sample mean)^2</t>
    </r>
  </si>
  <si>
    <t>Business</t>
  </si>
  <si>
    <t>Engineering</t>
  </si>
  <si>
    <t>Arts and Sciences</t>
  </si>
  <si>
    <t>3-hour review</t>
  </si>
  <si>
    <t>1-day program</t>
  </si>
  <si>
    <t>10-week course</t>
  </si>
  <si>
    <t>Factor A</t>
  </si>
  <si>
    <t>treatments</t>
  </si>
  <si>
    <t>blocks</t>
  </si>
  <si>
    <t>Factor B</t>
  </si>
  <si>
    <t>abs differences of two means</t>
  </si>
  <si>
    <t xml:space="preserve">in other words for pop 1 and 2: </t>
  </si>
  <si>
    <t>A</t>
  </si>
  <si>
    <t>B</t>
  </si>
  <si>
    <t>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</si>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</sst>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Times New Roman"/>
      <family val="1"/>
    </font>
    <font>
      <sz val="11"/>
      <color rgb="FF00B050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7030A0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/>
    <xf numFmtId="164" fontId="0" fillId="0" borderId="0" xfId="0" applyNumberFormat="1" applyFill="1" applyBorder="1" applyAlignment="1"/>
    <xf numFmtId="2" fontId="0" fillId="0" borderId="0" xfId="0" applyNumberFormat="1" applyFill="1" applyBorder="1" applyAlignment="1"/>
    <xf numFmtId="0" fontId="5" fillId="0" borderId="4" xfId="0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5" xfId="0" applyFont="1" applyBorder="1" applyAlignment="1"/>
    <xf numFmtId="0" fontId="2" fillId="0" borderId="1" xfId="0" applyFont="1" applyBorder="1" applyAlignment="1">
      <alignment wrapText="1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1" fillId="0" borderId="6" xfId="0" applyFont="1" applyBorder="1" applyAlignment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10" xfId="0" applyBorder="1"/>
    <xf numFmtId="0" fontId="7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4" xfId="0" applyFont="1" applyBorder="1"/>
    <xf numFmtId="0" fontId="7" fillId="0" borderId="15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/>
    <xf numFmtId="0" fontId="2" fillId="0" borderId="13" xfId="0" applyFont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2" borderId="0" xfId="0" applyFill="1" applyBorder="1" applyAlignment="1"/>
    <xf numFmtId="0" fontId="8" fillId="0" borderId="0" xfId="0" applyFont="1"/>
    <xf numFmtId="0" fontId="9" fillId="0" borderId="0" xfId="0" applyFont="1" applyAlignment="1">
      <alignment wrapText="1"/>
    </xf>
    <xf numFmtId="0" fontId="4" fillId="0" borderId="3" xfId="0" applyFont="1" applyFill="1" applyBorder="1" applyAlignment="1">
      <alignment horizontal="centerContinuous"/>
    </xf>
    <xf numFmtId="2" fontId="0" fillId="3" borderId="0" xfId="0" applyNumberFormat="1" applyFill="1"/>
    <xf numFmtId="0" fontId="0" fillId="3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10</xdr:row>
      <xdr:rowOff>123825</xdr:rowOff>
    </xdr:from>
    <xdr:to>
      <xdr:col>16</xdr:col>
      <xdr:colOff>371475</xdr:colOff>
      <xdr:row>15</xdr:row>
      <xdr:rowOff>257175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E46F59-5D07-C83C-ADBD-C090E8A9F0C7}"/>
            </a:ext>
          </a:extLst>
        </xdr:cNvPr>
        <xdr:cNvSpPr txBox="1"/>
      </xdr:nvSpPr>
      <xdr:spPr>
        <a:xfrm>
          <a:off x="8734425" y="2057400"/>
          <a:ext cx="2581275" cy="1628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Ho:</a:t>
          </a:r>
          <a:r>
            <a:rPr lang="en-US" sz="1100" baseline="0"/>
            <a:t> u1=u2=u3</a:t>
          </a:r>
        </a:p>
        <a:p>
          <a:r>
            <a:rPr lang="en-US" sz="1100" baseline="0"/>
            <a:t>Ha: Not all pop means are equal</a:t>
          </a:r>
        </a:p>
        <a:p>
          <a:endParaRPr lang="en-US" sz="1100" baseline="0"/>
        </a:p>
        <a:p>
          <a:r>
            <a:rPr lang="en-US" sz="1100" baseline="0"/>
            <a:t>Reject Ho if p-value &lt;=a</a:t>
          </a:r>
        </a:p>
        <a:p>
          <a:endParaRPr lang="en-US" sz="1100" baseline="0"/>
        </a:p>
        <a:p>
          <a:r>
            <a:rPr lang="en-US" sz="1100" baseline="0"/>
            <a:t>With p value &lt;=a= 0.05, we do reject Ho.</a:t>
          </a:r>
        </a:p>
        <a:p>
          <a:endParaRPr lang="en-US" sz="1100" baseline="0"/>
        </a:p>
        <a:p>
          <a:r>
            <a:rPr lang="en-US" sz="1100" baseline="0"/>
            <a:t>Also reject Ho when F value is &gt;3.885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380999</xdr:colOff>
      <xdr:row>14</xdr:row>
      <xdr:rowOff>95250</xdr:rowOff>
    </xdr:from>
    <xdr:to>
      <xdr:col>2</xdr:col>
      <xdr:colOff>504824</xdr:colOff>
      <xdr:row>26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7983A4-A74C-E490-BA05-4E5185F855E6}"/>
            </a:ext>
          </a:extLst>
        </xdr:cNvPr>
        <xdr:cNvSpPr txBox="1"/>
      </xdr:nvSpPr>
      <xdr:spPr>
        <a:xfrm>
          <a:off x="380999" y="2762250"/>
          <a:ext cx="2085975" cy="2333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New hypothesis </a:t>
          </a:r>
          <a:r>
            <a:rPr lang="en-US" sz="1100" b="1"/>
            <a:t>test 1</a:t>
          </a:r>
          <a:r>
            <a:rPr lang="en-US" sz="1100"/>
            <a:t>:</a:t>
          </a:r>
        </a:p>
        <a:p>
          <a:r>
            <a:rPr lang="en-US" sz="1100"/>
            <a:t>Ho: u1=u2</a:t>
          </a:r>
        </a:p>
        <a:p>
          <a:r>
            <a:rPr lang="en-US" sz="1100"/>
            <a:t>Ha: u1</a:t>
          </a:r>
          <a:r>
            <a:rPr lang="en-US" sz="1100" baseline="0"/>
            <a:t> does not equal u2</a:t>
          </a:r>
        </a:p>
        <a:p>
          <a:endParaRPr lang="en-US" sz="1100" baseline="0"/>
        </a:p>
        <a:p>
          <a:r>
            <a:rPr lang="en-US" sz="1100" baseline="0"/>
            <a:t>Reject Ho when p value &lt;=0.05. </a:t>
          </a:r>
        </a:p>
        <a:p>
          <a:endParaRPr lang="en-US" sz="1100" baseline="0"/>
        </a:p>
        <a:p>
          <a:r>
            <a:rPr lang="en-US" sz="1100" baseline="0"/>
            <a:t>Since p value is greater than a, we do not reject Ho, and conclude population mean 1 equals pop mean 2.</a:t>
          </a:r>
        </a:p>
        <a:p>
          <a:endParaRPr lang="en-US" sz="1100" baseline="0"/>
        </a:p>
        <a:p>
          <a:r>
            <a:rPr lang="en-US" sz="1100"/>
            <a:t>(when</a:t>
          </a:r>
          <a:r>
            <a:rPr lang="en-US" sz="1100" baseline="0"/>
            <a:t> u1 = method a, u2 = method b)</a:t>
          </a:r>
          <a:endParaRPr lang="en-US" sz="1100"/>
        </a:p>
      </xdr:txBody>
    </xdr:sp>
    <xdr:clientData/>
  </xdr:twoCellAnchor>
  <xdr:twoCellAnchor>
    <xdr:from>
      <xdr:col>8</xdr:col>
      <xdr:colOff>47625</xdr:colOff>
      <xdr:row>0</xdr:row>
      <xdr:rowOff>76200</xdr:rowOff>
    </xdr:from>
    <xdr:to>
      <xdr:col>11</xdr:col>
      <xdr:colOff>419100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5F6F1E-6C39-FDF0-6488-C5E5E47D809E}"/>
            </a:ext>
          </a:extLst>
        </xdr:cNvPr>
        <xdr:cNvSpPr txBox="1"/>
      </xdr:nvSpPr>
      <xdr:spPr>
        <a:xfrm>
          <a:off x="5667375" y="76200"/>
          <a:ext cx="2952750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Critical Rejection</a:t>
          </a:r>
          <a:r>
            <a:rPr lang="en-US" sz="1100" baseline="0"/>
            <a:t> Value (Allows for further compariosons when sample sizes are same)</a:t>
          </a:r>
          <a:endParaRPr lang="en-US" sz="1100"/>
        </a:p>
      </xdr:txBody>
    </xdr:sp>
    <xdr:clientData/>
  </xdr:twoCellAnchor>
  <xdr:twoCellAnchor>
    <xdr:from>
      <xdr:col>8</xdr:col>
      <xdr:colOff>161925</xdr:colOff>
      <xdr:row>10</xdr:row>
      <xdr:rowOff>133349</xdr:rowOff>
    </xdr:from>
    <xdr:to>
      <xdr:col>11</xdr:col>
      <xdr:colOff>438150</xdr:colOff>
      <xdr:row>29</xdr:row>
      <xdr:rowOff>104774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97ED7B-B710-AE8F-995B-42531FAA6738}"/>
            </a:ext>
          </a:extLst>
        </xdr:cNvPr>
        <xdr:cNvSpPr txBox="1"/>
      </xdr:nvSpPr>
      <xdr:spPr>
        <a:xfrm>
          <a:off x="6153150" y="2038349"/>
          <a:ext cx="2857500" cy="3590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C000"/>
              </a:solidFill>
            </a:rPr>
            <a:t>When</a:t>
          </a:r>
          <a:r>
            <a:rPr lang="en-US" sz="1100" baseline="0">
              <a:solidFill>
                <a:srgbClr val="FFC000"/>
              </a:solidFill>
            </a:rPr>
            <a:t> sample sizes are equal only one value for LSD is computed so any two sample means can be compared</a:t>
          </a:r>
          <a:r>
            <a:rPr lang="en-US" sz="1100" baseline="0">
              <a:solidFill>
                <a:schemeClr val="accent6"/>
              </a:solidFill>
            </a:rPr>
            <a:t>.</a:t>
          </a:r>
          <a:r>
            <a:rPr lang="en-US" sz="1100" baseline="0"/>
            <a:t> </a:t>
          </a:r>
        </a:p>
        <a:p>
          <a:r>
            <a:rPr lang="en-US" sz="1100" b="1" baseline="0"/>
            <a:t>Test 2</a:t>
          </a:r>
        </a:p>
        <a:p>
          <a:r>
            <a:rPr lang="en-US" sz="1100" b="0" baseline="0"/>
            <a:t>Ho: u1 = u3 </a:t>
          </a:r>
        </a:p>
        <a:p>
          <a:r>
            <a:rPr lang="en-US" sz="1100" baseline="0"/>
            <a:t>for example the difference of sample mean for pop 1 ("method A") and pop 3 ("method C")  is 62-52=10. The difference is greater than LSD 7.34 so we reject the null hypothesis Ho that  the two pop means are equal.</a:t>
          </a:r>
        </a:p>
        <a:p>
          <a:endParaRPr lang="en-US" sz="1100" b="1" baseline="0"/>
        </a:p>
        <a:p>
          <a:r>
            <a:rPr lang="en-US" sz="1100" b="1" baseline="0"/>
            <a:t>Test 3</a:t>
          </a:r>
        </a:p>
        <a:p>
          <a:r>
            <a:rPr lang="en-US" sz="1100" b="0" baseline="0"/>
            <a:t>Ho:  u2=u3</a:t>
          </a:r>
        </a:p>
        <a:p>
          <a:r>
            <a:rPr lang="en-US" sz="1100" baseline="0"/>
            <a:t>difference between pop 2 ("Method B") and pop 3 ("Method C") is 66-52=14&gt;7.34 so we also reject that null hypothesis.</a:t>
          </a:r>
        </a:p>
        <a:p>
          <a:endParaRPr lang="en-US" sz="1100" baseline="0"/>
        </a:p>
        <a:p>
          <a:r>
            <a:rPr lang="en-US" sz="1100" baseline="0"/>
            <a:t>So Method A and B both differ from Method C, but Method A and B are equal.</a:t>
          </a:r>
        </a:p>
        <a:p>
          <a:endParaRPr lang="en-US" sz="1100" baseline="0"/>
        </a:p>
        <a:p>
          <a:endParaRPr lang="en-US" sz="1100"/>
        </a:p>
      </xdr:txBody>
    </xdr:sp>
    <xdr:clientData/>
  </xdr:twoCellAnchor>
  <xdr:twoCellAnchor>
    <xdr:from>
      <xdr:col>0</xdr:col>
      <xdr:colOff>952499</xdr:colOff>
      <xdr:row>0</xdr:row>
      <xdr:rowOff>9525</xdr:rowOff>
    </xdr:from>
    <xdr:to>
      <xdr:col>5</xdr:col>
      <xdr:colOff>333374</xdr:colOff>
      <xdr:row>1</xdr:row>
      <xdr:rowOff>57150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9D1783E-5475-4FB4-ED66-E630936D44BC}"/>
            </a:ext>
          </a:extLst>
        </xdr:cNvPr>
        <xdr:cNvSpPr txBox="1"/>
      </xdr:nvSpPr>
      <xdr:spPr>
        <a:xfrm>
          <a:off x="952499" y="9525"/>
          <a:ext cx="31718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After</a:t>
          </a:r>
          <a:r>
            <a:rPr lang="en-US" sz="1100" baseline="0"/>
            <a:t> rejecting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u1=u2=u3 from the previous sheet.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342900</xdr:colOff>
      <xdr:row>20</xdr:row>
      <xdr:rowOff>85724</xdr:rowOff>
    </xdr:from>
    <xdr:to>
      <xdr:col>15</xdr:col>
      <xdr:colOff>161925</xdr:colOff>
      <xdr:row>40</xdr:row>
      <xdr:rowOff>76199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14B9C6-CAC5-598B-06ED-FF6372E9DCD4}"/>
            </a:ext>
          </a:extLst>
        </xdr:cNvPr>
        <xdr:cNvSpPr txBox="1"/>
      </xdr:nvSpPr>
      <xdr:spPr>
        <a:xfrm>
          <a:off x="7315200" y="3962399"/>
          <a:ext cx="3067050" cy="3800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Ho:</a:t>
          </a:r>
          <a:r>
            <a:rPr lang="en-US" sz="1100" baseline="0"/>
            <a:t> B1=B2=0</a:t>
          </a:r>
        </a:p>
        <a:p>
          <a:endParaRPr lang="en-US" sz="1100" baseline="0"/>
        </a:p>
        <a:p>
          <a:r>
            <a:rPr lang="en-US" sz="1100" baseline="0"/>
            <a:t>The F =9.18 corresponds to the p value 0.0038. Because the p value &lt;0.05, we Reject Ho and conclude that the mean for the 3 assembly methods are not the same. </a:t>
          </a:r>
        </a:p>
        <a:p>
          <a:r>
            <a:rPr lang="en-US" sz="1100" baseline="0"/>
            <a:t>Because the F test shows that the multiple regression relationship is significant, a t test can be conducted to determine the significance of the individual parameters B1, and B2. Bo equals E(y) for method C. </a:t>
          </a:r>
        </a:p>
        <a:p>
          <a:endParaRPr lang="en-US" sz="1100" baseline="0"/>
        </a:p>
        <a:p>
          <a:r>
            <a:rPr lang="en-US" sz="1100" baseline="0"/>
            <a:t>use the t test p values to test </a:t>
          </a:r>
        </a:p>
        <a:p>
          <a:r>
            <a:rPr lang="en-US" sz="1100"/>
            <a:t>Ho: B1</a:t>
          </a:r>
          <a:r>
            <a:rPr lang="en-US" sz="1100" baseline="0"/>
            <a:t> = 0  , with p value 0.011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&lt;0.05, we Reject Ho. 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Ho: B2= 0, with p value 0.001 &lt;0.05, we Reject Ho.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 both parameters are statistically significant, thus we can conclude that the means for methods A and C are different and that the means for methods B and C are different.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14</xdr:row>
      <xdr:rowOff>66675</xdr:rowOff>
    </xdr:from>
    <xdr:to>
      <xdr:col>2</xdr:col>
      <xdr:colOff>295275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212B08-7333-D563-461D-7400CE5CFB5A}"/>
            </a:ext>
          </a:extLst>
        </xdr:cNvPr>
        <xdr:cNvSpPr txBox="1"/>
      </xdr:nvSpPr>
      <xdr:spPr>
        <a:xfrm>
          <a:off x="76200" y="2924175"/>
          <a:ext cx="1609725" cy="1476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Have</a:t>
          </a:r>
          <a:r>
            <a:rPr lang="en-US" sz="1100" baseline="0"/>
            <a:t> to make my own Anova table because following the textbook intstructions of using "anova two factor without multiplication", and all others dont work.</a:t>
          </a:r>
          <a:endParaRPr lang="en-US" sz="1100"/>
        </a:p>
      </xdr:txBody>
    </xdr:sp>
    <xdr:clientData/>
  </xdr:twoCellAnchor>
  <xdr:twoCellAnchor>
    <xdr:from>
      <xdr:col>5</xdr:col>
      <xdr:colOff>1657350</xdr:colOff>
      <xdr:row>16</xdr:row>
      <xdr:rowOff>95250</xdr:rowOff>
    </xdr:from>
    <xdr:to>
      <xdr:col>7</xdr:col>
      <xdr:colOff>504825</xdr:colOff>
      <xdr:row>24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66E3CC7-8A21-36E5-7279-C88EC2BE0143}"/>
            </a:ext>
          </a:extLst>
        </xdr:cNvPr>
        <xdr:cNvSpPr txBox="1"/>
      </xdr:nvSpPr>
      <xdr:spPr>
        <a:xfrm>
          <a:off x="5010150" y="4114800"/>
          <a:ext cx="2419350" cy="1552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Ho: u1=u2=u3</a:t>
          </a:r>
        </a:p>
        <a:p>
          <a:r>
            <a:rPr lang="en-US" sz="1100"/>
            <a:t>Ha</a:t>
          </a:r>
          <a:r>
            <a:rPr lang="en-US" sz="1100" baseline="0"/>
            <a:t>: not all pop means are equal.</a:t>
          </a:r>
        </a:p>
        <a:p>
          <a:endParaRPr lang="en-US" sz="1100" baseline="0"/>
        </a:p>
        <a:p>
          <a:r>
            <a:rPr lang="en-US" sz="1100" baseline="0"/>
            <a:t>with p value&lt;= a we reject Ho.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4</xdr:row>
      <xdr:rowOff>85725</xdr:rowOff>
    </xdr:from>
    <xdr:to>
      <xdr:col>1</xdr:col>
      <xdr:colOff>504825</xdr:colOff>
      <xdr:row>7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3D76C1-60B8-E088-D902-8ABC9C6537C3}"/>
            </a:ext>
          </a:extLst>
        </xdr:cNvPr>
        <xdr:cNvSpPr txBox="1"/>
      </xdr:nvSpPr>
      <xdr:spPr>
        <a:xfrm>
          <a:off x="180975" y="866775"/>
          <a:ext cx="933450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Factor A: Preparation</a:t>
          </a:r>
          <a:r>
            <a:rPr lang="en-US" sz="1100" baseline="0"/>
            <a:t> Program</a:t>
          </a:r>
          <a:endParaRPr lang="en-US" sz="1100"/>
        </a:p>
      </xdr:txBody>
    </xdr:sp>
    <xdr:clientData/>
  </xdr:twoCellAnchor>
  <xdr:twoCellAnchor>
    <xdr:from>
      <xdr:col>3</xdr:col>
      <xdr:colOff>457200</xdr:colOff>
      <xdr:row>0</xdr:row>
      <xdr:rowOff>76200</xdr:rowOff>
    </xdr:from>
    <xdr:to>
      <xdr:col>5</xdr:col>
      <xdr:colOff>381000</xdr:colOff>
      <xdr:row>1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6A80EF-FCDF-C015-FB33-BB0A3B1BD72C}"/>
            </a:ext>
          </a:extLst>
        </xdr:cNvPr>
        <xdr:cNvSpPr txBox="1"/>
      </xdr:nvSpPr>
      <xdr:spPr>
        <a:xfrm>
          <a:off x="2286000" y="76200"/>
          <a:ext cx="114300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Factor B: College</a:t>
          </a:r>
        </a:p>
        <a:p>
          <a:endParaRPr lang="en-US" sz="1100"/>
        </a:p>
      </xdr:txBody>
    </xdr:sp>
    <xdr:clientData/>
  </xdr:twoCellAnchor>
  <xdr:twoCellAnchor>
    <xdr:from>
      <xdr:col>0</xdr:col>
      <xdr:colOff>561975</xdr:colOff>
      <xdr:row>10</xdr:row>
      <xdr:rowOff>180974</xdr:rowOff>
    </xdr:from>
    <xdr:to>
      <xdr:col>3</xdr:col>
      <xdr:colOff>323850</xdr:colOff>
      <xdr:row>19</xdr:row>
      <xdr:rowOff>152399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1A42C7-C7BC-D455-9842-C87B70D33813}"/>
            </a:ext>
          </a:extLst>
        </xdr:cNvPr>
        <xdr:cNvSpPr txBox="1"/>
      </xdr:nvSpPr>
      <xdr:spPr>
        <a:xfrm>
          <a:off x="561975" y="2152649"/>
          <a:ext cx="2047875" cy="1685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a=number of levels of Factor A</a:t>
          </a:r>
        </a:p>
        <a:p>
          <a:endParaRPr lang="en-US" sz="1100"/>
        </a:p>
        <a:p>
          <a:r>
            <a:rPr lang="en-US" sz="1100"/>
            <a:t>b:</a:t>
          </a:r>
          <a:r>
            <a:rPr lang="en-US" sz="1100" baseline="0"/>
            <a:t> number of levels of factor B</a:t>
          </a:r>
        </a:p>
        <a:p>
          <a:endParaRPr lang="en-US" sz="1100" baseline="0"/>
        </a:p>
        <a:p>
          <a:r>
            <a:rPr lang="en-US" sz="1100" baseline="0"/>
            <a:t>r=number of replications</a:t>
          </a:r>
          <a:endParaRPr lang="en-US" sz="1100"/>
        </a:p>
        <a:p>
          <a:endParaRPr lang="en-US" sz="1100"/>
        </a:p>
        <a:p>
          <a:r>
            <a:rPr lang="en-US" sz="1100"/>
            <a:t>nT=total</a:t>
          </a:r>
          <a:r>
            <a:rPr lang="en-US" sz="1100" baseline="0"/>
            <a:t> number of observations taken in the experiment =abr</a:t>
          </a:r>
          <a:endParaRPr lang="en-US" sz="1100"/>
        </a:p>
      </xdr:txBody>
    </xdr:sp>
    <xdr:clientData/>
  </xdr:twoCellAnchor>
  <xdr:twoCellAnchor>
    <xdr:from>
      <xdr:col>2</xdr:col>
      <xdr:colOff>590550</xdr:colOff>
      <xdr:row>21</xdr:row>
      <xdr:rowOff>66675</xdr:rowOff>
    </xdr:from>
    <xdr:to>
      <xdr:col>5</xdr:col>
      <xdr:colOff>1028700</xdr:colOff>
      <xdr:row>34</xdr:row>
      <xdr:rowOff>161925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41B04DD-947C-DD44-AC2A-DDF940D1783F}"/>
            </a:ext>
          </a:extLst>
        </xdr:cNvPr>
        <xdr:cNvSpPr txBox="1"/>
      </xdr:nvSpPr>
      <xdr:spPr>
        <a:xfrm>
          <a:off x="1809750" y="4162425"/>
          <a:ext cx="2971800" cy="2590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Factor A</a:t>
          </a:r>
          <a:r>
            <a:rPr lang="en-US" sz="1100" baseline="0"/>
            <a:t> Ho: Preparation program mean test scores are the same. </a:t>
          </a:r>
          <a:r>
            <a:rPr lang="en-US" sz="1100" baseline="0">
              <a:solidFill>
                <a:schemeClr val="tx2">
                  <a:lumMod val="50000"/>
                  <a:lumOff val="50000"/>
                </a:schemeClr>
              </a:solidFill>
            </a:rPr>
            <a:t>Do Not Reject (0.299)</a:t>
          </a:r>
        </a:p>
        <a:p>
          <a:endParaRPr lang="en-US" sz="1100" baseline="0"/>
        </a:p>
        <a:p>
          <a:r>
            <a:rPr lang="en-US" sz="1100" baseline="0"/>
            <a:t>Factor B Ho: College mean test scores are the same.  </a:t>
          </a:r>
          <a:r>
            <a:rPr lang="en-US" sz="1100" baseline="0">
              <a:solidFill>
                <a:schemeClr val="tx2">
                  <a:lumMod val="50000"/>
                  <a:lumOff val="50000"/>
                </a:schemeClr>
              </a:solidFill>
            </a:rPr>
            <a:t>Reject  (0.0047)</a:t>
          </a:r>
        </a:p>
        <a:p>
          <a:endParaRPr lang="en-US" sz="1100" baseline="0">
            <a:solidFill>
              <a:schemeClr val="tx2">
                <a:lumMod val="50000"/>
                <a:lumOff val="50000"/>
              </a:schemeClr>
            </a:solidFill>
          </a:endParaRPr>
        </a:p>
        <a:p>
          <a:r>
            <a:rPr lang="en-US" sz="1100" baseline="0">
              <a:solidFill>
                <a:sysClr val="windowText" lastClr="000000"/>
              </a:solidFill>
            </a:rPr>
            <a:t>Interaction Ho: Preparation programs are equally able to prepare students from all colleges for exam (no interaction).  </a:t>
          </a:r>
          <a:r>
            <a:rPr lang="en-US" sz="1100" baseline="0">
              <a:solidFill>
                <a:schemeClr val="tx2">
                  <a:lumMod val="50000"/>
                  <a:lumOff val="50000"/>
                </a:schemeClr>
              </a:solidFill>
            </a:rPr>
            <a:t>Do Not Reject (0.350)</a:t>
          </a:r>
        </a:p>
        <a:p>
          <a:endParaRPr lang="en-US" sz="1100" baseline="0">
            <a:solidFill>
              <a:schemeClr val="tx2">
                <a:lumMod val="50000"/>
                <a:lumOff val="50000"/>
              </a:schemeClr>
            </a:solidFill>
          </a:endParaRPr>
        </a:p>
        <a:p>
          <a:r>
            <a:rPr lang="en-US" sz="1100" baseline="0">
              <a:solidFill>
                <a:srgbClr val="00B050"/>
              </a:solidFill>
            </a:rPr>
            <a:t>When p-value &lt;a, reject Ho</a:t>
          </a:r>
        </a:p>
        <a:p>
          <a:endParaRPr lang="en-US" sz="110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6ACD-E6B3-42CE-BD7A-C0A4AB794832}">
  <dimension ref="A1:L18"/>
  <sheetViews>
    <sheetView topLeftCell="A4" workbookViewId="0">
      <selection activeCell="B17" sqref="B17"/>
    </sheetView>
  </sheetViews>
  <sheetFormatPr defaultRowHeight="15" x14ac:dyDescent="0.25"/>
  <cols>
    <col min="1" max="1" width="19.7109375" bestFit="1" customWidth="1"/>
    <col min="2" max="2" width="12.85546875" bestFit="1" customWidth="1"/>
    <col min="3" max="3" width="13.28515625" bestFit="1" customWidth="1"/>
    <col min="4" max="4" width="3.85546875" customWidth="1"/>
    <col min="5" max="5" width="4" customWidth="1"/>
    <col min="6" max="6" width="19" bestFit="1" customWidth="1"/>
  </cols>
  <sheetData>
    <row r="1" spans="1:12" ht="15.75" x14ac:dyDescent="0.25">
      <c r="A1" s="1" t="s">
        <v>0</v>
      </c>
      <c r="B1" s="1" t="s">
        <v>1</v>
      </c>
      <c r="C1" s="1" t="s">
        <v>2</v>
      </c>
    </row>
    <row r="2" spans="1:12" x14ac:dyDescent="0.25">
      <c r="A2" s="2">
        <v>58</v>
      </c>
      <c r="B2" s="2">
        <v>58</v>
      </c>
      <c r="C2" s="2">
        <v>48</v>
      </c>
      <c r="F2" t="s">
        <v>6</v>
      </c>
    </row>
    <row r="3" spans="1:12" x14ac:dyDescent="0.25">
      <c r="A3" s="2">
        <v>64</v>
      </c>
      <c r="B3" s="2">
        <v>69</v>
      </c>
      <c r="C3" s="2">
        <v>57</v>
      </c>
    </row>
    <row r="4" spans="1:12" ht="15.75" thickBot="1" x14ac:dyDescent="0.3">
      <c r="A4" s="2">
        <v>55</v>
      </c>
      <c r="B4" s="2">
        <v>71</v>
      </c>
      <c r="C4" s="2">
        <v>59</v>
      </c>
      <c r="F4" t="s">
        <v>7</v>
      </c>
    </row>
    <row r="5" spans="1:12" x14ac:dyDescent="0.25">
      <c r="A5" s="2">
        <v>66</v>
      </c>
      <c r="B5" s="2">
        <v>64</v>
      </c>
      <c r="C5" s="2">
        <v>47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spans="1:12" x14ac:dyDescent="0.25">
      <c r="A6" s="2">
        <v>67</v>
      </c>
      <c r="B6" s="2">
        <v>68</v>
      </c>
      <c r="C6" s="2">
        <v>49</v>
      </c>
      <c r="F6" s="3" t="s">
        <v>0</v>
      </c>
      <c r="G6" s="3">
        <v>5</v>
      </c>
      <c r="H6" s="3">
        <v>310</v>
      </c>
      <c r="I6" s="3">
        <v>62</v>
      </c>
      <c r="J6" s="3">
        <v>27.5</v>
      </c>
    </row>
    <row r="7" spans="1:12" x14ac:dyDescent="0.25">
      <c r="F7" s="3" t="s">
        <v>1</v>
      </c>
      <c r="G7" s="3">
        <v>5</v>
      </c>
      <c r="H7" s="3">
        <v>330</v>
      </c>
      <c r="I7" s="3">
        <v>66</v>
      </c>
      <c r="J7" s="3">
        <v>26.5</v>
      </c>
    </row>
    <row r="8" spans="1:12" ht="15.75" thickBot="1" x14ac:dyDescent="0.3">
      <c r="F8" s="4" t="s">
        <v>2</v>
      </c>
      <c r="G8" s="4">
        <v>5</v>
      </c>
      <c r="H8" s="4">
        <v>260</v>
      </c>
      <c r="I8" s="4">
        <v>52</v>
      </c>
      <c r="J8" s="4">
        <v>31</v>
      </c>
    </row>
    <row r="9" spans="1:12" x14ac:dyDescent="0.25">
      <c r="A9" t="s">
        <v>3</v>
      </c>
      <c r="B9" t="s">
        <v>4</v>
      </c>
      <c r="C9" t="s">
        <v>5</v>
      </c>
    </row>
    <row r="10" spans="1:12" x14ac:dyDescent="0.25">
      <c r="A10">
        <f>AVERAGE(A2:A6)</f>
        <v>62</v>
      </c>
      <c r="B10">
        <f t="shared" ref="B10:C10" si="0">AVERAGE(B2:B6)</f>
        <v>66</v>
      </c>
      <c r="C10">
        <f t="shared" si="0"/>
        <v>52</v>
      </c>
    </row>
    <row r="11" spans="1:12" ht="15.75" thickBot="1" x14ac:dyDescent="0.3">
      <c r="A11" t="s">
        <v>26</v>
      </c>
      <c r="B11" t="s">
        <v>27</v>
      </c>
      <c r="C11" t="s">
        <v>28</v>
      </c>
      <c r="F11" t="s">
        <v>13</v>
      </c>
    </row>
    <row r="12" spans="1:12" x14ac:dyDescent="0.25">
      <c r="A12">
        <f>_xlfn.VAR.S(A2:A6)</f>
        <v>27.5</v>
      </c>
      <c r="B12">
        <f t="shared" ref="B12:C12" si="1">_xlfn.VAR.S(B2:B6)</f>
        <v>26.5</v>
      </c>
      <c r="C12">
        <f t="shared" si="1"/>
        <v>31</v>
      </c>
      <c r="F12" s="5" t="s">
        <v>14</v>
      </c>
      <c r="G12" s="5" t="s">
        <v>15</v>
      </c>
      <c r="H12" s="5" t="s">
        <v>16</v>
      </c>
      <c r="I12" s="5" t="s">
        <v>17</v>
      </c>
      <c r="J12" s="5" t="s">
        <v>18</v>
      </c>
      <c r="K12" s="5" t="s">
        <v>19</v>
      </c>
      <c r="L12" s="5" t="s">
        <v>20</v>
      </c>
    </row>
    <row r="13" spans="1:12" ht="27" customHeight="1" x14ac:dyDescent="0.25">
      <c r="A13" s="6" t="s">
        <v>24</v>
      </c>
      <c r="B13">
        <f>AVERAGE(A10:C10)</f>
        <v>60</v>
      </c>
      <c r="F13" s="3" t="s">
        <v>21</v>
      </c>
      <c r="G13" s="3">
        <v>520</v>
      </c>
      <c r="H13" s="3">
        <v>2</v>
      </c>
      <c r="I13" s="3">
        <v>260</v>
      </c>
      <c r="J13" s="10">
        <v>9.1764705882352953</v>
      </c>
      <c r="K13" s="9">
        <v>3.8184120755124845E-3</v>
      </c>
      <c r="L13" s="9">
        <v>3.8852938346523942</v>
      </c>
    </row>
    <row r="14" spans="1:12" x14ac:dyDescent="0.25">
      <c r="A14" t="s">
        <v>25</v>
      </c>
      <c r="B14">
        <f>_xlfn.VAR.S(A10:C10)</f>
        <v>52</v>
      </c>
      <c r="F14" s="3" t="s">
        <v>22</v>
      </c>
      <c r="G14" s="3">
        <v>340</v>
      </c>
      <c r="H14" s="3">
        <v>12</v>
      </c>
      <c r="I14" s="3">
        <v>28.333333333333332</v>
      </c>
      <c r="J14" s="3"/>
      <c r="K14" s="3"/>
      <c r="L14" s="3"/>
    </row>
    <row r="15" spans="1:12" ht="45" x14ac:dyDescent="0.25">
      <c r="A15" s="6" t="s">
        <v>29</v>
      </c>
      <c r="B15">
        <f>B14*5</f>
        <v>260</v>
      </c>
      <c r="F15" s="3"/>
      <c r="G15" s="3"/>
      <c r="H15" s="3"/>
      <c r="I15" s="3"/>
      <c r="J15" s="3"/>
      <c r="K15" s="3"/>
      <c r="L15" s="3"/>
    </row>
    <row r="16" spans="1:12" ht="45.75" thickBot="1" x14ac:dyDescent="0.3">
      <c r="A16" s="6" t="s">
        <v>30</v>
      </c>
      <c r="B16" s="8">
        <f>AVERAGE(A12:C12)</f>
        <v>28.333333333333332</v>
      </c>
      <c r="F16" s="4" t="s">
        <v>23</v>
      </c>
      <c r="G16" s="4">
        <v>860</v>
      </c>
      <c r="H16" s="4">
        <v>14</v>
      </c>
      <c r="I16" s="4"/>
      <c r="J16" s="4"/>
      <c r="K16" s="4"/>
      <c r="L16" s="4"/>
    </row>
    <row r="17" spans="1:2" x14ac:dyDescent="0.25">
      <c r="A17" s="6" t="s">
        <v>32</v>
      </c>
      <c r="B17">
        <f>G13</f>
        <v>520</v>
      </c>
    </row>
    <row r="18" spans="1:2" x14ac:dyDescent="0.25">
      <c r="A18" s="6" t="s">
        <v>31</v>
      </c>
      <c r="B18">
        <f>G14</f>
        <v>340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C7D04-AF20-420A-9806-A253E2D1AC8E}">
  <dimension ref="A3:L14"/>
  <sheetViews>
    <sheetView topLeftCell="A4" workbookViewId="0">
      <selection activeCell="A10" sqref="A10"/>
    </sheetView>
  </sheetViews>
  <sheetFormatPr defaultRowHeight="15" x14ac:dyDescent="0.25"/>
  <cols>
    <col min="1" max="2" width="14.7109375" bestFit="1" customWidth="1"/>
    <col min="8" max="8" width="14.7109375" bestFit="1" customWidth="1"/>
    <col min="9" max="9" width="12.7109375" customWidth="1"/>
    <col min="10" max="10" width="27.140625" bestFit="1" customWidth="1"/>
  </cols>
  <sheetData>
    <row r="3" spans="1:12" x14ac:dyDescent="0.25">
      <c r="A3" t="s">
        <v>33</v>
      </c>
      <c r="B3" t="s">
        <v>4</v>
      </c>
    </row>
    <row r="4" spans="1:12" x14ac:dyDescent="0.25">
      <c r="A4">
        <v>62</v>
      </c>
      <c r="B4">
        <v>66</v>
      </c>
      <c r="I4" t="s">
        <v>40</v>
      </c>
      <c r="J4">
        <v>0.05</v>
      </c>
      <c r="L4" t="s">
        <v>44</v>
      </c>
    </row>
    <row r="5" spans="1:12" x14ac:dyDescent="0.25">
      <c r="L5">
        <f>_xlfn.T.INV.2T(J4,C7)</f>
        <v>2.1788128296672284</v>
      </c>
    </row>
    <row r="6" spans="1:12" x14ac:dyDescent="0.25">
      <c r="A6" t="s">
        <v>35</v>
      </c>
      <c r="B6" t="s">
        <v>36</v>
      </c>
      <c r="C6" t="s">
        <v>38</v>
      </c>
      <c r="I6" t="s">
        <v>41</v>
      </c>
      <c r="J6" t="s">
        <v>77</v>
      </c>
      <c r="K6" t="s">
        <v>42</v>
      </c>
      <c r="L6" t="s">
        <v>43</v>
      </c>
    </row>
    <row r="7" spans="1:12" x14ac:dyDescent="0.25">
      <c r="A7">
        <f>5</f>
        <v>5</v>
      </c>
      <c r="B7">
        <v>5</v>
      </c>
      <c r="C7">
        <v>12</v>
      </c>
    </row>
    <row r="8" spans="1:12" ht="30" x14ac:dyDescent="0.25">
      <c r="H8" s="37" t="s">
        <v>78</v>
      </c>
      <c r="I8" t="s">
        <v>41</v>
      </c>
      <c r="J8" t="s">
        <v>45</v>
      </c>
      <c r="K8" t="s">
        <v>42</v>
      </c>
      <c r="L8" t="s">
        <v>43</v>
      </c>
    </row>
    <row r="9" spans="1:12" x14ac:dyDescent="0.25">
      <c r="A9" t="s">
        <v>37</v>
      </c>
      <c r="I9" t="s">
        <v>41</v>
      </c>
      <c r="J9">
        <f>ABS(A4-B4)</f>
        <v>4</v>
      </c>
      <c r="K9" t="s">
        <v>42</v>
      </c>
      <c r="L9" s="7">
        <f>L5*SQRT(A10*(1/A7+1/B7))</f>
        <v>7.3349769776636098</v>
      </c>
    </row>
    <row r="10" spans="1:12" x14ac:dyDescent="0.25">
      <c r="A10" s="39">
        <v>28.333333333333332</v>
      </c>
    </row>
    <row r="12" spans="1:12" x14ac:dyDescent="0.25">
      <c r="A12" t="s">
        <v>34</v>
      </c>
      <c r="B12" s="8">
        <f>(A4-B4)/SQRT(A10*(1/A7+1/B7))</f>
        <v>-1.1881770515720091</v>
      </c>
    </row>
    <row r="14" spans="1:12" x14ac:dyDescent="0.25">
      <c r="A14" t="s">
        <v>39</v>
      </c>
      <c r="B14">
        <f>_xlfn.T.DIST.2T(ABS(B12),C7)</f>
        <v>0.25774808096921081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3EBF1-2996-4C55-A160-6714EC7D2FBD}">
  <dimension ref="A1:R20"/>
  <sheetViews>
    <sheetView tabSelected="1" topLeftCell="B1" workbookViewId="0">
      <selection activeCell="M47" sqref="M47"/>
    </sheetView>
  </sheetViews>
  <sheetFormatPr defaultRowHeight="15" x14ac:dyDescent="0.25"/>
  <cols>
    <col min="1" max="3" width="10.7109375" bestFit="1" customWidth="1"/>
    <col min="10" max="10" width="17.5703125" bestFit="1" customWidth="1"/>
    <col min="11" max="11" width="12.140625" bestFit="1" customWidth="1"/>
  </cols>
  <sheetData>
    <row r="1" spans="1:15" ht="15.75" x14ac:dyDescent="0.25">
      <c r="A1" s="1" t="s">
        <v>0</v>
      </c>
      <c r="B1" s="1" t="s">
        <v>1</v>
      </c>
      <c r="C1" s="1" t="s">
        <v>2</v>
      </c>
      <c r="F1" s="1" t="s">
        <v>79</v>
      </c>
      <c r="G1" s="1" t="s">
        <v>80</v>
      </c>
      <c r="H1" s="1" t="s">
        <v>81</v>
      </c>
    </row>
    <row r="2" spans="1:15" x14ac:dyDescent="0.25">
      <c r="A2" s="2">
        <v>58</v>
      </c>
      <c r="B2" s="2">
        <v>58</v>
      </c>
      <c r="C2" s="2">
        <v>48</v>
      </c>
      <c r="F2" s="2">
        <v>1</v>
      </c>
      <c r="G2" s="2">
        <v>0</v>
      </c>
      <c r="H2" s="2">
        <v>58</v>
      </c>
      <c r="J2" t="s">
        <v>82</v>
      </c>
    </row>
    <row r="3" spans="1:15" ht="15.75" thickBot="1" x14ac:dyDescent="0.3">
      <c r="A3" s="2">
        <v>64</v>
      </c>
      <c r="B3" s="2">
        <v>69</v>
      </c>
      <c r="C3" s="2">
        <v>57</v>
      </c>
      <c r="F3" s="2">
        <v>1</v>
      </c>
      <c r="G3" s="2">
        <v>0</v>
      </c>
      <c r="H3" s="2">
        <v>64</v>
      </c>
    </row>
    <row r="4" spans="1:15" x14ac:dyDescent="0.25">
      <c r="A4" s="2">
        <v>55</v>
      </c>
      <c r="B4" s="2">
        <v>71</v>
      </c>
      <c r="C4" s="2">
        <v>59</v>
      </c>
      <c r="F4" s="2">
        <v>1</v>
      </c>
      <c r="G4" s="2">
        <v>0</v>
      </c>
      <c r="H4" s="2">
        <v>55</v>
      </c>
      <c r="J4" s="38" t="s">
        <v>83</v>
      </c>
      <c r="K4" s="38"/>
    </row>
    <row r="5" spans="1:15" x14ac:dyDescent="0.25">
      <c r="A5" s="2">
        <v>66</v>
      </c>
      <c r="B5" s="2">
        <v>64</v>
      </c>
      <c r="C5" s="2">
        <v>47</v>
      </c>
      <c r="F5" s="2">
        <v>1</v>
      </c>
      <c r="G5" s="2">
        <v>0</v>
      </c>
      <c r="H5" s="2">
        <v>66</v>
      </c>
      <c r="J5" s="3" t="s">
        <v>84</v>
      </c>
      <c r="K5" s="3">
        <v>0.77759318592095295</v>
      </c>
    </row>
    <row r="6" spans="1:15" x14ac:dyDescent="0.25">
      <c r="A6" s="2">
        <v>67</v>
      </c>
      <c r="B6" s="2">
        <v>68</v>
      </c>
      <c r="C6" s="2">
        <v>49</v>
      </c>
      <c r="F6" s="2">
        <v>1</v>
      </c>
      <c r="G6" s="2">
        <v>0</v>
      </c>
      <c r="H6" s="2">
        <v>67</v>
      </c>
      <c r="J6" s="3" t="s">
        <v>85</v>
      </c>
      <c r="K6" s="3">
        <v>0.60465116279069764</v>
      </c>
    </row>
    <row r="7" spans="1:15" x14ac:dyDescent="0.25">
      <c r="F7" s="2">
        <v>0</v>
      </c>
      <c r="G7" s="2">
        <v>1</v>
      </c>
      <c r="H7" s="2">
        <v>58</v>
      </c>
      <c r="J7" s="3" t="s">
        <v>86</v>
      </c>
      <c r="K7" s="3">
        <v>0.53875968992248058</v>
      </c>
    </row>
    <row r="8" spans="1:15" x14ac:dyDescent="0.25">
      <c r="F8" s="2">
        <v>0</v>
      </c>
      <c r="G8" s="2">
        <v>1</v>
      </c>
      <c r="H8" s="2">
        <v>69</v>
      </c>
      <c r="J8" s="3" t="s">
        <v>87</v>
      </c>
      <c r="K8" s="3">
        <v>5.3229064742237702</v>
      </c>
    </row>
    <row r="9" spans="1:15" ht="15.75" thickBot="1" x14ac:dyDescent="0.3">
      <c r="F9" s="2">
        <v>0</v>
      </c>
      <c r="G9" s="2">
        <v>1</v>
      </c>
      <c r="H9" s="2">
        <v>71</v>
      </c>
      <c r="J9" s="4" t="s">
        <v>88</v>
      </c>
      <c r="K9" s="4">
        <v>15</v>
      </c>
    </row>
    <row r="10" spans="1:15" x14ac:dyDescent="0.25">
      <c r="F10" s="2">
        <v>0</v>
      </c>
      <c r="G10" s="2">
        <v>1</v>
      </c>
      <c r="H10" s="2">
        <v>64</v>
      </c>
    </row>
    <row r="11" spans="1:15" ht="15.75" thickBot="1" x14ac:dyDescent="0.3">
      <c r="F11" s="2">
        <v>0</v>
      </c>
      <c r="G11" s="2">
        <v>1</v>
      </c>
      <c r="H11" s="2">
        <v>68</v>
      </c>
      <c r="J11" t="s">
        <v>13</v>
      </c>
    </row>
    <row r="12" spans="1:15" x14ac:dyDescent="0.25">
      <c r="F12" s="2">
        <v>0</v>
      </c>
      <c r="G12" s="2">
        <v>0</v>
      </c>
      <c r="H12" s="2">
        <v>48</v>
      </c>
      <c r="J12" s="5"/>
      <c r="K12" s="5" t="s">
        <v>16</v>
      </c>
      <c r="L12" s="5" t="s">
        <v>15</v>
      </c>
      <c r="M12" s="5" t="s">
        <v>17</v>
      </c>
      <c r="N12" s="5" t="s">
        <v>18</v>
      </c>
      <c r="O12" s="5" t="s">
        <v>92</v>
      </c>
    </row>
    <row r="13" spans="1:15" x14ac:dyDescent="0.25">
      <c r="F13" s="2">
        <v>0</v>
      </c>
      <c r="G13" s="2">
        <v>0</v>
      </c>
      <c r="H13" s="2">
        <v>57</v>
      </c>
      <c r="J13" s="3" t="s">
        <v>89</v>
      </c>
      <c r="K13" s="3">
        <v>2</v>
      </c>
      <c r="L13" s="3">
        <v>520</v>
      </c>
      <c r="M13" s="3">
        <v>260</v>
      </c>
      <c r="N13" s="3">
        <v>9.1764705882352953</v>
      </c>
      <c r="O13" s="3">
        <v>3.8184120755124845E-3</v>
      </c>
    </row>
    <row r="14" spans="1:15" x14ac:dyDescent="0.25">
      <c r="F14" s="2">
        <v>0</v>
      </c>
      <c r="G14" s="2">
        <v>0</v>
      </c>
      <c r="H14" s="2">
        <v>59</v>
      </c>
      <c r="J14" s="3" t="s">
        <v>90</v>
      </c>
      <c r="K14" s="3">
        <v>12</v>
      </c>
      <c r="L14" s="3">
        <v>340</v>
      </c>
      <c r="M14" s="40">
        <v>28.333333333333332</v>
      </c>
      <c r="N14" s="3"/>
      <c r="O14" s="3"/>
    </row>
    <row r="15" spans="1:15" ht="15.75" thickBot="1" x14ac:dyDescent="0.3">
      <c r="F15" s="2">
        <v>0</v>
      </c>
      <c r="G15" s="2">
        <v>0</v>
      </c>
      <c r="H15" s="2">
        <v>47</v>
      </c>
      <c r="J15" s="4" t="s">
        <v>23</v>
      </c>
      <c r="K15" s="4">
        <v>14</v>
      </c>
      <c r="L15" s="4">
        <v>860</v>
      </c>
      <c r="M15" s="4"/>
      <c r="N15" s="4"/>
      <c r="O15" s="4"/>
    </row>
    <row r="16" spans="1:15" ht="15.75" thickBot="1" x14ac:dyDescent="0.3">
      <c r="F16" s="2">
        <v>0</v>
      </c>
      <c r="G16" s="2">
        <v>0</v>
      </c>
      <c r="H16" s="2">
        <v>49</v>
      </c>
    </row>
    <row r="17" spans="10:18" x14ac:dyDescent="0.25">
      <c r="J17" s="5"/>
      <c r="K17" s="5" t="s">
        <v>93</v>
      </c>
      <c r="L17" s="5" t="s">
        <v>87</v>
      </c>
      <c r="M17" s="5" t="s">
        <v>94</v>
      </c>
      <c r="N17" s="5" t="s">
        <v>19</v>
      </c>
      <c r="O17" s="5" t="s">
        <v>95</v>
      </c>
      <c r="P17" s="5" t="s">
        <v>96</v>
      </c>
      <c r="Q17" s="5" t="s">
        <v>97</v>
      </c>
      <c r="R17" s="5" t="s">
        <v>98</v>
      </c>
    </row>
    <row r="18" spans="10:18" x14ac:dyDescent="0.25">
      <c r="J18" s="3" t="s">
        <v>91</v>
      </c>
      <c r="K18" s="3">
        <v>52</v>
      </c>
      <c r="L18" s="3">
        <v>2.3804761428476171</v>
      </c>
      <c r="M18" s="3">
        <v>21.844369310836949</v>
      </c>
      <c r="N18" s="3">
        <v>4.9684652473898513E-11</v>
      </c>
      <c r="O18" s="3">
        <v>46.813388039246853</v>
      </c>
      <c r="P18" s="3">
        <v>57.186611960753147</v>
      </c>
      <c r="Q18" s="3">
        <v>46.813388039246853</v>
      </c>
      <c r="R18" s="3">
        <v>57.186611960753147</v>
      </c>
    </row>
    <row r="19" spans="10:18" x14ac:dyDescent="0.25">
      <c r="J19" s="3" t="s">
        <v>79</v>
      </c>
      <c r="K19" s="3">
        <v>9.9999999999999982</v>
      </c>
      <c r="L19" s="3">
        <v>3.366501646120692</v>
      </c>
      <c r="M19" s="3">
        <v>2.970442628930023</v>
      </c>
      <c r="N19" s="3">
        <v>1.1691565553439491E-2</v>
      </c>
      <c r="O19" s="3">
        <v>2.6650230223363911</v>
      </c>
      <c r="P19" s="3">
        <v>17.334976977663604</v>
      </c>
      <c r="Q19" s="3">
        <v>2.6650230223363911</v>
      </c>
      <c r="R19" s="3">
        <v>17.334976977663604</v>
      </c>
    </row>
    <row r="20" spans="10:18" ht="15.75" thickBot="1" x14ac:dyDescent="0.3">
      <c r="J20" s="4" t="s">
        <v>80</v>
      </c>
      <c r="K20" s="4">
        <v>14.000000000000002</v>
      </c>
      <c r="L20" s="4">
        <v>3.3665016461206929</v>
      </c>
      <c r="M20" s="4">
        <v>4.1586196805020323</v>
      </c>
      <c r="N20" s="4">
        <v>1.3260532637609746E-3</v>
      </c>
      <c r="O20" s="4">
        <v>6.665023022336392</v>
      </c>
      <c r="P20" s="4">
        <v>21.334976977663612</v>
      </c>
      <c r="Q20" s="4">
        <v>6.665023022336392</v>
      </c>
      <c r="R20" s="4">
        <v>21.334976977663612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9815-6337-45C9-BE55-AF907EC29C31}">
  <dimension ref="A1:L15"/>
  <sheetViews>
    <sheetView zoomScale="79" workbookViewId="0">
      <selection activeCell="K12" sqref="K12"/>
    </sheetView>
  </sheetViews>
  <sheetFormatPr defaultRowHeight="15" x14ac:dyDescent="0.25"/>
  <cols>
    <col min="1" max="1" width="10.7109375" bestFit="1" customWidth="1"/>
    <col min="2" max="4" width="10.140625" bestFit="1" customWidth="1"/>
    <col min="6" max="6" width="28" bestFit="1" customWidth="1"/>
    <col min="7" max="9" width="25.5703125" bestFit="1" customWidth="1"/>
    <col min="10" max="10" width="7.140625" customWidth="1"/>
    <col min="11" max="11" width="25.85546875" bestFit="1" customWidth="1"/>
    <col min="12" max="12" width="12" bestFit="1" customWidth="1"/>
  </cols>
  <sheetData>
    <row r="1" spans="1:12" ht="30" customHeight="1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65</v>
      </c>
      <c r="G1" s="13" t="s">
        <v>64</v>
      </c>
      <c r="H1" s="13" t="s">
        <v>64</v>
      </c>
      <c r="I1" s="13" t="s">
        <v>64</v>
      </c>
      <c r="K1" t="s">
        <v>66</v>
      </c>
    </row>
    <row r="2" spans="1:12" x14ac:dyDescent="0.25">
      <c r="A2" s="12">
        <v>1</v>
      </c>
      <c r="B2" s="2">
        <v>15</v>
      </c>
      <c r="C2" s="2">
        <v>15</v>
      </c>
      <c r="D2" s="2">
        <v>18</v>
      </c>
      <c r="E2">
        <f>AVERAGE(B2:D2)</f>
        <v>16</v>
      </c>
      <c r="G2">
        <f t="shared" ref="G2:I7" si="0">(B2-$B$12)^2</f>
        <v>1</v>
      </c>
      <c r="H2">
        <f t="shared" si="0"/>
        <v>1</v>
      </c>
      <c r="I2">
        <f t="shared" si="0"/>
        <v>16</v>
      </c>
      <c r="K2">
        <f>(E2-$B$12)^2</f>
        <v>4</v>
      </c>
    </row>
    <row r="3" spans="1:12" x14ac:dyDescent="0.25">
      <c r="A3" s="12">
        <v>2</v>
      </c>
      <c r="B3" s="2">
        <v>14</v>
      </c>
      <c r="C3" s="2">
        <v>14</v>
      </c>
      <c r="D3" s="2">
        <v>14</v>
      </c>
      <c r="E3">
        <f t="shared" ref="E3:E7" si="1">AVERAGE(B3:D3)</f>
        <v>14</v>
      </c>
      <c r="G3">
        <f t="shared" si="0"/>
        <v>0</v>
      </c>
      <c r="H3">
        <f t="shared" si="0"/>
        <v>0</v>
      </c>
      <c r="I3">
        <f t="shared" si="0"/>
        <v>0</v>
      </c>
      <c r="K3">
        <f t="shared" ref="K3:K7" si="2">(E3-$B$12)^2</f>
        <v>0</v>
      </c>
    </row>
    <row r="4" spans="1:12" x14ac:dyDescent="0.25">
      <c r="A4" s="12">
        <v>3</v>
      </c>
      <c r="B4" s="2">
        <v>10</v>
      </c>
      <c r="C4" s="2">
        <v>11</v>
      </c>
      <c r="D4" s="2">
        <v>15</v>
      </c>
      <c r="E4">
        <f t="shared" si="1"/>
        <v>12</v>
      </c>
      <c r="G4">
        <f t="shared" si="0"/>
        <v>16</v>
      </c>
      <c r="H4">
        <f t="shared" si="0"/>
        <v>9</v>
      </c>
      <c r="I4">
        <f t="shared" si="0"/>
        <v>1</v>
      </c>
      <c r="K4">
        <f t="shared" si="2"/>
        <v>4</v>
      </c>
    </row>
    <row r="5" spans="1:12" x14ac:dyDescent="0.25">
      <c r="A5" s="12">
        <v>4</v>
      </c>
      <c r="B5" s="2">
        <v>13</v>
      </c>
      <c r="C5" s="2">
        <v>12</v>
      </c>
      <c r="D5" s="2">
        <v>17</v>
      </c>
      <c r="E5">
        <f t="shared" si="1"/>
        <v>14</v>
      </c>
      <c r="G5">
        <f t="shared" si="0"/>
        <v>1</v>
      </c>
      <c r="H5">
        <f t="shared" si="0"/>
        <v>4</v>
      </c>
      <c r="I5">
        <f t="shared" si="0"/>
        <v>9</v>
      </c>
      <c r="K5">
        <f t="shared" si="2"/>
        <v>0</v>
      </c>
    </row>
    <row r="6" spans="1:12" x14ac:dyDescent="0.25">
      <c r="A6" s="12">
        <v>5</v>
      </c>
      <c r="B6" s="2">
        <v>16</v>
      </c>
      <c r="C6" s="2">
        <v>13</v>
      </c>
      <c r="D6" s="2">
        <v>16</v>
      </c>
      <c r="E6">
        <f t="shared" si="1"/>
        <v>15</v>
      </c>
      <c r="G6">
        <f t="shared" si="0"/>
        <v>4</v>
      </c>
      <c r="H6">
        <f t="shared" si="0"/>
        <v>1</v>
      </c>
      <c r="I6">
        <f t="shared" si="0"/>
        <v>4</v>
      </c>
      <c r="K6">
        <f t="shared" si="2"/>
        <v>1</v>
      </c>
    </row>
    <row r="7" spans="1:12" x14ac:dyDescent="0.25">
      <c r="A7" s="12">
        <v>6</v>
      </c>
      <c r="B7" s="2">
        <v>13</v>
      </c>
      <c r="C7" s="2">
        <v>13</v>
      </c>
      <c r="D7" s="2">
        <v>13</v>
      </c>
      <c r="E7">
        <f t="shared" si="1"/>
        <v>13</v>
      </c>
      <c r="G7">
        <f t="shared" si="0"/>
        <v>1</v>
      </c>
      <c r="H7">
        <f t="shared" si="0"/>
        <v>1</v>
      </c>
      <c r="I7">
        <f t="shared" si="0"/>
        <v>1</v>
      </c>
      <c r="K7">
        <f t="shared" si="2"/>
        <v>1</v>
      </c>
    </row>
    <row r="9" spans="1:12" x14ac:dyDescent="0.25">
      <c r="B9" t="s">
        <v>3</v>
      </c>
      <c r="C9" t="s">
        <v>4</v>
      </c>
      <c r="D9" t="s">
        <v>5</v>
      </c>
    </row>
    <row r="10" spans="1:12" ht="15.75" thickBot="1" x14ac:dyDescent="0.3">
      <c r="B10">
        <f>AVERAGE(B2:B7)</f>
        <v>13.5</v>
      </c>
      <c r="C10">
        <f t="shared" ref="C10:D10" si="3">AVERAGE(C2:C7)</f>
        <v>13</v>
      </c>
      <c r="D10">
        <f t="shared" si="3"/>
        <v>15.5</v>
      </c>
    </row>
    <row r="11" spans="1:12" ht="45" x14ac:dyDescent="0.25">
      <c r="G11" s="14" t="s">
        <v>14</v>
      </c>
      <c r="H11" s="15" t="s">
        <v>58</v>
      </c>
      <c r="I11" s="16" t="s">
        <v>59</v>
      </c>
      <c r="J11" s="17" t="s">
        <v>60</v>
      </c>
      <c r="K11" s="16" t="s">
        <v>18</v>
      </c>
      <c r="L11" s="18" t="s">
        <v>61</v>
      </c>
    </row>
    <row r="12" spans="1:12" ht="45" x14ac:dyDescent="0.25">
      <c r="A12" s="6" t="s">
        <v>24</v>
      </c>
      <c r="B12">
        <f>AVERAGE(B10:D10)</f>
        <v>14</v>
      </c>
      <c r="G12" s="19" t="s">
        <v>62</v>
      </c>
      <c r="H12" s="20">
        <f>COUNT(A2:A7)*((B10-B12)^2+(C10-B12)^2+(D10-B12)^2)</f>
        <v>21</v>
      </c>
      <c r="I12" s="20">
        <f>COUNTA(B1:D1)-1</f>
        <v>2</v>
      </c>
      <c r="J12" s="20">
        <f>H12/I12</f>
        <v>10.5</v>
      </c>
      <c r="K12" s="20">
        <f>J12/J14</f>
        <v>5.5263157894736841</v>
      </c>
      <c r="L12" s="21">
        <f>1-_xlfn.F.DIST(K12,I12,I14,TRUE)</f>
        <v>2.4180654296874993E-2</v>
      </c>
    </row>
    <row r="13" spans="1:12" x14ac:dyDescent="0.25">
      <c r="G13" s="19" t="s">
        <v>63</v>
      </c>
      <c r="H13" s="20">
        <f>COUNTA(B1:D1)*SUM(K2:K7)</f>
        <v>30</v>
      </c>
      <c r="I13" s="20">
        <f>COUNT(A2:A7)-1</f>
        <v>5</v>
      </c>
      <c r="J13" s="20">
        <f>H13/I13</f>
        <v>6</v>
      </c>
      <c r="K13" s="20"/>
      <c r="L13" s="21"/>
    </row>
    <row r="14" spans="1:12" x14ac:dyDescent="0.25">
      <c r="G14" s="19" t="s">
        <v>53</v>
      </c>
      <c r="H14" s="20">
        <f>H15-H12-H13</f>
        <v>19</v>
      </c>
      <c r="I14" s="20">
        <f>I12*I13</f>
        <v>10</v>
      </c>
      <c r="J14" s="20">
        <f>H14/I14</f>
        <v>1.9</v>
      </c>
      <c r="K14" s="20"/>
      <c r="L14" s="21"/>
    </row>
    <row r="15" spans="1:12" ht="15.75" thickBot="1" x14ac:dyDescent="0.3">
      <c r="G15" s="22" t="s">
        <v>23</v>
      </c>
      <c r="H15" s="23">
        <f>SUM(G2:I7)</f>
        <v>70</v>
      </c>
      <c r="I15" s="23">
        <f>COUNT(B2:D7)-1</f>
        <v>17</v>
      </c>
      <c r="J15" s="23"/>
      <c r="K15" s="23"/>
      <c r="L15" s="24"/>
    </row>
  </sheetData>
  <phoneticPr fontId="6" type="noConversion"/>
  <pageMargins left="0.7" right="0.7" top="0.75" bottom="0.75" header="0.3" footer="0.3"/>
  <ignoredErrors>
    <ignoredError sqref="E2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6D52-47AC-4C64-B063-87FFB957DB65}">
  <dimension ref="A1:L22"/>
  <sheetViews>
    <sheetView topLeftCell="A4" workbookViewId="0">
      <selection activeCell="K18" sqref="K18"/>
    </sheetView>
  </sheetViews>
  <sheetFormatPr defaultRowHeight="15" x14ac:dyDescent="0.25"/>
  <sheetData>
    <row r="1" spans="1:10" ht="15.75" x14ac:dyDescent="0.25">
      <c r="A1" s="1" t="s">
        <v>46</v>
      </c>
      <c r="B1" s="1" t="s">
        <v>47</v>
      </c>
      <c r="C1" s="1" t="s">
        <v>48</v>
      </c>
      <c r="D1" s="1" t="s">
        <v>49</v>
      </c>
      <c r="F1" t="s">
        <v>50</v>
      </c>
    </row>
    <row r="2" spans="1:10" ht="15.75" thickBot="1" x14ac:dyDescent="0.3">
      <c r="A2" s="12">
        <v>1</v>
      </c>
      <c r="B2" s="2">
        <v>15</v>
      </c>
      <c r="C2" s="2">
        <v>15</v>
      </c>
      <c r="D2" s="2">
        <v>18</v>
      </c>
    </row>
    <row r="3" spans="1:10" x14ac:dyDescent="0.25">
      <c r="A3" s="12">
        <v>2</v>
      </c>
      <c r="B3" s="2">
        <v>14</v>
      </c>
      <c r="C3" s="2">
        <v>14</v>
      </c>
      <c r="D3" s="2">
        <v>14</v>
      </c>
      <c r="F3" s="5" t="s">
        <v>7</v>
      </c>
      <c r="G3" s="5" t="s">
        <v>9</v>
      </c>
      <c r="H3" s="5" t="s">
        <v>10</v>
      </c>
      <c r="I3" s="5" t="s">
        <v>11</v>
      </c>
      <c r="J3" s="5" t="s">
        <v>12</v>
      </c>
    </row>
    <row r="4" spans="1:10" x14ac:dyDescent="0.25">
      <c r="A4" s="12">
        <v>3</v>
      </c>
      <c r="B4" s="2">
        <v>10</v>
      </c>
      <c r="C4" s="2">
        <v>11</v>
      </c>
      <c r="D4" s="2">
        <v>15</v>
      </c>
      <c r="F4" s="3">
        <v>1</v>
      </c>
      <c r="G4" s="3">
        <v>3</v>
      </c>
      <c r="H4" s="3">
        <v>48</v>
      </c>
      <c r="I4" s="3">
        <v>16</v>
      </c>
      <c r="J4" s="3">
        <v>3</v>
      </c>
    </row>
    <row r="5" spans="1:10" x14ac:dyDescent="0.25">
      <c r="A5" s="12">
        <v>4</v>
      </c>
      <c r="B5" s="2">
        <v>13</v>
      </c>
      <c r="C5" s="2">
        <v>12</v>
      </c>
      <c r="D5" s="2">
        <v>17</v>
      </c>
      <c r="F5" s="3">
        <v>2</v>
      </c>
      <c r="G5" s="3">
        <v>3</v>
      </c>
      <c r="H5" s="3">
        <v>42</v>
      </c>
      <c r="I5" s="3">
        <v>14</v>
      </c>
      <c r="J5" s="3">
        <v>0</v>
      </c>
    </row>
    <row r="6" spans="1:10" x14ac:dyDescent="0.25">
      <c r="A6" s="12">
        <v>5</v>
      </c>
      <c r="B6" s="2">
        <v>16</v>
      </c>
      <c r="C6" s="2">
        <v>13</v>
      </c>
      <c r="D6" s="2">
        <v>16</v>
      </c>
      <c r="F6" s="3">
        <v>3</v>
      </c>
      <c r="G6" s="3">
        <v>3</v>
      </c>
      <c r="H6" s="3">
        <v>36</v>
      </c>
      <c r="I6" s="3">
        <v>12</v>
      </c>
      <c r="J6" s="3">
        <v>7</v>
      </c>
    </row>
    <row r="7" spans="1:10" x14ac:dyDescent="0.25">
      <c r="A7" s="12">
        <v>6</v>
      </c>
      <c r="B7" s="2">
        <v>13</v>
      </c>
      <c r="C7" s="2">
        <v>13</v>
      </c>
      <c r="D7" s="2">
        <v>13</v>
      </c>
      <c r="F7" s="3">
        <v>4</v>
      </c>
      <c r="G7" s="3">
        <v>3</v>
      </c>
      <c r="H7" s="3">
        <v>42</v>
      </c>
      <c r="I7" s="3">
        <v>14</v>
      </c>
      <c r="J7" s="3">
        <v>7</v>
      </c>
    </row>
    <row r="8" spans="1:10" x14ac:dyDescent="0.25">
      <c r="F8" s="3">
        <v>5</v>
      </c>
      <c r="G8" s="3">
        <v>3</v>
      </c>
      <c r="H8" s="3">
        <v>45</v>
      </c>
      <c r="I8" s="3">
        <v>15</v>
      </c>
      <c r="J8" s="3">
        <v>3</v>
      </c>
    </row>
    <row r="9" spans="1:10" x14ac:dyDescent="0.25">
      <c r="F9" s="3">
        <v>6</v>
      </c>
      <c r="G9" s="3">
        <v>3</v>
      </c>
      <c r="H9" s="3">
        <v>39</v>
      </c>
      <c r="I9" s="3">
        <v>13</v>
      </c>
      <c r="J9" s="3">
        <v>0</v>
      </c>
    </row>
    <row r="10" spans="1:10" x14ac:dyDescent="0.25">
      <c r="F10" s="3"/>
      <c r="G10" s="3"/>
      <c r="H10" s="3"/>
      <c r="I10" s="3"/>
      <c r="J10" s="3"/>
    </row>
    <row r="11" spans="1:10" x14ac:dyDescent="0.25">
      <c r="F11" s="3" t="s">
        <v>47</v>
      </c>
      <c r="G11" s="3">
        <v>6</v>
      </c>
      <c r="H11" s="3">
        <v>81</v>
      </c>
      <c r="I11" s="3">
        <v>13.5</v>
      </c>
      <c r="J11" s="3">
        <v>4.3</v>
      </c>
    </row>
    <row r="12" spans="1:10" x14ac:dyDescent="0.25">
      <c r="F12" s="3" t="s">
        <v>48</v>
      </c>
      <c r="G12" s="3">
        <v>6</v>
      </c>
      <c r="H12" s="3">
        <v>78</v>
      </c>
      <c r="I12" s="3">
        <v>13</v>
      </c>
      <c r="J12" s="3">
        <v>2</v>
      </c>
    </row>
    <row r="13" spans="1:10" ht="15.75" thickBot="1" x14ac:dyDescent="0.3">
      <c r="F13" s="4" t="s">
        <v>49</v>
      </c>
      <c r="G13" s="4">
        <v>6</v>
      </c>
      <c r="H13" s="4">
        <v>93</v>
      </c>
      <c r="I13" s="4">
        <v>15.5</v>
      </c>
      <c r="J13" s="4">
        <v>3.5</v>
      </c>
    </row>
    <row r="16" spans="1:10" ht="15.75" thickBot="1" x14ac:dyDescent="0.3">
      <c r="F16" t="s">
        <v>13</v>
      </c>
    </row>
    <row r="17" spans="5:12" x14ac:dyDescent="0.25">
      <c r="F17" s="5" t="s">
        <v>14</v>
      </c>
      <c r="G17" s="5" t="s">
        <v>15</v>
      </c>
      <c r="H17" s="5" t="s">
        <v>16</v>
      </c>
      <c r="I17" s="5" t="s">
        <v>17</v>
      </c>
      <c r="J17" s="5" t="s">
        <v>18</v>
      </c>
      <c r="K17" s="5" t="s">
        <v>19</v>
      </c>
      <c r="L17" s="5" t="s">
        <v>20</v>
      </c>
    </row>
    <row r="18" spans="5:12" x14ac:dyDescent="0.25">
      <c r="E18" t="s">
        <v>75</v>
      </c>
      <c r="F18" s="3" t="s">
        <v>51</v>
      </c>
      <c r="G18" s="3">
        <v>30</v>
      </c>
      <c r="H18" s="3">
        <v>5</v>
      </c>
      <c r="I18" s="3">
        <v>6</v>
      </c>
      <c r="J18" s="3">
        <v>3.1578947368421053</v>
      </c>
      <c r="K18" s="3">
        <v>5.7399161577997869E-2</v>
      </c>
      <c r="L18" s="3">
        <v>3.325834530413013</v>
      </c>
    </row>
    <row r="19" spans="5:12" x14ac:dyDescent="0.25">
      <c r="E19" t="s">
        <v>74</v>
      </c>
      <c r="F19" s="3" t="s">
        <v>52</v>
      </c>
      <c r="G19" s="3">
        <v>21</v>
      </c>
      <c r="H19" s="3">
        <v>2</v>
      </c>
      <c r="I19" s="3">
        <v>10.5</v>
      </c>
      <c r="J19" s="35">
        <v>5.5263157894736841</v>
      </c>
      <c r="K19" s="35">
        <v>2.4180654296875013E-2</v>
      </c>
      <c r="L19" s="3">
        <v>4.1028210151304032</v>
      </c>
    </row>
    <row r="20" spans="5:12" x14ac:dyDescent="0.25">
      <c r="F20" s="3" t="s">
        <v>53</v>
      </c>
      <c r="G20" s="3">
        <v>19</v>
      </c>
      <c r="H20" s="3">
        <v>10</v>
      </c>
      <c r="I20" s="3">
        <v>1.9</v>
      </c>
      <c r="J20" s="3"/>
      <c r="K20" s="3"/>
      <c r="L20" s="3"/>
    </row>
    <row r="21" spans="5:12" x14ac:dyDescent="0.25">
      <c r="F21" s="3"/>
      <c r="G21" s="3"/>
      <c r="H21" s="3"/>
      <c r="I21" s="3"/>
      <c r="J21" s="3"/>
      <c r="K21" s="3"/>
      <c r="L21" s="3"/>
    </row>
    <row r="22" spans="5:12" ht="15.75" thickBot="1" x14ac:dyDescent="0.3">
      <c r="F22" s="4" t="s">
        <v>23</v>
      </c>
      <c r="G22" s="4">
        <v>70</v>
      </c>
      <c r="H22" s="4">
        <v>17</v>
      </c>
      <c r="I22" s="4"/>
      <c r="J22" s="4"/>
      <c r="K22" s="4"/>
      <c r="L22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FA52-EED1-4B14-B70B-48CB610586B7}">
  <dimension ref="B2:O38"/>
  <sheetViews>
    <sheetView topLeftCell="A12" workbookViewId="0">
      <selection activeCell="H29" sqref="H29"/>
    </sheetView>
  </sheetViews>
  <sheetFormatPr defaultRowHeight="15" x14ac:dyDescent="0.25"/>
  <cols>
    <col min="3" max="3" width="16" bestFit="1" customWidth="1"/>
    <col min="4" max="4" width="9.5703125" bestFit="1" customWidth="1"/>
    <col min="5" max="5" width="12.42578125" bestFit="1" customWidth="1"/>
    <col min="6" max="6" width="18.28515625" bestFit="1" customWidth="1"/>
    <col min="8" max="8" width="10.5703125" bestFit="1" customWidth="1"/>
    <col min="9" max="9" width="32.85546875" bestFit="1" customWidth="1"/>
  </cols>
  <sheetData>
    <row r="2" spans="2:13" x14ac:dyDescent="0.25">
      <c r="D2" s="20"/>
      <c r="E2" s="20"/>
      <c r="F2" s="20"/>
    </row>
    <row r="3" spans="2:13" ht="15.75" x14ac:dyDescent="0.25">
      <c r="C3" s="32"/>
      <c r="D3" s="34" t="s">
        <v>67</v>
      </c>
      <c r="E3" s="33" t="s">
        <v>68</v>
      </c>
      <c r="F3" s="33" t="s">
        <v>69</v>
      </c>
      <c r="I3" t="s">
        <v>54</v>
      </c>
    </row>
    <row r="4" spans="2:13" ht="15.75" x14ac:dyDescent="0.25">
      <c r="C4" s="26" t="s">
        <v>70</v>
      </c>
      <c r="D4" s="25">
        <v>500</v>
      </c>
      <c r="E4" s="30">
        <v>540</v>
      </c>
      <c r="F4" s="30">
        <v>480</v>
      </c>
    </row>
    <row r="5" spans="2:13" ht="15.75" x14ac:dyDescent="0.25">
      <c r="C5" s="27"/>
      <c r="D5" s="28">
        <v>580</v>
      </c>
      <c r="E5" s="29">
        <v>460</v>
      </c>
      <c r="F5" s="29">
        <v>400</v>
      </c>
      <c r="I5" t="s">
        <v>7</v>
      </c>
      <c r="J5" t="s">
        <v>67</v>
      </c>
      <c r="K5" t="s">
        <v>68</v>
      </c>
      <c r="L5" t="s">
        <v>69</v>
      </c>
      <c r="M5" t="s">
        <v>23</v>
      </c>
    </row>
    <row r="6" spans="2:13" ht="16.5" thickBot="1" x14ac:dyDescent="0.3">
      <c r="C6" s="26" t="s">
        <v>71</v>
      </c>
      <c r="D6" s="25">
        <v>460</v>
      </c>
      <c r="E6" s="30">
        <v>560</v>
      </c>
      <c r="F6" s="30">
        <v>420</v>
      </c>
      <c r="G6" s="20"/>
      <c r="I6" s="11" t="s">
        <v>70</v>
      </c>
      <c r="J6" s="11"/>
      <c r="K6" s="11"/>
      <c r="L6" s="11"/>
      <c r="M6" s="11"/>
    </row>
    <row r="7" spans="2:13" ht="15.75" x14ac:dyDescent="0.25">
      <c r="B7" s="20"/>
      <c r="C7" s="27"/>
      <c r="D7" s="28">
        <v>540</v>
      </c>
      <c r="E7" s="29">
        <v>620</v>
      </c>
      <c r="F7" s="29">
        <v>480</v>
      </c>
      <c r="I7" s="3" t="s">
        <v>9</v>
      </c>
      <c r="J7" s="3">
        <v>2</v>
      </c>
      <c r="K7" s="3">
        <v>2</v>
      </c>
      <c r="L7" s="3">
        <v>2</v>
      </c>
      <c r="M7" s="3">
        <v>6</v>
      </c>
    </row>
    <row r="8" spans="2:13" ht="15.75" x14ac:dyDescent="0.25">
      <c r="C8" s="26" t="s">
        <v>72</v>
      </c>
      <c r="D8" s="25">
        <v>560</v>
      </c>
      <c r="E8" s="30">
        <v>600</v>
      </c>
      <c r="F8" s="30">
        <v>480</v>
      </c>
      <c r="I8" s="3" t="s">
        <v>10</v>
      </c>
      <c r="J8" s="3">
        <v>1080</v>
      </c>
      <c r="K8" s="3">
        <v>1000</v>
      </c>
      <c r="L8" s="3">
        <v>880</v>
      </c>
      <c r="M8" s="3">
        <v>2960</v>
      </c>
    </row>
    <row r="9" spans="2:13" ht="15.75" x14ac:dyDescent="0.25">
      <c r="C9" s="31"/>
      <c r="D9" s="28">
        <v>600</v>
      </c>
      <c r="E9" s="29">
        <v>580</v>
      </c>
      <c r="F9" s="29">
        <v>410</v>
      </c>
      <c r="I9" s="3" t="s">
        <v>11</v>
      </c>
      <c r="J9" s="3">
        <v>540</v>
      </c>
      <c r="K9" s="3">
        <v>500</v>
      </c>
      <c r="L9" s="3">
        <v>440</v>
      </c>
      <c r="M9" s="3">
        <v>493.33333333333331</v>
      </c>
    </row>
    <row r="10" spans="2:13" x14ac:dyDescent="0.25">
      <c r="I10" s="3" t="s">
        <v>12</v>
      </c>
      <c r="J10" s="3">
        <v>3200</v>
      </c>
      <c r="K10" s="3">
        <v>3200</v>
      </c>
      <c r="L10" s="3">
        <v>3200</v>
      </c>
      <c r="M10" s="3">
        <v>3946.6666666666511</v>
      </c>
    </row>
    <row r="11" spans="2:13" x14ac:dyDescent="0.25">
      <c r="I11" s="3"/>
      <c r="J11" s="3"/>
      <c r="K11" s="3"/>
      <c r="L11" s="3"/>
      <c r="M11" s="3"/>
    </row>
    <row r="12" spans="2:13" ht="15.75" thickBot="1" x14ac:dyDescent="0.3">
      <c r="I12" s="11" t="s">
        <v>71</v>
      </c>
      <c r="J12" s="11"/>
      <c r="K12" s="11"/>
      <c r="L12" s="11"/>
      <c r="M12" s="11"/>
    </row>
    <row r="13" spans="2:13" x14ac:dyDescent="0.25">
      <c r="I13" s="3" t="s">
        <v>9</v>
      </c>
      <c r="J13" s="3">
        <v>2</v>
      </c>
      <c r="K13" s="3">
        <v>2</v>
      </c>
      <c r="L13" s="3">
        <v>2</v>
      </c>
      <c r="M13" s="3">
        <v>6</v>
      </c>
    </row>
    <row r="14" spans="2:13" x14ac:dyDescent="0.25">
      <c r="I14" s="3" t="s">
        <v>10</v>
      </c>
      <c r="J14" s="3">
        <v>1000</v>
      </c>
      <c r="K14" s="3">
        <v>1180</v>
      </c>
      <c r="L14" s="3">
        <v>900</v>
      </c>
      <c r="M14" s="3">
        <v>3080</v>
      </c>
    </row>
    <row r="15" spans="2:13" x14ac:dyDescent="0.25">
      <c r="I15" s="3" t="s">
        <v>11</v>
      </c>
      <c r="J15" s="3">
        <v>500</v>
      </c>
      <c r="K15" s="3">
        <v>590</v>
      </c>
      <c r="L15" s="3">
        <v>450</v>
      </c>
      <c r="M15" s="3">
        <v>513.33333333333337</v>
      </c>
    </row>
    <row r="16" spans="2:13" x14ac:dyDescent="0.25">
      <c r="I16" s="3" t="s">
        <v>12</v>
      </c>
      <c r="J16" s="3">
        <v>3200</v>
      </c>
      <c r="K16" s="3">
        <v>1800</v>
      </c>
      <c r="L16" s="3">
        <v>1800</v>
      </c>
      <c r="M16" s="3">
        <v>5386.6666666666515</v>
      </c>
    </row>
    <row r="17" spans="9:15" x14ac:dyDescent="0.25">
      <c r="I17" s="3"/>
      <c r="J17" s="3"/>
      <c r="K17" s="3"/>
      <c r="L17" s="3"/>
      <c r="M17" s="3"/>
    </row>
    <row r="18" spans="9:15" ht="15.75" thickBot="1" x14ac:dyDescent="0.3">
      <c r="I18" s="11" t="s">
        <v>72</v>
      </c>
      <c r="J18" s="11"/>
      <c r="K18" s="11"/>
      <c r="L18" s="11"/>
      <c r="M18" s="11"/>
    </row>
    <row r="19" spans="9:15" x14ac:dyDescent="0.25">
      <c r="I19" s="3" t="s">
        <v>9</v>
      </c>
      <c r="J19" s="3">
        <v>2</v>
      </c>
      <c r="K19" s="3">
        <v>2</v>
      </c>
      <c r="L19" s="3">
        <v>2</v>
      </c>
      <c r="M19" s="3">
        <v>6</v>
      </c>
    </row>
    <row r="20" spans="9:15" x14ac:dyDescent="0.25">
      <c r="I20" s="3" t="s">
        <v>10</v>
      </c>
      <c r="J20" s="3">
        <v>1160</v>
      </c>
      <c r="K20" s="3">
        <v>1180</v>
      </c>
      <c r="L20" s="3">
        <v>890</v>
      </c>
      <c r="M20" s="3">
        <v>3230</v>
      </c>
    </row>
    <row r="21" spans="9:15" x14ac:dyDescent="0.25">
      <c r="I21" s="3" t="s">
        <v>11</v>
      </c>
      <c r="J21" s="3">
        <v>580</v>
      </c>
      <c r="K21" s="3">
        <v>590</v>
      </c>
      <c r="L21" s="3">
        <v>445</v>
      </c>
      <c r="M21" s="3">
        <v>538.33333333333337</v>
      </c>
    </row>
    <row r="22" spans="9:15" x14ac:dyDescent="0.25">
      <c r="I22" s="3" t="s">
        <v>12</v>
      </c>
      <c r="J22" s="3">
        <v>800</v>
      </c>
      <c r="K22" s="3">
        <v>200</v>
      </c>
      <c r="L22" s="3">
        <v>2450</v>
      </c>
      <c r="M22" s="3">
        <v>5936.6666666666515</v>
      </c>
    </row>
    <row r="23" spans="9:15" x14ac:dyDescent="0.25">
      <c r="I23" s="3"/>
      <c r="J23" s="3"/>
      <c r="K23" s="3"/>
      <c r="L23" s="3"/>
      <c r="M23" s="3"/>
    </row>
    <row r="24" spans="9:15" ht="15.75" thickBot="1" x14ac:dyDescent="0.3">
      <c r="I24" s="11" t="s">
        <v>23</v>
      </c>
      <c r="J24" s="11"/>
      <c r="K24" s="11"/>
      <c r="L24" s="11"/>
      <c r="M24" s="11"/>
    </row>
    <row r="25" spans="9:15" x14ac:dyDescent="0.25">
      <c r="I25" s="3" t="s">
        <v>9</v>
      </c>
      <c r="J25" s="3">
        <v>6</v>
      </c>
      <c r="K25" s="3">
        <v>6</v>
      </c>
      <c r="L25" s="3">
        <v>6</v>
      </c>
      <c r="M25" s="3"/>
    </row>
    <row r="26" spans="9:15" x14ac:dyDescent="0.25">
      <c r="I26" s="3" t="s">
        <v>10</v>
      </c>
      <c r="J26" s="3">
        <v>3240</v>
      </c>
      <c r="K26" s="3">
        <v>3360</v>
      </c>
      <c r="L26" s="3">
        <v>2670</v>
      </c>
      <c r="M26" s="3"/>
    </row>
    <row r="27" spans="9:15" x14ac:dyDescent="0.25">
      <c r="I27" s="3" t="s">
        <v>11</v>
      </c>
      <c r="J27" s="3">
        <v>540</v>
      </c>
      <c r="K27" s="3">
        <v>560</v>
      </c>
      <c r="L27" s="3">
        <v>445</v>
      </c>
      <c r="M27" s="3"/>
    </row>
    <row r="28" spans="9:15" x14ac:dyDescent="0.25">
      <c r="I28" s="3" t="s">
        <v>12</v>
      </c>
      <c r="J28" s="3">
        <v>2720</v>
      </c>
      <c r="K28" s="3">
        <v>3200</v>
      </c>
      <c r="L28" s="3">
        <v>1510</v>
      </c>
      <c r="M28" s="3"/>
    </row>
    <row r="29" spans="9:15" x14ac:dyDescent="0.25">
      <c r="I29" s="3"/>
      <c r="J29" s="3"/>
      <c r="K29" s="3"/>
      <c r="L29" s="3"/>
      <c r="M29" s="3"/>
    </row>
    <row r="31" spans="9:15" ht="15.75" thickBot="1" x14ac:dyDescent="0.3">
      <c r="I31" t="s">
        <v>13</v>
      </c>
    </row>
    <row r="32" spans="9:15" x14ac:dyDescent="0.25">
      <c r="I32" s="5" t="s">
        <v>14</v>
      </c>
      <c r="J32" s="5" t="s">
        <v>15</v>
      </c>
      <c r="K32" s="5" t="s">
        <v>16</v>
      </c>
      <c r="L32" s="5" t="s">
        <v>17</v>
      </c>
      <c r="M32" s="5" t="s">
        <v>18</v>
      </c>
      <c r="N32" s="5" t="s">
        <v>19</v>
      </c>
      <c r="O32" s="5" t="s">
        <v>20</v>
      </c>
    </row>
    <row r="33" spans="8:15" x14ac:dyDescent="0.25">
      <c r="H33" s="36" t="s">
        <v>73</v>
      </c>
      <c r="I33" s="3" t="s">
        <v>55</v>
      </c>
      <c r="J33" s="3">
        <v>6100</v>
      </c>
      <c r="K33" s="3">
        <v>2</v>
      </c>
      <c r="L33" s="3">
        <v>3050</v>
      </c>
      <c r="M33" s="3">
        <v>1.3828715365239295</v>
      </c>
      <c r="N33" s="3">
        <v>0.29943610857246267</v>
      </c>
      <c r="O33" s="3">
        <v>4.2564947290937507</v>
      </c>
    </row>
    <row r="34" spans="8:15" x14ac:dyDescent="0.25">
      <c r="H34" s="36" t="s">
        <v>76</v>
      </c>
      <c r="I34" s="3" t="s">
        <v>52</v>
      </c>
      <c r="J34" s="3">
        <v>45300</v>
      </c>
      <c r="K34" s="3">
        <v>2</v>
      </c>
      <c r="L34" s="3">
        <v>22650</v>
      </c>
      <c r="M34" s="3">
        <v>10.269521410579344</v>
      </c>
      <c r="N34" s="3">
        <v>4.7567180493710689E-3</v>
      </c>
      <c r="O34" s="3">
        <v>4.2564947290937507</v>
      </c>
    </row>
    <row r="35" spans="8:15" x14ac:dyDescent="0.25">
      <c r="H35" s="36" t="s">
        <v>56</v>
      </c>
      <c r="I35" s="3" t="s">
        <v>56</v>
      </c>
      <c r="J35" s="3">
        <v>11200</v>
      </c>
      <c r="K35" s="3">
        <v>4</v>
      </c>
      <c r="L35" s="3">
        <v>2800</v>
      </c>
      <c r="M35" s="3">
        <v>1.2695214105793451</v>
      </c>
      <c r="N35" s="3">
        <v>0.3503277693252097</v>
      </c>
      <c r="O35" s="3">
        <v>3.6330885114190816</v>
      </c>
    </row>
    <row r="36" spans="8:15" x14ac:dyDescent="0.25">
      <c r="H36" s="36" t="s">
        <v>53</v>
      </c>
      <c r="I36" s="3" t="s">
        <v>57</v>
      </c>
      <c r="J36" s="3">
        <v>19850</v>
      </c>
      <c r="K36" s="3">
        <v>9</v>
      </c>
      <c r="L36" s="3">
        <v>2205.5555555555557</v>
      </c>
      <c r="M36" s="3"/>
      <c r="N36" s="3"/>
      <c r="O36" s="3"/>
    </row>
    <row r="37" spans="8:15" x14ac:dyDescent="0.25">
      <c r="I37" s="3"/>
      <c r="J37" s="3"/>
      <c r="K37" s="3"/>
      <c r="L37" s="3"/>
      <c r="M37" s="3"/>
      <c r="N37" s="3"/>
      <c r="O37" s="3"/>
    </row>
    <row r="38" spans="8:15" ht="15.75" thickBot="1" x14ac:dyDescent="0.3">
      <c r="I38" s="4" t="s">
        <v>23</v>
      </c>
      <c r="J38" s="4">
        <v>82450</v>
      </c>
      <c r="K38" s="4">
        <v>17</v>
      </c>
      <c r="L38" s="4"/>
      <c r="M38" s="4"/>
      <c r="N38" s="4"/>
      <c r="O38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Completely Random Design ANOVA</vt:lpstr>
      <vt:lpstr>fishers lsd (pop comparison)</vt:lpstr>
      <vt:lpstr>Ch 16.5 experimental design </vt:lpstr>
      <vt:lpstr>13.4 random block design</vt:lpstr>
      <vt:lpstr>random block excel version</vt:lpstr>
      <vt:lpstr>13.5 factorial 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Alvarez</dc:creator>
  <cp:lastModifiedBy>Cristian Alvarez</cp:lastModifiedBy>
  <dcterms:created xsi:type="dcterms:W3CDTF">2025-08-29T21:16:24Z</dcterms:created>
  <dcterms:modified xsi:type="dcterms:W3CDTF">2025-09-19T00:19:57Z</dcterms:modified>
</cp:coreProperties>
</file>